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마스터" sheetId="2" state="visible" r:id="rId2"/>
    <sheet name="통합관리" sheetId="3" state="visible" r:id="rId3"/>
    <sheet name="대시보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00"/>
    <numFmt numFmtId="166" formatCode="m/d"/>
    <numFmt numFmtId="167" formatCode="m/d(ddd)"/>
    <numFmt numFmtId="168" formatCode="0.0;;"/>
  </numFmts>
  <fonts count="22">
    <font>
      <name val="Calibri"/>
      <family val="2"/>
      <color theme="1"/>
      <sz val="11"/>
      <scheme val="minor"/>
    </font>
    <font>
      <name val="Arial"/>
      <b val="1"/>
      <color rgb="001F4E79"/>
      <sz val="17"/>
    </font>
    <font>
      <name val="Arial"/>
      <color rgb="00808080"/>
      <sz val="10"/>
    </font>
    <font>
      <name val="Arial"/>
      <b val="1"/>
      <color rgb="00C0504D"/>
      <sz val="12"/>
    </font>
    <font>
      <name val="Arial"/>
      <b val="1"/>
      <color rgb="001F4E79"/>
      <sz val="10"/>
    </font>
    <font>
      <name val="Arial"/>
      <color rgb="00000000"/>
      <sz val="10"/>
    </font>
    <font>
      <name val="Arial"/>
      <b val="1"/>
      <color rgb="001F4E79"/>
      <sz val="14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color rgb="001F4E79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1F4E79"/>
      <sz val="9"/>
    </font>
    <font>
      <name val="Arial"/>
      <b val="1"/>
      <color rgb="00C0504D"/>
      <sz val="11"/>
    </font>
    <font>
      <name val="Arial"/>
      <b val="1"/>
      <color rgb="00000000"/>
      <sz val="8"/>
    </font>
    <font>
      <name val="Arial"/>
      <b val="1"/>
      <color rgb="00C0504D"/>
      <sz val="9"/>
    </font>
    <font>
      <name val="Arial"/>
      <color rgb="00000000"/>
      <sz val="7"/>
    </font>
    <font>
      <name val="Arial"/>
      <b val="1"/>
      <color rgb="001F4E79"/>
      <sz val="15"/>
    </font>
    <font>
      <name val="Arial"/>
      <color rgb="00C0504D"/>
      <sz val="9"/>
    </font>
  </fonts>
  <fills count="9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7F7F7F"/>
      </patternFill>
    </fill>
    <fill>
      <patternFill patternType="solid">
        <fgColor rgb="00A6A6A6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9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0" fillId="4" borderId="1" applyAlignment="1" pivotButton="0" quotePrefix="0" xfId="0">
      <alignment horizontal="left" vertical="center"/>
    </xf>
    <xf numFmtId="0" fontId="8" fillId="0" borderId="0" pivotButton="0" quotePrefix="0" xfId="0"/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4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166" fontId="14" fillId="3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/>
    </xf>
    <xf numFmtId="167" fontId="15" fillId="4" borderId="1" applyAlignment="1" pivotButton="0" quotePrefix="0" xfId="0">
      <alignment horizontal="center" vertical="center"/>
    </xf>
    <xf numFmtId="2" fontId="15" fillId="4" borderId="1" applyAlignment="1" pivotButton="0" quotePrefix="0" xfId="0">
      <alignment horizontal="center" vertical="center"/>
    </xf>
    <xf numFmtId="167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6" fillId="0" borderId="0" pivotButton="0" quotePrefix="0" xfId="0"/>
    <xf numFmtId="0" fontId="9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166" fontId="14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/>
    </xf>
    <xf numFmtId="168" fontId="19" fillId="0" borderId="1" applyAlignment="1" pivotButton="0" quotePrefix="0" xfId="0">
      <alignment horizontal="center" vertical="center"/>
    </xf>
    <xf numFmtId="0" fontId="20" fillId="0" borderId="0" pivotButton="0" quotePrefix="0" xfId="0"/>
    <xf numFmtId="0" fontId="9" fillId="0" borderId="0" pivotButton="0" quotePrefix="0" xfId="0"/>
    <xf numFmtId="3" fontId="4" fillId="4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8" fillId="5" borderId="1" pivotButton="0" quotePrefix="0" xfId="0"/>
    <xf numFmtId="0" fontId="8" fillId="5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2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0">
    <dxf>
      <font>
        <name val="Arial"/>
        <color rgb="004F81BD"/>
        <sz val="7"/>
      </font>
      <fill>
        <patternFill patternType="solid">
          <fgColor rgb="004F81BD"/>
        </patternFill>
      </fill>
    </dxf>
    <dxf>
      <font>
        <name val="Arial"/>
        <color rgb="0070AD47"/>
        <sz val="7"/>
      </font>
      <fill>
        <patternFill patternType="solid">
          <fgColor rgb="0070AD47"/>
        </patternFill>
      </fill>
    </dxf>
    <dxf>
      <font>
        <name val="Arial"/>
        <color rgb="00ED7D31"/>
        <sz val="7"/>
      </font>
      <fill>
        <patternFill patternType="solid">
          <fgColor rgb="00ED7D31"/>
        </patternFill>
      </fill>
    </dxf>
    <dxf>
      <font>
        <name val="Arial"/>
        <color rgb="00BFBFBF"/>
        <sz val="7"/>
      </font>
      <fill>
        <patternFill patternType="solid">
          <fgColor rgb="00BFBFBF"/>
        </patternFill>
      </fill>
    </dxf>
    <dxf>
      <fill>
        <patternFill patternType="solid">
          <fgColor rgb="00F2F2F2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9C6500"/>
      </font>
      <fill>
        <patternFill patternType="solid">
          <fgColor rgb="00FFEB9C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0006"/>
        <sz val="7"/>
      </font>
      <fill>
        <patternFill patternType="solid">
          <fgColor rgb="00FFC7CE"/>
        </patternFill>
      </fill>
    </dxf>
    <dxf>
      <font>
        <name val="Arial"/>
        <color rgb="009C6500"/>
        <sz val="7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</author>
  </authors>
  <commentList>
    <comment ref="C3" authorId="0" shapeId="0">
      <text>
        <t>마스터 값 편집/추가 시 드롭다운·집계에 자동 반영.</t>
      </text>
    </comment>
  </commentList>
</comments>
</file>

<file path=xl/comments/comment2.xml><?xml version="1.0" encoding="utf-8"?>
<comments xmlns="http://schemas.openxmlformats.org/spreadsheetml/2006/main">
  <authors>
    <author>m</author>
  </authors>
  <commentList>
    <comment ref="B3" authorId="0" shapeId="0">
      <text>
        <t>↓ 4행은 예시(기획/이미지/영상 파트가 각각 한 행). 실제 업무로 덮어쓰세요.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94" customWidth="1" min="3" max="3"/>
  </cols>
  <sheetData>
    <row r="2">
      <c r="B2" s="1" t="inlineStr">
        <is>
          <t>AI 파이프라인 · 통합 리소스/스케줄 관리 시트 v2</t>
        </is>
      </c>
    </row>
    <row r="3">
      <c r="B3" s="2" t="inlineStr">
        <is>
          <t>실제 운영 시트 스키마 기반 — 플랫 로그 × 간트 × 팀/담당자/구분 집계</t>
        </is>
      </c>
    </row>
    <row r="5">
      <c r="B5" s="3" t="inlineStr">
        <is>
          <t>① 핵심 구조 — 행 = 한 담당자의 한 건</t>
        </is>
      </c>
      <c r="C5" s="4" t="n"/>
    </row>
    <row r="6">
      <c r="B6" s="5" t="inlineStr">
        <is>
          <t>왜 플랫 로그인가</t>
        </is>
      </c>
      <c r="C6" s="6" t="inlineStr">
        <is>
          <t>1 게임타이틀 → 여러 소재 → 소재 1개당 기획/이미지/영상 파트를 각 담당자가 각각 한 행으로 기록. 그래서 행마다 [구분+담당자+프로젝트명]을 반드시 채워 '누가 무슨 파트를 넣었는지'를 못 박습니다.</t>
        </is>
      </c>
    </row>
    <row r="7">
      <c r="B7" s="5" t="inlineStr">
        <is>
          <t>한 타이틀 여러 소재</t>
        </is>
      </c>
      <c r="C7" s="6" t="inlineStr">
        <is>
          <t>맞습니다. 프로젝트명은 반복 입력되고, 같은 소재명이 이미지/영상 두 행으로 나뉠 수 있습니다. 프로젝트명 기준 정렬하면 타이틀별로 묶여 보입니다.</t>
        </is>
      </c>
    </row>
    <row r="9">
      <c r="B9" s="3" t="inlineStr">
        <is>
          <t>② 입력 규칙 (노란 칸만)</t>
        </is>
      </c>
      <c r="C9" s="4" t="n"/>
    </row>
    <row r="10">
      <c r="B10" s="5" t="inlineStr">
        <is>
          <t>드롭다운</t>
        </is>
      </c>
      <c r="C10" s="6" t="inlineStr">
        <is>
          <t>구분(기획/이미지/영상) · 프로젝트명(게임타이틀 마스터) · 고객팀(마케팅1~4팀) · 작업담당자(28명 마스터) · 상태 — 전부 마스터 시트에서 관리. 새 타이틀/담당자는 마스터에 추가하면 드롭다운에 자동 반영.</t>
        </is>
      </c>
    </row>
    <row r="11">
      <c r="B11" s="5" t="inlineStr">
        <is>
          <t>일정</t>
        </is>
      </c>
      <c r="C11" s="6" t="inlineStr">
        <is>
          <t>요청일·완료일(목표) 입력 → 간트 막대 자동(주말 제외, 구분별 색). 공수(MD) 입력 → 소요일·예상완료 자동 → 여유 = 완료일−예상완료(음수=지연 빨강).</t>
        </is>
      </c>
    </row>
    <row r="13">
      <c r="B13" s="3" t="inlineStr">
        <is>
          <t>③ 간트/색 범례</t>
        </is>
      </c>
      <c r="C13" s="4" t="n"/>
    </row>
    <row r="14">
      <c r="B14" s="5" t="inlineStr">
        <is>
          <t>구분별 막대색</t>
        </is>
      </c>
      <c r="C14" s="6" t="inlineStr">
        <is>
          <t>기획=파랑 · 이미지=초록 · 영상=주황.  → 어느 파트가 언제 걸리는지 색으로 즉시 구분.</t>
        </is>
      </c>
    </row>
    <row r="15">
      <c r="B15" s="5" t="inlineStr">
        <is>
          <t>주말</t>
        </is>
      </c>
      <c r="C15" s="6" t="inlineStr">
        <is>
          <t>토·일 열은 WEEKDAY 조건부서식으로 회색 자동 음영.</t>
        </is>
      </c>
    </row>
    <row r="16">
      <c r="B16" s="5" t="inlineStr">
        <is>
          <t>여유(일)</t>
        </is>
      </c>
      <c r="C16" s="6" t="inlineStr">
        <is>
          <t>음수=빨강(지연 위험) · 0~1=노랑(빠듯) · 그외=초록.</t>
        </is>
      </c>
    </row>
    <row r="18">
      <c r="B18" s="3" t="inlineStr">
        <is>
          <t>④ 대시보드 집계</t>
        </is>
      </c>
      <c r="C18" s="4" t="n"/>
    </row>
    <row r="19">
      <c r="B19" s="5" t="inlineStr">
        <is>
          <t>팀 × 구분</t>
        </is>
      </c>
      <c r="C19" s="6" t="inlineStr">
        <is>
          <t>고객 마케팅팀별 × 이미지/영상/기획 건수·MD (운영 시트 상단 블록 재현).</t>
        </is>
      </c>
    </row>
    <row r="20">
      <c r="B20" s="5" t="inlineStr">
        <is>
          <t>담당자별</t>
        </is>
      </c>
      <c r="C20" s="6" t="inlineStr">
        <is>
          <t>담당자별 건수·MD → 부하/기여 한눈에 (누가 얼마나 넣었나).</t>
        </is>
      </c>
    </row>
    <row r="21">
      <c r="B21" s="5" t="inlineStr">
        <is>
          <t>구분별 견적</t>
        </is>
      </c>
      <c r="C21" s="6" t="inlineStr">
        <is>
          <t>구분별 MD 비중으로 견적 분배 + 비나 시나리오 스위치(방안1~4).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12" customWidth="1" min="3" max="3"/>
    <col width="4" customWidth="1" min="4" max="4"/>
    <col width="10" customWidth="1" min="5" max="5"/>
    <col width="4" customWidth="1" min="6" max="6"/>
    <col width="12" customWidth="1" min="7" max="7"/>
    <col width="4" customWidth="1" min="8" max="8"/>
    <col width="12" customWidth="1" min="9" max="9"/>
    <col width="4" customWidth="1" min="10" max="10"/>
    <col width="14" customWidth="1" min="11" max="11"/>
    <col width="14" customWidth="1" min="12" max="12"/>
  </cols>
  <sheetData>
    <row r="1">
      <c r="A1" s="7" t="inlineStr">
        <is>
          <t>⚙️ 마스터 / 기준정보</t>
        </is>
      </c>
    </row>
    <row r="2">
      <c r="A2" s="8" t="inlineStr">
        <is>
          <t>게임 타이틀 (25)</t>
        </is>
      </c>
      <c r="C2" s="8" t="inlineStr">
        <is>
          <t>고객팀</t>
        </is>
      </c>
      <c r="E2" s="8" t="inlineStr">
        <is>
          <t>구분</t>
        </is>
      </c>
      <c r="G2" s="8" t="inlineStr">
        <is>
          <t>사용AI</t>
        </is>
      </c>
      <c r="I2" s="8" t="inlineStr">
        <is>
          <t>작업담당자 (28)</t>
        </is>
      </c>
      <c r="K2" s="9" t="inlineStr">
        <is>
          <t>운영 파라미터</t>
        </is>
      </c>
      <c r="L2" s="10" t="n"/>
    </row>
    <row r="3">
      <c r="A3" s="11" t="inlineStr">
        <is>
          <t>뱀피르</t>
        </is>
      </c>
      <c r="C3" s="11" t="inlineStr">
        <is>
          <t>마케팅1팀</t>
        </is>
      </c>
      <c r="E3" s="11" t="inlineStr">
        <is>
          <t>기획</t>
        </is>
      </c>
      <c r="G3" s="11" t="inlineStr">
        <is>
          <t>Chatgpt</t>
        </is>
      </c>
      <c r="I3" s="11" t="inlineStr">
        <is>
          <t>엄지연</t>
        </is>
      </c>
      <c r="K3" s="12" t="inlineStr">
        <is>
          <t>월 가동일수</t>
        </is>
      </c>
      <c r="L3" s="13" t="n">
        <v>20</v>
      </c>
    </row>
    <row r="4">
      <c r="A4" s="11" t="inlineStr">
        <is>
          <t>RF 글로벌</t>
        </is>
      </c>
      <c r="C4" s="11" t="inlineStr">
        <is>
          <t>마케팅2팀</t>
        </is>
      </c>
      <c r="E4" s="11" t="inlineStr">
        <is>
          <t>이미지</t>
        </is>
      </c>
      <c r="G4" s="11" t="inlineStr">
        <is>
          <t>Freepik</t>
        </is>
      </c>
      <c r="I4" s="11" t="inlineStr">
        <is>
          <t>변정현</t>
        </is>
      </c>
      <c r="K4" s="12" t="inlineStr">
        <is>
          <t>1일=MD</t>
        </is>
      </c>
      <c r="L4" s="13" t="n">
        <v>1</v>
      </c>
    </row>
    <row r="5">
      <c r="A5" s="11" t="inlineStr">
        <is>
          <t>SOL 인챈트</t>
        </is>
      </c>
      <c r="C5" s="11" t="inlineStr">
        <is>
          <t>마케팅3팀</t>
        </is>
      </c>
      <c r="E5" s="11" t="inlineStr">
        <is>
          <t>영상</t>
        </is>
      </c>
      <c r="G5" s="11" t="inlineStr">
        <is>
          <t>Midjourney</t>
        </is>
      </c>
      <c r="I5" s="11" t="inlineStr">
        <is>
          <t>구유진</t>
        </is>
      </c>
      <c r="K5" s="12" t="inlineStr">
        <is>
          <t>간트 시작일</t>
        </is>
      </c>
      <c r="L5" s="14">
        <f>DATE(2026,6,1)</f>
        <v/>
      </c>
    </row>
    <row r="6">
      <c r="A6" s="11" t="inlineStr">
        <is>
          <t>스톤에이지펫월드</t>
        </is>
      </c>
      <c r="C6" s="11" t="inlineStr">
        <is>
          <t>마케팅4팀</t>
        </is>
      </c>
      <c r="G6" s="11" t="inlineStr">
        <is>
          <t>Kling</t>
        </is>
      </c>
      <c r="I6" s="11" t="inlineStr">
        <is>
          <t>김민성</t>
        </is>
      </c>
    </row>
    <row r="7">
      <c r="A7" s="11" t="inlineStr">
        <is>
          <t>칠대죄오리진</t>
        </is>
      </c>
      <c r="C7" s="11" t="inlineStr">
        <is>
          <t>기타</t>
        </is>
      </c>
      <c r="G7" s="11" t="inlineStr">
        <is>
          <t>Magnific</t>
        </is>
      </c>
      <c r="I7" s="11" t="inlineStr">
        <is>
          <t>이고은</t>
        </is>
      </c>
      <c r="K7" s="9" t="inlineStr">
        <is>
          <t>구분별 일 TO 캐파</t>
        </is>
      </c>
      <c r="L7" s="10" t="n"/>
    </row>
    <row r="8">
      <c r="A8" s="11" t="inlineStr">
        <is>
          <t>세나리버스</t>
        </is>
      </c>
      <c r="G8" s="11" t="inlineStr">
        <is>
          <t>Gemini</t>
        </is>
      </c>
      <c r="I8" s="11" t="inlineStr">
        <is>
          <t>최소연</t>
        </is>
      </c>
      <c r="K8" s="15" t="inlineStr">
        <is>
          <t>기획</t>
        </is>
      </c>
      <c r="L8" s="13" t="n">
        <v>3</v>
      </c>
    </row>
    <row r="9">
      <c r="A9" s="11" t="inlineStr">
        <is>
          <t>몬길</t>
        </is>
      </c>
      <c r="G9" s="11" t="inlineStr">
        <is>
          <t>Firefly</t>
        </is>
      </c>
      <c r="I9" s="11" t="inlineStr">
        <is>
          <t>양재혁</t>
        </is>
      </c>
      <c r="K9" s="15" t="inlineStr">
        <is>
          <t>이미지</t>
        </is>
      </c>
      <c r="L9" s="13" t="n">
        <v>8</v>
      </c>
    </row>
    <row r="10">
      <c r="A10" s="11" t="inlineStr">
        <is>
          <t>왕겜(GOT)</t>
        </is>
      </c>
      <c r="G10" s="11" t="inlineStr">
        <is>
          <t>Seedance</t>
        </is>
      </c>
      <c r="I10" s="11" t="inlineStr">
        <is>
          <t>고은별</t>
        </is>
      </c>
      <c r="K10" s="15" t="inlineStr">
        <is>
          <t>영상</t>
        </is>
      </c>
      <c r="L10" s="13" t="n">
        <v>6</v>
      </c>
    </row>
    <row r="11">
      <c r="A11" s="11" t="inlineStr">
        <is>
          <t>몬스터길들이기</t>
        </is>
      </c>
      <c r="G11" s="11" t="inlineStr">
        <is>
          <t>Higgsfield</t>
        </is>
      </c>
      <c r="I11" s="11" t="inlineStr">
        <is>
          <t>석지웅</t>
        </is>
      </c>
    </row>
    <row r="12">
      <c r="A12" s="11" t="inlineStr">
        <is>
          <t>라이즈오브</t>
        </is>
      </c>
      <c r="G12" s="11" t="inlineStr">
        <is>
          <t>SUNO</t>
        </is>
      </c>
      <c r="I12" s="11" t="inlineStr">
        <is>
          <t>강수민</t>
        </is>
      </c>
    </row>
    <row r="13">
      <c r="A13" s="16" t="inlineStr"/>
      <c r="G13" s="11" t="inlineStr">
        <is>
          <t>Veo</t>
        </is>
      </c>
      <c r="I13" s="11" t="inlineStr">
        <is>
          <t>김연경</t>
        </is>
      </c>
      <c r="K13" s="9" t="inlineStr">
        <is>
          <t>시간→MD (8h=1.0)</t>
        </is>
      </c>
      <c r="L13" s="10" t="n"/>
    </row>
    <row r="14">
      <c r="A14" s="16" t="inlineStr"/>
      <c r="G14" s="11" t="inlineStr">
        <is>
          <t>NanoBanana</t>
        </is>
      </c>
      <c r="I14" s="11" t="inlineStr">
        <is>
          <t>윤예림</t>
        </is>
      </c>
      <c r="K14" s="17" t="inlineStr">
        <is>
          <t>1h</t>
        </is>
      </c>
      <c r="L14" s="18" t="n">
        <v>0.125</v>
      </c>
    </row>
    <row r="15">
      <c r="A15" s="16" t="inlineStr"/>
      <c r="G15" s="11" t="inlineStr">
        <is>
          <t>Runway</t>
        </is>
      </c>
      <c r="I15" s="11" t="inlineStr">
        <is>
          <t>김은지</t>
        </is>
      </c>
      <c r="K15" s="17" t="inlineStr">
        <is>
          <t>2h</t>
        </is>
      </c>
      <c r="L15" s="18" t="n">
        <v>0.25</v>
      </c>
    </row>
    <row r="16">
      <c r="A16" s="16" t="inlineStr"/>
      <c r="I16" s="11" t="inlineStr">
        <is>
          <t>이수정</t>
        </is>
      </c>
      <c r="K16" s="17" t="inlineStr">
        <is>
          <t>3h</t>
        </is>
      </c>
      <c r="L16" s="18" t="n">
        <v>0.375</v>
      </c>
    </row>
    <row r="17">
      <c r="A17" s="16" t="inlineStr"/>
      <c r="I17" s="11" t="inlineStr">
        <is>
          <t>김다은</t>
        </is>
      </c>
      <c r="K17" s="17" t="inlineStr">
        <is>
          <t>4h</t>
        </is>
      </c>
      <c r="L17" s="18" t="n">
        <v>0.5</v>
      </c>
    </row>
    <row r="18">
      <c r="A18" s="16" t="inlineStr"/>
      <c r="I18" s="11" t="inlineStr">
        <is>
          <t>송정호</t>
        </is>
      </c>
      <c r="K18" s="17" t="inlineStr">
        <is>
          <t>5h</t>
        </is>
      </c>
      <c r="L18" s="18" t="n">
        <v>0.625</v>
      </c>
    </row>
    <row r="19">
      <c r="A19" s="16" t="inlineStr"/>
      <c r="I19" s="11" t="inlineStr">
        <is>
          <t>문예지</t>
        </is>
      </c>
      <c r="K19" s="17" t="inlineStr">
        <is>
          <t>6h</t>
        </is>
      </c>
      <c r="L19" s="18" t="n">
        <v>0.75</v>
      </c>
    </row>
    <row r="20">
      <c r="A20" s="16" t="inlineStr"/>
      <c r="I20" s="11" t="inlineStr">
        <is>
          <t>박선민</t>
        </is>
      </c>
      <c r="K20" s="17" t="inlineStr">
        <is>
          <t>7h</t>
        </is>
      </c>
      <c r="L20" s="18" t="n">
        <v>0.875</v>
      </c>
    </row>
    <row r="21">
      <c r="A21" s="16" t="inlineStr"/>
      <c r="I21" s="11" t="inlineStr">
        <is>
          <t>정지은</t>
        </is>
      </c>
      <c r="K21" s="17" t="inlineStr">
        <is>
          <t>8h</t>
        </is>
      </c>
      <c r="L21" s="18" t="n">
        <v>1</v>
      </c>
    </row>
    <row r="22">
      <c r="A22" s="16" t="inlineStr"/>
      <c r="I22" s="11" t="inlineStr">
        <is>
          <t>석지용</t>
        </is>
      </c>
    </row>
    <row r="23">
      <c r="A23" s="16" t="inlineStr"/>
      <c r="I23" s="11" t="inlineStr">
        <is>
          <t>강민우</t>
        </is>
      </c>
    </row>
    <row r="24">
      <c r="A24" s="16" t="inlineStr"/>
      <c r="I24" s="11" t="inlineStr">
        <is>
          <t>강승일</t>
        </is>
      </c>
    </row>
    <row r="25">
      <c r="A25" s="16" t="inlineStr"/>
      <c r="I25" s="11" t="inlineStr">
        <is>
          <t>이지현</t>
        </is>
      </c>
    </row>
    <row r="26">
      <c r="A26" s="16" t="inlineStr"/>
      <c r="I26" s="11" t="inlineStr">
        <is>
          <t>김창환</t>
        </is>
      </c>
    </row>
    <row r="27">
      <c r="A27" s="16" t="inlineStr"/>
      <c r="I27" s="11" t="inlineStr">
        <is>
          <t>문경선</t>
        </is>
      </c>
    </row>
    <row r="28">
      <c r="I28" s="11" t="inlineStr">
        <is>
          <t>박태원</t>
        </is>
      </c>
    </row>
    <row r="29">
      <c r="I29" s="11" t="inlineStr">
        <is>
          <t>최한은</t>
        </is>
      </c>
    </row>
    <row r="30">
      <c r="I30" s="11" t="inlineStr">
        <is>
          <t>장은서</t>
        </is>
      </c>
    </row>
    <row r="33">
      <c r="A33" s="19" t="inlineStr">
        <is>
          <t>비나(VINA) 운영 시나리오</t>
        </is>
      </c>
    </row>
    <row r="34">
      <c r="A34" s="20" t="inlineStr">
        <is>
          <t>방안 1</t>
        </is>
      </c>
      <c r="C34" s="21" t="inlineStr">
        <is>
          <t>기획+내부디자인+비나영상 → 비나 영상제작 공수는 MAX(영상)실 매출로 귀속</t>
        </is>
      </c>
    </row>
    <row r="35">
      <c r="A35" s="20" t="inlineStr">
        <is>
          <t>방안 2</t>
        </is>
      </c>
      <c r="C35" s="21" t="inlineStr">
        <is>
          <t>비나는 사이즈베리만 → 영상 사이즈베리는 디자인실 공수로 흡수</t>
        </is>
      </c>
    </row>
    <row r="36">
      <c r="A36" s="20" t="inlineStr">
        <is>
          <t>방안 3</t>
        </is>
      </c>
      <c r="C36" s="21" t="inlineStr">
        <is>
          <t>비나 이미지팀 TO 추가발주(전담) → 독립 라인 + 이미지TO 추가비용 가산</t>
        </is>
      </c>
    </row>
    <row r="37">
      <c r="A37" s="20" t="inlineStr">
        <is>
          <t>방안 4</t>
        </is>
      </c>
      <c r="C37" s="21" t="inlineStr">
        <is>
          <t>본사 프로세스: 비나 영상팀+이미지팀 통합 (이미지 TO 추가발주 X)</t>
        </is>
      </c>
    </row>
  </sheetData>
  <mergeCells count="7">
    <mergeCell ref="C37:L37"/>
    <mergeCell ref="K7:L7"/>
    <mergeCell ref="K2:L2"/>
    <mergeCell ref="C35:L35"/>
    <mergeCell ref="C34:L34"/>
    <mergeCell ref="K13:L13"/>
    <mergeCell ref="C36:L36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9"/>
  <sheetViews>
    <sheetView showGridLines="0"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9" customWidth="1" min="4" max="4"/>
    <col width="11" customWidth="1" min="5" max="5"/>
    <col width="22" customWidth="1" min="6" max="6"/>
    <col width="6" customWidth="1" min="7" max="7"/>
    <col width="9" customWidth="1" min="8" max="8"/>
    <col width="9" customWidth="1" min="9" max="9"/>
    <col width="5" customWidth="1" min="10" max="10"/>
    <col width="6" customWidth="1" min="11" max="11"/>
    <col width="7" customWidth="1" min="12" max="12"/>
    <col width="7" customWidth="1" min="13" max="13"/>
    <col width="9" customWidth="1" min="14" max="14"/>
    <col width="6" customWidth="1" min="15" max="15"/>
    <col width="14" customWidth="1" min="16" max="16"/>
    <col width="30" customWidth="1" min="17" max="17"/>
    <col width="2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</cols>
  <sheetData>
    <row r="1">
      <c r="A1" s="22" t="inlineStr">
        <is>
          <t>작업 정보 (누가·무엇을)</t>
        </is>
      </c>
      <c r="G1" s="23" t="inlineStr">
        <is>
          <t>일정 · 공수 · 자동 마감예측</t>
        </is>
      </c>
      <c r="P1" s="24" t="inlineStr">
        <is>
          <t>AI/내용</t>
        </is>
      </c>
      <c r="S1" s="9" t="inlineStr">
        <is>
          <t>간트 (마스터 간트시작일 기준 31일 · 주말 음영 · 구분별 색)</t>
        </is>
      </c>
    </row>
    <row r="2">
      <c r="A2" s="25" t="inlineStr">
        <is>
          <t>No</t>
        </is>
      </c>
      <c r="B2" s="25" t="inlineStr">
        <is>
          <t>구분</t>
        </is>
      </c>
      <c r="C2" s="25" t="inlineStr">
        <is>
          <t>프로젝트명</t>
        </is>
      </c>
      <c r="D2" s="25" t="inlineStr">
        <is>
          <t>고객팀</t>
        </is>
      </c>
      <c r="E2" s="25" t="inlineStr">
        <is>
          <t>작업담당자</t>
        </is>
      </c>
      <c r="F2" s="25" t="inlineStr">
        <is>
          <t>소재명</t>
        </is>
      </c>
      <c r="G2" s="25" t="inlineStr">
        <is>
          <t>WEEK</t>
        </is>
      </c>
      <c r="H2" s="25" t="inlineStr">
        <is>
          <t>요청일</t>
        </is>
      </c>
      <c r="I2" s="25" t="inlineStr">
        <is>
          <t>완료일</t>
        </is>
      </c>
      <c r="J2" s="25" t="inlineStr">
        <is>
          <t>수량</t>
        </is>
      </c>
      <c r="K2" s="25" t="inlineStr">
        <is>
          <t>공수
MD</t>
        </is>
      </c>
      <c r="L2" s="25" t="inlineStr">
        <is>
          <t>상태</t>
        </is>
      </c>
      <c r="M2" s="25" t="inlineStr">
        <is>
          <t>소요일
(자동)</t>
        </is>
      </c>
      <c r="N2" s="25" t="inlineStr">
        <is>
          <t>예상완료
(자동)</t>
        </is>
      </c>
      <c r="O2" s="25" t="inlineStr">
        <is>
          <t>여유
(일)</t>
        </is>
      </c>
      <c r="P2" s="25" t="inlineStr">
        <is>
          <t>사용AI</t>
        </is>
      </c>
      <c r="Q2" s="25" t="inlineStr">
        <is>
          <t>제작내용</t>
        </is>
      </c>
      <c r="S2" s="26">
        <f>'마스터'!$L$5</f>
        <v/>
      </c>
      <c r="T2" s="26">
        <f>S2+1</f>
        <v/>
      </c>
      <c r="U2" s="26">
        <f>T2+1</f>
        <v/>
      </c>
      <c r="V2" s="26">
        <f>U2+1</f>
        <v/>
      </c>
      <c r="W2" s="26">
        <f>V2+1</f>
        <v/>
      </c>
      <c r="X2" s="26">
        <f>W2+1</f>
        <v/>
      </c>
      <c r="Y2" s="26">
        <f>X2+1</f>
        <v/>
      </c>
      <c r="Z2" s="26">
        <f>Y2+1</f>
        <v/>
      </c>
      <c r="AA2" s="26">
        <f>Z2+1</f>
        <v/>
      </c>
      <c r="AB2" s="26">
        <f>AA2+1</f>
        <v/>
      </c>
      <c r="AC2" s="26">
        <f>AB2+1</f>
        <v/>
      </c>
      <c r="AD2" s="26">
        <f>AC2+1</f>
        <v/>
      </c>
      <c r="AE2" s="26">
        <f>AD2+1</f>
        <v/>
      </c>
      <c r="AF2" s="26">
        <f>AE2+1</f>
        <v/>
      </c>
      <c r="AG2" s="26">
        <f>AF2+1</f>
        <v/>
      </c>
      <c r="AH2" s="26">
        <f>AG2+1</f>
        <v/>
      </c>
      <c r="AI2" s="26">
        <f>AH2+1</f>
        <v/>
      </c>
      <c r="AJ2" s="26">
        <f>AI2+1</f>
        <v/>
      </c>
      <c r="AK2" s="26">
        <f>AJ2+1</f>
        <v/>
      </c>
      <c r="AL2" s="26">
        <f>AK2+1</f>
        <v/>
      </c>
      <c r="AM2" s="26">
        <f>AL2+1</f>
        <v/>
      </c>
      <c r="AN2" s="26">
        <f>AM2+1</f>
        <v/>
      </c>
      <c r="AO2" s="26">
        <f>AN2+1</f>
        <v/>
      </c>
      <c r="AP2" s="26">
        <f>AO2+1</f>
        <v/>
      </c>
      <c r="AQ2" s="26">
        <f>AP2+1</f>
        <v/>
      </c>
      <c r="AR2" s="26">
        <f>AQ2+1</f>
        <v/>
      </c>
      <c r="AS2" s="26">
        <f>AR2+1</f>
        <v/>
      </c>
      <c r="AT2" s="26">
        <f>AS2+1</f>
        <v/>
      </c>
      <c r="AU2" s="26">
        <f>AT2+1</f>
        <v/>
      </c>
      <c r="AV2" s="26">
        <f>AU2+1</f>
        <v/>
      </c>
      <c r="AW2" s="26">
        <f>AV2+1</f>
        <v/>
      </c>
    </row>
    <row r="3">
      <c r="A3" s="17">
        <f>IF(C3="","",COUNTA($C$3:C3))</f>
        <v/>
      </c>
      <c r="B3" s="27" t="inlineStr">
        <is>
          <t>이미지</t>
        </is>
      </c>
      <c r="C3" s="28" t="inlineStr">
        <is>
          <t>뱀피르</t>
        </is>
      </c>
      <c r="D3" s="27" t="inlineStr">
        <is>
          <t>마케팅1팀</t>
        </is>
      </c>
      <c r="E3" s="27" t="inlineStr">
        <is>
          <t>엄지연</t>
        </is>
      </c>
      <c r="F3" s="28" t="inlineStr">
        <is>
          <t>VAM_200024_PRE_IMAGE_HL_BOSS</t>
        </is>
      </c>
      <c r="G3" s="17">
        <f>IF(H3="","","W"&amp;ROUNDUP((H3-'마스터'!$L$5+1)/7,0))</f>
        <v/>
      </c>
      <c r="H3" s="29">
        <f>DATE(2026,6,2)</f>
        <v/>
      </c>
      <c r="I3" s="29">
        <f>DATE(2026,6,4)</f>
        <v/>
      </c>
      <c r="J3" s="27" t="n">
        <v>1</v>
      </c>
      <c r="K3" s="30" t="n">
        <v>1</v>
      </c>
      <c r="L3" s="27" t="inlineStr">
        <is>
          <t>진행</t>
        </is>
      </c>
      <c r="M3" s="17">
        <f>IF(OR(K3="",K3=0),0,ROUNDUP(K3/'마스터'!$L$4,0))</f>
        <v/>
      </c>
      <c r="N3" s="31">
        <f>IF(OR(H3="",M3=0),"",WORKDAY(H3-1,M3))</f>
        <v/>
      </c>
      <c r="O3" s="32">
        <f>IF(OR(I3="",N3=""),"",I3-N3)</f>
        <v/>
      </c>
      <c r="P3" s="28" t="inlineStr">
        <is>
          <t>Chatgpt, Freepik</t>
        </is>
      </c>
      <c r="Q3" s="28" t="inlineStr">
        <is>
          <t>보스 몬스터 배경+CTA 생성</t>
        </is>
      </c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33" t="n"/>
      <c r="AE3" s="33" t="n"/>
      <c r="AF3" s="33" t="n"/>
      <c r="AG3" s="33" t="n"/>
      <c r="AH3" s="33" t="n"/>
      <c r="AI3" s="33" t="n"/>
      <c r="AJ3" s="33" t="n"/>
      <c r="AK3" s="33" t="n"/>
      <c r="AL3" s="33" t="n"/>
      <c r="AM3" s="33" t="n"/>
      <c r="AN3" s="33" t="n"/>
      <c r="AO3" s="33" t="n"/>
      <c r="AP3" s="33" t="n"/>
      <c r="AQ3" s="33" t="n"/>
      <c r="AR3" s="33" t="n"/>
      <c r="AS3" s="33" t="n"/>
      <c r="AT3" s="33" t="n"/>
      <c r="AU3" s="33" t="n"/>
      <c r="AV3" s="33" t="n"/>
      <c r="AW3" s="33" t="n"/>
    </row>
    <row r="4">
      <c r="A4" s="17">
        <f>IF(C4="","",COUNTA($C$3:C4))</f>
        <v/>
      </c>
      <c r="B4" s="27" t="inlineStr">
        <is>
          <t>이미지</t>
        </is>
      </c>
      <c r="C4" s="28" t="inlineStr">
        <is>
          <t>SOL 인챈트</t>
        </is>
      </c>
      <c r="D4" s="27" t="inlineStr">
        <is>
          <t>마케팅3팀</t>
        </is>
      </c>
      <c r="E4" s="27" t="inlineStr">
        <is>
          <t>김민성</t>
        </is>
      </c>
      <c r="F4" s="28" t="inlineStr">
        <is>
          <t>SOL_000120_PRE_IMAGE_H_COUNTDOWN5</t>
        </is>
      </c>
      <c r="G4" s="17">
        <f>IF(H4="","","W"&amp;ROUNDUP((H4-'마스터'!$L$5+1)/7,0))</f>
        <v/>
      </c>
      <c r="H4" s="29">
        <f>DATE(2026,6,2)</f>
        <v/>
      </c>
      <c r="I4" s="29">
        <f>DATE(2026,6,5)</f>
        <v/>
      </c>
      <c r="J4" s="27" t="n">
        <v>1</v>
      </c>
      <c r="K4" s="30" t="n">
        <v>1.5</v>
      </c>
      <c r="L4" s="27" t="inlineStr">
        <is>
          <t>진행</t>
        </is>
      </c>
      <c r="M4" s="17">
        <f>IF(OR(K4="",K4=0),0,ROUNDUP(K4/'마스터'!$L$4,0))</f>
        <v/>
      </c>
      <c r="N4" s="31">
        <f>IF(OR(H4="",M4=0),"",WORKDAY(H4-1,M4))</f>
        <v/>
      </c>
      <c r="O4" s="32">
        <f>IF(OR(I4="",N4=""),"",I4-N4)</f>
        <v/>
      </c>
      <c r="P4" s="28" t="inlineStr">
        <is>
          <t>Midjourney, Freepik</t>
        </is>
      </c>
      <c r="Q4" s="28" t="inlineStr">
        <is>
          <t>신전 배경+캐릭터 생성</t>
        </is>
      </c>
      <c r="S4" s="33" t="n"/>
      <c r="T4" s="33" t="n"/>
      <c r="U4" s="33" t="n"/>
      <c r="V4" s="33" t="n"/>
      <c r="W4" s="33" t="n"/>
      <c r="X4" s="33" t="n"/>
      <c r="Y4" s="33" t="n"/>
      <c r="Z4" s="33" t="n"/>
      <c r="AA4" s="33" t="n"/>
      <c r="AB4" s="33" t="n"/>
      <c r="AC4" s="33" t="n"/>
      <c r="AD4" s="33" t="n"/>
      <c r="AE4" s="33" t="n"/>
      <c r="AF4" s="33" t="n"/>
      <c r="AG4" s="33" t="n"/>
      <c r="AH4" s="33" t="n"/>
      <c r="AI4" s="33" t="n"/>
      <c r="AJ4" s="33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3" t="n"/>
      <c r="AW4" s="33" t="n"/>
    </row>
    <row r="5">
      <c r="A5" s="17">
        <f>IF(C5="","",COUNTA($C$3:C5))</f>
        <v/>
      </c>
      <c r="B5" s="27" t="inlineStr">
        <is>
          <t>영상</t>
        </is>
      </c>
      <c r="C5" s="28" t="inlineStr">
        <is>
          <t>세나리버스</t>
        </is>
      </c>
      <c r="D5" s="27" t="inlineStr">
        <is>
          <t>마케팅2팀</t>
        </is>
      </c>
      <c r="E5" s="27" t="inlineStr">
        <is>
          <t>강민우</t>
        </is>
      </c>
      <c r="F5" s="28" t="inlineStr">
        <is>
          <t>TSKGB_ENDCARD_Dellons_16x9</t>
        </is>
      </c>
      <c r="G5" s="17">
        <f>IF(H5="","","W"&amp;ROUNDUP((H5-'마스터'!$L$5+1)/7,0))</f>
        <v/>
      </c>
      <c r="H5" s="29">
        <f>DATE(2026,6,3)</f>
        <v/>
      </c>
      <c r="I5" s="29">
        <f>DATE(2026,6,5)</f>
        <v/>
      </c>
      <c r="J5" s="27" t="n">
        <v>1</v>
      </c>
      <c r="K5" s="30" t="n">
        <v>2</v>
      </c>
      <c r="L5" s="27" t="inlineStr">
        <is>
          <t>진행</t>
        </is>
      </c>
      <c r="M5" s="17">
        <f>IF(OR(K5="",K5=0),0,ROUNDUP(K5/'마스터'!$L$4,0))</f>
        <v/>
      </c>
      <c r="N5" s="31">
        <f>IF(OR(H5="",M5=0),"",WORKDAY(H5-1,M5))</f>
        <v/>
      </c>
      <c r="O5" s="32">
        <f>IF(OR(I5="",N5=""),"",I5-N5)</f>
        <v/>
      </c>
      <c r="P5" s="28" t="inlineStr">
        <is>
          <t>Kling</t>
        </is>
      </c>
      <c r="Q5" s="28" t="inlineStr">
        <is>
          <t>캐릭터 모션 생성</t>
        </is>
      </c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33" t="n"/>
      <c r="AE5" s="33" t="n"/>
      <c r="AF5" s="33" t="n"/>
      <c r="AG5" s="33" t="n"/>
      <c r="AH5" s="33" t="n"/>
      <c r="AI5" s="33" t="n"/>
      <c r="AJ5" s="33" t="n"/>
      <c r="AK5" s="33" t="n"/>
      <c r="AL5" s="33" t="n"/>
      <c r="AM5" s="33" t="n"/>
      <c r="AN5" s="33" t="n"/>
      <c r="AO5" s="33" t="n"/>
      <c r="AP5" s="33" t="n"/>
      <c r="AQ5" s="33" t="n"/>
      <c r="AR5" s="33" t="n"/>
      <c r="AS5" s="33" t="n"/>
      <c r="AT5" s="33" t="n"/>
      <c r="AU5" s="33" t="n"/>
      <c r="AV5" s="33" t="n"/>
      <c r="AW5" s="33" t="n"/>
    </row>
    <row r="6">
      <c r="A6" s="17">
        <f>IF(C6="","",COUNTA($C$3:C6))</f>
        <v/>
      </c>
      <c r="B6" s="27" t="inlineStr">
        <is>
          <t>기획</t>
        </is>
      </c>
      <c r="C6" s="28" t="inlineStr">
        <is>
          <t>SOL 인챈트</t>
        </is>
      </c>
      <c r="D6" s="27" t="inlineStr">
        <is>
          <t>마케팅3팀</t>
        </is>
      </c>
      <c r="E6" s="27" t="inlineStr">
        <is>
          <t>최한은</t>
        </is>
      </c>
      <c r="F6" s="28" t="inlineStr">
        <is>
          <t>SOL_성장자극소재_기획</t>
        </is>
      </c>
      <c r="G6" s="17">
        <f>IF(H6="","","W"&amp;ROUNDUP((H6-'마스터'!$L$5+1)/7,0))</f>
        <v/>
      </c>
      <c r="H6" s="29">
        <f>DATE(2026,6,4)</f>
        <v/>
      </c>
      <c r="I6" s="29">
        <f>DATE(2026,6,8)</f>
        <v/>
      </c>
      <c r="J6" s="27" t="n">
        <v>3</v>
      </c>
      <c r="K6" s="30" t="n">
        <v>0.5</v>
      </c>
      <c r="L6" s="27" t="inlineStr">
        <is>
          <t>대기</t>
        </is>
      </c>
      <c r="M6" s="17">
        <f>IF(OR(K6="",K6=0),0,ROUNDUP(K6/'마스터'!$L$4,0))</f>
        <v/>
      </c>
      <c r="N6" s="31">
        <f>IF(OR(H6="",M6=0),"",WORKDAY(H6-1,M6))</f>
        <v/>
      </c>
      <c r="O6" s="32">
        <f>IF(OR(I6="",N6=""),"",I6-N6)</f>
        <v/>
      </c>
      <c r="P6" s="28" t="inlineStr">
        <is>
          <t>Chatgpt</t>
        </is>
      </c>
      <c r="Q6" s="28" t="inlineStr">
        <is>
          <t>참고시안+카피 워싱</t>
        </is>
      </c>
      <c r="S6" s="33" t="n"/>
      <c r="T6" s="33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  <c r="AM6" s="33" t="n"/>
      <c r="AN6" s="33" t="n"/>
      <c r="AO6" s="33" t="n"/>
      <c r="AP6" s="33" t="n"/>
      <c r="AQ6" s="33" t="n"/>
      <c r="AR6" s="33" t="n"/>
      <c r="AS6" s="33" t="n"/>
      <c r="AT6" s="33" t="n"/>
      <c r="AU6" s="33" t="n"/>
      <c r="AV6" s="33" t="n"/>
      <c r="AW6" s="33" t="n"/>
    </row>
    <row r="7">
      <c r="A7" s="17">
        <f>IF(C7="","",COUNTA($C$3:C7))</f>
        <v/>
      </c>
      <c r="B7" s="27" t="n"/>
      <c r="C7" s="28" t="n"/>
      <c r="D7" s="27" t="n"/>
      <c r="E7" s="27" t="n"/>
      <c r="F7" s="28" t="n"/>
      <c r="G7" s="17">
        <f>IF(H7="","","W"&amp;ROUNDUP((H7-'마스터'!$L$5+1)/7,0))</f>
        <v/>
      </c>
      <c r="H7" s="29" t="n"/>
      <c r="I7" s="29" t="n"/>
      <c r="J7" s="27" t="n"/>
      <c r="K7" s="30" t="n"/>
      <c r="L7" s="27" t="n"/>
      <c r="M7" s="17">
        <f>IF(OR(K7="",K7=0),0,ROUNDUP(K7/'마스터'!$L$4,0))</f>
        <v/>
      </c>
      <c r="N7" s="31">
        <f>IF(OR(H7="",M7=0),"",WORKDAY(H7-1,M7))</f>
        <v/>
      </c>
      <c r="O7" s="32">
        <f>IF(OR(I7="",N7=""),"",I7-N7)</f>
        <v/>
      </c>
      <c r="P7" s="28" t="n"/>
      <c r="Q7" s="28" t="n"/>
      <c r="S7" s="33" t="n"/>
      <c r="T7" s="33" t="n"/>
      <c r="U7" s="33" t="n"/>
      <c r="V7" s="33" t="n"/>
      <c r="W7" s="33" t="n"/>
      <c r="X7" s="33" t="n"/>
      <c r="Y7" s="33" t="n"/>
      <c r="Z7" s="33" t="n"/>
      <c r="AA7" s="33" t="n"/>
      <c r="AB7" s="33" t="n"/>
      <c r="AC7" s="33" t="n"/>
      <c r="AD7" s="33" t="n"/>
      <c r="AE7" s="33" t="n"/>
      <c r="AF7" s="33" t="n"/>
      <c r="AG7" s="33" t="n"/>
      <c r="AH7" s="33" t="n"/>
      <c r="AI7" s="33" t="n"/>
      <c r="AJ7" s="33" t="n"/>
      <c r="AK7" s="33" t="n"/>
      <c r="AL7" s="33" t="n"/>
      <c r="AM7" s="33" t="n"/>
      <c r="AN7" s="33" t="n"/>
      <c r="AO7" s="33" t="n"/>
      <c r="AP7" s="33" t="n"/>
      <c r="AQ7" s="33" t="n"/>
      <c r="AR7" s="33" t="n"/>
      <c r="AS7" s="33" t="n"/>
      <c r="AT7" s="33" t="n"/>
      <c r="AU7" s="33" t="n"/>
      <c r="AV7" s="33" t="n"/>
      <c r="AW7" s="33" t="n"/>
    </row>
    <row r="8">
      <c r="A8" s="17">
        <f>IF(C8="","",COUNTA($C$3:C8))</f>
        <v/>
      </c>
      <c r="B8" s="27" t="n"/>
      <c r="C8" s="28" t="n"/>
      <c r="D8" s="27" t="n"/>
      <c r="E8" s="27" t="n"/>
      <c r="F8" s="28" t="n"/>
      <c r="G8" s="17">
        <f>IF(H8="","","W"&amp;ROUNDUP((H8-'마스터'!$L$5+1)/7,0))</f>
        <v/>
      </c>
      <c r="H8" s="29" t="n"/>
      <c r="I8" s="29" t="n"/>
      <c r="J8" s="27" t="n"/>
      <c r="K8" s="30" t="n"/>
      <c r="L8" s="27" t="n"/>
      <c r="M8" s="17">
        <f>IF(OR(K8="",K8=0),0,ROUNDUP(K8/'마스터'!$L$4,0))</f>
        <v/>
      </c>
      <c r="N8" s="31">
        <f>IF(OR(H8="",M8=0),"",WORKDAY(H8-1,M8))</f>
        <v/>
      </c>
      <c r="O8" s="32">
        <f>IF(OR(I8="",N8=""),"",I8-N8)</f>
        <v/>
      </c>
      <c r="P8" s="28" t="n"/>
      <c r="Q8" s="28" t="n"/>
      <c r="S8" s="33" t="n"/>
      <c r="T8" s="33" t="n"/>
      <c r="U8" s="33" t="n"/>
      <c r="V8" s="33" t="n"/>
      <c r="W8" s="33" t="n"/>
      <c r="X8" s="33" t="n"/>
      <c r="Y8" s="33" t="n"/>
      <c r="Z8" s="33" t="n"/>
      <c r="AA8" s="33" t="n"/>
      <c r="AB8" s="33" t="n"/>
      <c r="AC8" s="33" t="n"/>
      <c r="AD8" s="33" t="n"/>
      <c r="AE8" s="33" t="n"/>
      <c r="AF8" s="33" t="n"/>
      <c r="AG8" s="33" t="n"/>
      <c r="AH8" s="33" t="n"/>
      <c r="AI8" s="33" t="n"/>
      <c r="AJ8" s="33" t="n"/>
      <c r="AK8" s="33" t="n"/>
      <c r="AL8" s="33" t="n"/>
      <c r="AM8" s="33" t="n"/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  <c r="AW8" s="33" t="n"/>
    </row>
    <row r="9">
      <c r="A9" s="17">
        <f>IF(C9="","",COUNTA($C$3:C9))</f>
        <v/>
      </c>
      <c r="B9" s="27" t="n"/>
      <c r="C9" s="28" t="n"/>
      <c r="D9" s="27" t="n"/>
      <c r="E9" s="27" t="n"/>
      <c r="F9" s="28" t="n"/>
      <c r="G9" s="17">
        <f>IF(H9="","","W"&amp;ROUNDUP((H9-'마스터'!$L$5+1)/7,0))</f>
        <v/>
      </c>
      <c r="H9" s="29" t="n"/>
      <c r="I9" s="29" t="n"/>
      <c r="J9" s="27" t="n"/>
      <c r="K9" s="30" t="n"/>
      <c r="L9" s="27" t="n"/>
      <c r="M9" s="17">
        <f>IF(OR(K9="",K9=0),0,ROUNDUP(K9/'마스터'!$L$4,0))</f>
        <v/>
      </c>
      <c r="N9" s="31">
        <f>IF(OR(H9="",M9=0),"",WORKDAY(H9-1,M9))</f>
        <v/>
      </c>
      <c r="O9" s="32">
        <f>IF(OR(I9="",N9=""),"",I9-N9)</f>
        <v/>
      </c>
      <c r="P9" s="28" t="n"/>
      <c r="Q9" s="28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H9" s="33" t="n"/>
      <c r="AI9" s="33" t="n"/>
      <c r="AJ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W9" s="33" t="n"/>
    </row>
    <row r="10">
      <c r="A10" s="17">
        <f>IF(C10="","",COUNTA($C$3:C10))</f>
        <v/>
      </c>
      <c r="B10" s="27" t="n"/>
      <c r="C10" s="28" t="n"/>
      <c r="D10" s="27" t="n"/>
      <c r="E10" s="27" t="n"/>
      <c r="F10" s="28" t="n"/>
      <c r="G10" s="17">
        <f>IF(H10="","","W"&amp;ROUNDUP((H10-'마스터'!$L$5+1)/7,0))</f>
        <v/>
      </c>
      <c r="H10" s="29" t="n"/>
      <c r="I10" s="29" t="n"/>
      <c r="J10" s="27" t="n"/>
      <c r="K10" s="30" t="n"/>
      <c r="L10" s="27" t="n"/>
      <c r="M10" s="17">
        <f>IF(OR(K10="",K10=0),0,ROUNDUP(K10/'마스터'!$L$4,0))</f>
        <v/>
      </c>
      <c r="N10" s="31">
        <f>IF(OR(H10="",M10=0),"",WORKDAY(H10-1,M10))</f>
        <v/>
      </c>
      <c r="O10" s="32">
        <f>IF(OR(I10="",N10=""),"",I10-N10)</f>
        <v/>
      </c>
      <c r="P10" s="28" t="n"/>
      <c r="Q10" s="28" t="n"/>
      <c r="S10" s="33" t="n"/>
      <c r="T10" s="33" t="n"/>
      <c r="U10" s="33" t="n"/>
      <c r="V10" s="33" t="n"/>
      <c r="W10" s="33" t="n"/>
      <c r="X10" s="33" t="n"/>
      <c r="Y10" s="33" t="n"/>
      <c r="Z10" s="33" t="n"/>
      <c r="AA10" s="33" t="n"/>
      <c r="AB10" s="33" t="n"/>
      <c r="AC10" s="33" t="n"/>
      <c r="AD10" s="33" t="n"/>
      <c r="AE10" s="33" t="n"/>
      <c r="AF10" s="33" t="n"/>
      <c r="AG10" s="33" t="n"/>
      <c r="AH10" s="33" t="n"/>
      <c r="AI10" s="33" t="n"/>
      <c r="AJ10" s="33" t="n"/>
      <c r="AK10" s="33" t="n"/>
      <c r="AL10" s="33" t="n"/>
      <c r="AM10" s="33" t="n"/>
      <c r="AN10" s="33" t="n"/>
      <c r="AO10" s="33" t="n"/>
      <c r="AP10" s="33" t="n"/>
      <c r="AQ10" s="33" t="n"/>
      <c r="AR10" s="33" t="n"/>
      <c r="AS10" s="33" t="n"/>
      <c r="AT10" s="33" t="n"/>
      <c r="AU10" s="33" t="n"/>
      <c r="AV10" s="33" t="n"/>
      <c r="AW10" s="33" t="n"/>
    </row>
    <row r="11">
      <c r="A11" s="17">
        <f>IF(C11="","",COUNTA($C$3:C11))</f>
        <v/>
      </c>
      <c r="B11" s="27" t="n"/>
      <c r="C11" s="28" t="n"/>
      <c r="D11" s="27" t="n"/>
      <c r="E11" s="27" t="n"/>
      <c r="F11" s="28" t="n"/>
      <c r="G11" s="17">
        <f>IF(H11="","","W"&amp;ROUNDUP((H11-'마스터'!$L$5+1)/7,0))</f>
        <v/>
      </c>
      <c r="H11" s="29" t="n"/>
      <c r="I11" s="29" t="n"/>
      <c r="J11" s="27" t="n"/>
      <c r="K11" s="30" t="n"/>
      <c r="L11" s="27" t="n"/>
      <c r="M11" s="17">
        <f>IF(OR(K11="",K11=0),0,ROUNDUP(K11/'마스터'!$L$4,0))</f>
        <v/>
      </c>
      <c r="N11" s="31">
        <f>IF(OR(H11="",M11=0),"",WORKDAY(H11-1,M11))</f>
        <v/>
      </c>
      <c r="O11" s="32">
        <f>IF(OR(I11="",N11=""),"",I11-N11)</f>
        <v/>
      </c>
      <c r="P11" s="28" t="n"/>
      <c r="Q11" s="28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3" t="n"/>
      <c r="AG11" s="33" t="n"/>
      <c r="AH11" s="33" t="n"/>
      <c r="AI11" s="33" t="n"/>
      <c r="AJ11" s="33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3" t="n"/>
      <c r="AW11" s="33" t="n"/>
    </row>
    <row r="12">
      <c r="A12" s="17">
        <f>IF(C12="","",COUNTA($C$3:C12))</f>
        <v/>
      </c>
      <c r="B12" s="27" t="n"/>
      <c r="C12" s="28" t="n"/>
      <c r="D12" s="27" t="n"/>
      <c r="E12" s="27" t="n"/>
      <c r="F12" s="28" t="n"/>
      <c r="G12" s="17">
        <f>IF(H12="","","W"&amp;ROUNDUP((H12-'마스터'!$L$5+1)/7,0))</f>
        <v/>
      </c>
      <c r="H12" s="29" t="n"/>
      <c r="I12" s="29" t="n"/>
      <c r="J12" s="27" t="n"/>
      <c r="K12" s="30" t="n"/>
      <c r="L12" s="27" t="n"/>
      <c r="M12" s="17">
        <f>IF(OR(K12="",K12=0),0,ROUNDUP(K12/'마스터'!$L$4,0))</f>
        <v/>
      </c>
      <c r="N12" s="31">
        <f>IF(OR(H12="",M12=0),"",WORKDAY(H12-1,M12))</f>
        <v/>
      </c>
      <c r="O12" s="32">
        <f>IF(OR(I12="",N12=""),"",I12-N12)</f>
        <v/>
      </c>
      <c r="P12" s="28" t="n"/>
      <c r="Q12" s="28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33" t="n"/>
      <c r="AH12" s="33" t="n"/>
      <c r="AI12" s="33" t="n"/>
      <c r="AJ12" s="33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</row>
    <row r="13">
      <c r="A13" s="17">
        <f>IF(C13="","",COUNTA($C$3:C13))</f>
        <v/>
      </c>
      <c r="B13" s="27" t="n"/>
      <c r="C13" s="28" t="n"/>
      <c r="D13" s="27" t="n"/>
      <c r="E13" s="27" t="n"/>
      <c r="F13" s="28" t="n"/>
      <c r="G13" s="17">
        <f>IF(H13="","","W"&amp;ROUNDUP((H13-'마스터'!$L$5+1)/7,0))</f>
        <v/>
      </c>
      <c r="H13" s="29" t="n"/>
      <c r="I13" s="29" t="n"/>
      <c r="J13" s="27" t="n"/>
      <c r="K13" s="30" t="n"/>
      <c r="L13" s="27" t="n"/>
      <c r="M13" s="17">
        <f>IF(OR(K13="",K13=0),0,ROUNDUP(K13/'마스터'!$L$4,0))</f>
        <v/>
      </c>
      <c r="N13" s="31">
        <f>IF(OR(H13="",M13=0),"",WORKDAY(H13-1,M13))</f>
        <v/>
      </c>
      <c r="O13" s="32">
        <f>IF(OR(I13="",N13=""),"",I13-N13)</f>
        <v/>
      </c>
      <c r="P13" s="28" t="n"/>
      <c r="Q13" s="28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33" t="n"/>
      <c r="AC13" s="33" t="n"/>
      <c r="AD13" s="33" t="n"/>
      <c r="AE13" s="33" t="n"/>
      <c r="AF13" s="33" t="n"/>
      <c r="AG13" s="33" t="n"/>
      <c r="AH13" s="33" t="n"/>
      <c r="AI13" s="33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</row>
    <row r="14">
      <c r="A14" s="17">
        <f>IF(C14="","",COUNTA($C$3:C14))</f>
        <v/>
      </c>
      <c r="B14" s="27" t="n"/>
      <c r="C14" s="28" t="n"/>
      <c r="D14" s="27" t="n"/>
      <c r="E14" s="27" t="n"/>
      <c r="F14" s="28" t="n"/>
      <c r="G14" s="17">
        <f>IF(H14="","","W"&amp;ROUNDUP((H14-'마스터'!$L$5+1)/7,0))</f>
        <v/>
      </c>
      <c r="H14" s="29" t="n"/>
      <c r="I14" s="29" t="n"/>
      <c r="J14" s="27" t="n"/>
      <c r="K14" s="30" t="n"/>
      <c r="L14" s="27" t="n"/>
      <c r="M14" s="17">
        <f>IF(OR(K14="",K14=0),0,ROUNDUP(K14/'마스터'!$L$4,0))</f>
        <v/>
      </c>
      <c r="N14" s="31">
        <f>IF(OR(H14="",M14=0),"",WORKDAY(H14-1,M14))</f>
        <v/>
      </c>
      <c r="O14" s="32">
        <f>IF(OR(I14="",N14=""),"",I14-N14)</f>
        <v/>
      </c>
      <c r="P14" s="28" t="n"/>
      <c r="Q14" s="28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33" t="n"/>
      <c r="AC14" s="33" t="n"/>
      <c r="AD14" s="33" t="n"/>
      <c r="AE14" s="33" t="n"/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</row>
    <row r="15">
      <c r="A15" s="17">
        <f>IF(C15="","",COUNTA($C$3:C15))</f>
        <v/>
      </c>
      <c r="B15" s="27" t="n"/>
      <c r="C15" s="28" t="n"/>
      <c r="D15" s="27" t="n"/>
      <c r="E15" s="27" t="n"/>
      <c r="F15" s="28" t="n"/>
      <c r="G15" s="17">
        <f>IF(H15="","","W"&amp;ROUNDUP((H15-'마스터'!$L$5+1)/7,0))</f>
        <v/>
      </c>
      <c r="H15" s="29" t="n"/>
      <c r="I15" s="29" t="n"/>
      <c r="J15" s="27" t="n"/>
      <c r="K15" s="30" t="n"/>
      <c r="L15" s="27" t="n"/>
      <c r="M15" s="17">
        <f>IF(OR(K15="",K15=0),0,ROUNDUP(K15/'마스터'!$L$4,0))</f>
        <v/>
      </c>
      <c r="N15" s="31">
        <f>IF(OR(H15="",M15=0),"",WORKDAY(H15-1,M15))</f>
        <v/>
      </c>
      <c r="O15" s="32">
        <f>IF(OR(I15="",N15=""),"",I15-N15)</f>
        <v/>
      </c>
      <c r="P15" s="28" t="n"/>
      <c r="Q15" s="28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3" t="n"/>
      <c r="AG15" s="33" t="n"/>
      <c r="AH15" s="33" t="n"/>
      <c r="AI15" s="33" t="n"/>
      <c r="AJ15" s="33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</row>
    <row r="16">
      <c r="A16" s="17">
        <f>IF(C16="","",COUNTA($C$3:C16))</f>
        <v/>
      </c>
      <c r="B16" s="27" t="n"/>
      <c r="C16" s="28" t="n"/>
      <c r="D16" s="27" t="n"/>
      <c r="E16" s="27" t="n"/>
      <c r="F16" s="28" t="n"/>
      <c r="G16" s="17">
        <f>IF(H16="","","W"&amp;ROUNDUP((H16-'마스터'!$L$5+1)/7,0))</f>
        <v/>
      </c>
      <c r="H16" s="29" t="n"/>
      <c r="I16" s="29" t="n"/>
      <c r="J16" s="27" t="n"/>
      <c r="K16" s="30" t="n"/>
      <c r="L16" s="27" t="n"/>
      <c r="M16" s="17">
        <f>IF(OR(K16="",K16=0),0,ROUNDUP(K16/'마스터'!$L$4,0))</f>
        <v/>
      </c>
      <c r="N16" s="31">
        <f>IF(OR(H16="",M16=0),"",WORKDAY(H16-1,M16))</f>
        <v/>
      </c>
      <c r="O16" s="32">
        <f>IF(OR(I16="",N16=""),"",I16-N16)</f>
        <v/>
      </c>
      <c r="P16" s="28" t="n"/>
      <c r="Q16" s="28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</row>
    <row r="17">
      <c r="A17" s="17">
        <f>IF(C17="","",COUNTA($C$3:C17))</f>
        <v/>
      </c>
      <c r="B17" s="27" t="n"/>
      <c r="C17" s="28" t="n"/>
      <c r="D17" s="27" t="n"/>
      <c r="E17" s="27" t="n"/>
      <c r="F17" s="28" t="n"/>
      <c r="G17" s="17">
        <f>IF(H17="","","W"&amp;ROUNDUP((H17-'마스터'!$L$5+1)/7,0))</f>
        <v/>
      </c>
      <c r="H17" s="29" t="n"/>
      <c r="I17" s="29" t="n"/>
      <c r="J17" s="27" t="n"/>
      <c r="K17" s="30" t="n"/>
      <c r="L17" s="27" t="n"/>
      <c r="M17" s="17">
        <f>IF(OR(K17="",K17=0),0,ROUNDUP(K17/'마스터'!$L$4,0))</f>
        <v/>
      </c>
      <c r="N17" s="31">
        <f>IF(OR(H17="",M17=0),"",WORKDAY(H17-1,M17))</f>
        <v/>
      </c>
      <c r="O17" s="32">
        <f>IF(OR(I17="",N17=""),"",I17-N17)</f>
        <v/>
      </c>
      <c r="P17" s="28" t="n"/>
      <c r="Q17" s="28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33" t="n"/>
      <c r="AI17" s="33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</row>
    <row r="18">
      <c r="A18" s="17">
        <f>IF(C18="","",COUNTA($C$3:C18))</f>
        <v/>
      </c>
      <c r="B18" s="27" t="n"/>
      <c r="C18" s="28" t="n"/>
      <c r="D18" s="27" t="n"/>
      <c r="E18" s="27" t="n"/>
      <c r="F18" s="28" t="n"/>
      <c r="G18" s="17">
        <f>IF(H18="","","W"&amp;ROUNDUP((H18-'마스터'!$L$5+1)/7,0))</f>
        <v/>
      </c>
      <c r="H18" s="29" t="n"/>
      <c r="I18" s="29" t="n"/>
      <c r="J18" s="27" t="n"/>
      <c r="K18" s="30" t="n"/>
      <c r="L18" s="27" t="n"/>
      <c r="M18" s="17">
        <f>IF(OR(K18="",K18=0),0,ROUNDUP(K18/'마스터'!$L$4,0))</f>
        <v/>
      </c>
      <c r="N18" s="31">
        <f>IF(OR(H18="",M18=0),"",WORKDAY(H18-1,M18))</f>
        <v/>
      </c>
      <c r="O18" s="32">
        <f>IF(OR(I18="",N18=""),"",I18-N18)</f>
        <v/>
      </c>
      <c r="P18" s="28" t="n"/>
      <c r="Q18" s="28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  <c r="AE18" s="33" t="n"/>
      <c r="AF18" s="33" t="n"/>
      <c r="AG18" s="33" t="n"/>
      <c r="AH18" s="33" t="n"/>
      <c r="AI18" s="33" t="n"/>
      <c r="AJ18" s="33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</row>
    <row r="19">
      <c r="A19" s="17">
        <f>IF(C19="","",COUNTA($C$3:C19))</f>
        <v/>
      </c>
      <c r="B19" s="27" t="n"/>
      <c r="C19" s="28" t="n"/>
      <c r="D19" s="27" t="n"/>
      <c r="E19" s="27" t="n"/>
      <c r="F19" s="28" t="n"/>
      <c r="G19" s="17">
        <f>IF(H19="","","W"&amp;ROUNDUP((H19-'마스터'!$L$5+1)/7,0))</f>
        <v/>
      </c>
      <c r="H19" s="29" t="n"/>
      <c r="I19" s="29" t="n"/>
      <c r="J19" s="27" t="n"/>
      <c r="K19" s="30" t="n"/>
      <c r="L19" s="27" t="n"/>
      <c r="M19" s="17">
        <f>IF(OR(K19="",K19=0),0,ROUNDUP(K19/'마스터'!$L$4,0))</f>
        <v/>
      </c>
      <c r="N19" s="31">
        <f>IF(OR(H19="",M19=0),"",WORKDAY(H19-1,M19))</f>
        <v/>
      </c>
      <c r="O19" s="32">
        <f>IF(OR(I19="",N19=""),"",I19-N19)</f>
        <v/>
      </c>
      <c r="P19" s="28" t="n"/>
      <c r="Q19" s="28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  <c r="AE19" s="33" t="n"/>
      <c r="AF19" s="33" t="n"/>
      <c r="AG19" s="33" t="n"/>
      <c r="AH19" s="33" t="n"/>
      <c r="AI19" s="33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</row>
    <row r="20">
      <c r="A20" s="17">
        <f>IF(C20="","",COUNTA($C$3:C20))</f>
        <v/>
      </c>
      <c r="B20" s="27" t="n"/>
      <c r="C20" s="28" t="n"/>
      <c r="D20" s="27" t="n"/>
      <c r="E20" s="27" t="n"/>
      <c r="F20" s="28" t="n"/>
      <c r="G20" s="17">
        <f>IF(H20="","","W"&amp;ROUNDUP((H20-'마스터'!$L$5+1)/7,0))</f>
        <v/>
      </c>
      <c r="H20" s="29" t="n"/>
      <c r="I20" s="29" t="n"/>
      <c r="J20" s="27" t="n"/>
      <c r="K20" s="30" t="n"/>
      <c r="L20" s="27" t="n"/>
      <c r="M20" s="17">
        <f>IF(OR(K20="",K20=0),0,ROUNDUP(K20/'마스터'!$L$4,0))</f>
        <v/>
      </c>
      <c r="N20" s="31">
        <f>IF(OR(H20="",M20=0),"",WORKDAY(H20-1,M20))</f>
        <v/>
      </c>
      <c r="O20" s="32">
        <f>IF(OR(I20="",N20=""),"",I20-N20)</f>
        <v/>
      </c>
      <c r="P20" s="28" t="n"/>
      <c r="Q20" s="28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33" t="n"/>
      <c r="AI20" s="33" t="n"/>
      <c r="AJ20" s="33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</row>
    <row r="21">
      <c r="A21" s="17">
        <f>IF(C21="","",COUNTA($C$3:C21))</f>
        <v/>
      </c>
      <c r="B21" s="27" t="n"/>
      <c r="C21" s="28" t="n"/>
      <c r="D21" s="27" t="n"/>
      <c r="E21" s="27" t="n"/>
      <c r="F21" s="28" t="n"/>
      <c r="G21" s="17">
        <f>IF(H21="","","W"&amp;ROUNDUP((H21-'마스터'!$L$5+1)/7,0))</f>
        <v/>
      </c>
      <c r="H21" s="29" t="n"/>
      <c r="I21" s="29" t="n"/>
      <c r="J21" s="27" t="n"/>
      <c r="K21" s="30" t="n"/>
      <c r="L21" s="27" t="n"/>
      <c r="M21" s="17">
        <f>IF(OR(K21="",K21=0),0,ROUNDUP(K21/'마스터'!$L$4,0))</f>
        <v/>
      </c>
      <c r="N21" s="31">
        <f>IF(OR(H21="",M21=0),"",WORKDAY(H21-1,M21))</f>
        <v/>
      </c>
      <c r="O21" s="32">
        <f>IF(OR(I21="",N21=""),"",I21-N21)</f>
        <v/>
      </c>
      <c r="P21" s="28" t="n"/>
      <c r="Q21" s="28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33" t="n"/>
      <c r="AI21" s="33" t="n"/>
      <c r="AJ21" s="33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</row>
    <row r="22">
      <c r="A22" s="17">
        <f>IF(C22="","",COUNTA($C$3:C22))</f>
        <v/>
      </c>
      <c r="B22" s="27" t="n"/>
      <c r="C22" s="28" t="n"/>
      <c r="D22" s="27" t="n"/>
      <c r="E22" s="27" t="n"/>
      <c r="F22" s="28" t="n"/>
      <c r="G22" s="17">
        <f>IF(H22="","","W"&amp;ROUNDUP((H22-'마스터'!$L$5+1)/7,0))</f>
        <v/>
      </c>
      <c r="H22" s="29" t="n"/>
      <c r="I22" s="29" t="n"/>
      <c r="J22" s="27" t="n"/>
      <c r="K22" s="30" t="n"/>
      <c r="L22" s="27" t="n"/>
      <c r="M22" s="17">
        <f>IF(OR(K22="",K22=0),0,ROUNDUP(K22/'마스터'!$L$4,0))</f>
        <v/>
      </c>
      <c r="N22" s="31">
        <f>IF(OR(H22="",M22=0),"",WORKDAY(H22-1,M22))</f>
        <v/>
      </c>
      <c r="O22" s="32">
        <f>IF(OR(I22="",N22=""),"",I22-N22)</f>
        <v/>
      </c>
      <c r="P22" s="28" t="n"/>
      <c r="Q22" s="28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33" t="n"/>
      <c r="AC22" s="33" t="n"/>
      <c r="AD22" s="33" t="n"/>
      <c r="AE22" s="33" t="n"/>
      <c r="AF22" s="33" t="n"/>
      <c r="AG22" s="33" t="n"/>
      <c r="AH22" s="33" t="n"/>
      <c r="AI22" s="33" t="n"/>
      <c r="AJ22" s="33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</row>
    <row r="23">
      <c r="A23" s="17">
        <f>IF(C23="","",COUNTA($C$3:C23))</f>
        <v/>
      </c>
      <c r="B23" s="27" t="n"/>
      <c r="C23" s="28" t="n"/>
      <c r="D23" s="27" t="n"/>
      <c r="E23" s="27" t="n"/>
      <c r="F23" s="28" t="n"/>
      <c r="G23" s="17">
        <f>IF(H23="","","W"&amp;ROUNDUP((H23-'마스터'!$L$5+1)/7,0))</f>
        <v/>
      </c>
      <c r="H23" s="29" t="n"/>
      <c r="I23" s="29" t="n"/>
      <c r="J23" s="27" t="n"/>
      <c r="K23" s="30" t="n"/>
      <c r="L23" s="27" t="n"/>
      <c r="M23" s="17">
        <f>IF(OR(K23="",K23=0),0,ROUNDUP(K23/'마스터'!$L$4,0))</f>
        <v/>
      </c>
      <c r="N23" s="31">
        <f>IF(OR(H23="",M23=0),"",WORKDAY(H23-1,M23))</f>
        <v/>
      </c>
      <c r="O23" s="32">
        <f>IF(OR(I23="",N23=""),"",I23-N23)</f>
        <v/>
      </c>
      <c r="P23" s="28" t="n"/>
      <c r="Q23" s="28" t="n"/>
      <c r="S23" s="33" t="n"/>
      <c r="T23" s="33" t="n"/>
      <c r="U23" s="33" t="n"/>
      <c r="V23" s="33" t="n"/>
      <c r="W23" s="33" t="n"/>
      <c r="X23" s="33" t="n"/>
      <c r="Y23" s="33" t="n"/>
      <c r="Z23" s="33" t="n"/>
      <c r="AA23" s="33" t="n"/>
      <c r="AB23" s="33" t="n"/>
      <c r="AC23" s="33" t="n"/>
      <c r="AD23" s="33" t="n"/>
      <c r="AE23" s="33" t="n"/>
      <c r="AF23" s="33" t="n"/>
      <c r="AG23" s="33" t="n"/>
      <c r="AH23" s="33" t="n"/>
      <c r="AI23" s="33" t="n"/>
      <c r="AJ23" s="33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</row>
    <row r="24">
      <c r="A24" s="17">
        <f>IF(C24="","",COUNTA($C$3:C24))</f>
        <v/>
      </c>
      <c r="B24" s="27" t="n"/>
      <c r="C24" s="28" t="n"/>
      <c r="D24" s="27" t="n"/>
      <c r="E24" s="27" t="n"/>
      <c r="F24" s="28" t="n"/>
      <c r="G24" s="17">
        <f>IF(H24="","","W"&amp;ROUNDUP((H24-'마스터'!$L$5+1)/7,0))</f>
        <v/>
      </c>
      <c r="H24" s="29" t="n"/>
      <c r="I24" s="29" t="n"/>
      <c r="J24" s="27" t="n"/>
      <c r="K24" s="30" t="n"/>
      <c r="L24" s="27" t="n"/>
      <c r="M24" s="17">
        <f>IF(OR(K24="",K24=0),0,ROUNDUP(K24/'마스터'!$L$4,0))</f>
        <v/>
      </c>
      <c r="N24" s="31">
        <f>IF(OR(H24="",M24=0),"",WORKDAY(H24-1,M24))</f>
        <v/>
      </c>
      <c r="O24" s="32">
        <f>IF(OR(I24="",N24=""),"",I24-N24)</f>
        <v/>
      </c>
      <c r="P24" s="28" t="n"/>
      <c r="Q24" s="28" t="n"/>
      <c r="S24" s="33" t="n"/>
      <c r="T24" s="33" t="n"/>
      <c r="U24" s="33" t="n"/>
      <c r="V24" s="33" t="n"/>
      <c r="W24" s="33" t="n"/>
      <c r="X24" s="33" t="n"/>
      <c r="Y24" s="33" t="n"/>
      <c r="Z24" s="33" t="n"/>
      <c r="AA24" s="33" t="n"/>
      <c r="AB24" s="33" t="n"/>
      <c r="AC24" s="33" t="n"/>
      <c r="AD24" s="33" t="n"/>
      <c r="AE24" s="33" t="n"/>
      <c r="AF24" s="33" t="n"/>
      <c r="AG24" s="33" t="n"/>
      <c r="AH24" s="33" t="n"/>
      <c r="AI24" s="33" t="n"/>
      <c r="AJ24" s="33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</row>
    <row r="25">
      <c r="A25" s="17">
        <f>IF(C25="","",COUNTA($C$3:C25))</f>
        <v/>
      </c>
      <c r="B25" s="27" t="n"/>
      <c r="C25" s="28" t="n"/>
      <c r="D25" s="27" t="n"/>
      <c r="E25" s="27" t="n"/>
      <c r="F25" s="28" t="n"/>
      <c r="G25" s="17">
        <f>IF(H25="","","W"&amp;ROUNDUP((H25-'마스터'!$L$5+1)/7,0))</f>
        <v/>
      </c>
      <c r="H25" s="29" t="n"/>
      <c r="I25" s="29" t="n"/>
      <c r="J25" s="27" t="n"/>
      <c r="K25" s="30" t="n"/>
      <c r="L25" s="27" t="n"/>
      <c r="M25" s="17">
        <f>IF(OR(K25="",K25=0),0,ROUNDUP(K25/'마스터'!$L$4,0))</f>
        <v/>
      </c>
      <c r="N25" s="31">
        <f>IF(OR(H25="",M25=0),"",WORKDAY(H25-1,M25))</f>
        <v/>
      </c>
      <c r="O25" s="32">
        <f>IF(OR(I25="",N25=""),"",I25-N25)</f>
        <v/>
      </c>
      <c r="P25" s="28" t="n"/>
      <c r="Q25" s="28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33" t="n"/>
      <c r="AC25" s="33" t="n"/>
      <c r="AD25" s="33" t="n"/>
      <c r="AE25" s="33" t="n"/>
      <c r="AF25" s="33" t="n"/>
      <c r="AG25" s="33" t="n"/>
      <c r="AH25" s="33" t="n"/>
      <c r="AI25" s="33" t="n"/>
      <c r="AJ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</row>
    <row r="26">
      <c r="A26" s="17">
        <f>IF(C26="","",COUNTA($C$3:C26))</f>
        <v/>
      </c>
      <c r="B26" s="27" t="n"/>
      <c r="C26" s="28" t="n"/>
      <c r="D26" s="27" t="n"/>
      <c r="E26" s="27" t="n"/>
      <c r="F26" s="28" t="n"/>
      <c r="G26" s="17">
        <f>IF(H26="","","W"&amp;ROUNDUP((H26-'마스터'!$L$5+1)/7,0))</f>
        <v/>
      </c>
      <c r="H26" s="29" t="n"/>
      <c r="I26" s="29" t="n"/>
      <c r="J26" s="27" t="n"/>
      <c r="K26" s="30" t="n"/>
      <c r="L26" s="27" t="n"/>
      <c r="M26" s="17">
        <f>IF(OR(K26="",K26=0),0,ROUNDUP(K26/'마스터'!$L$4,0))</f>
        <v/>
      </c>
      <c r="N26" s="31">
        <f>IF(OR(H26="",M26=0),"",WORKDAY(H26-1,M26))</f>
        <v/>
      </c>
      <c r="O26" s="32">
        <f>IF(OR(I26="",N26=""),"",I26-N26)</f>
        <v/>
      </c>
      <c r="P26" s="28" t="n"/>
      <c r="Q26" s="28" t="n"/>
      <c r="S26" s="33" t="n"/>
      <c r="T26" s="33" t="n"/>
      <c r="U26" s="33" t="n"/>
      <c r="V26" s="33" t="n"/>
      <c r="W26" s="33" t="n"/>
      <c r="X26" s="33" t="n"/>
      <c r="Y26" s="33" t="n"/>
      <c r="Z26" s="33" t="n"/>
      <c r="AA26" s="33" t="n"/>
      <c r="AB26" s="33" t="n"/>
      <c r="AC26" s="33" t="n"/>
      <c r="AD26" s="33" t="n"/>
      <c r="AE26" s="33" t="n"/>
      <c r="AF26" s="33" t="n"/>
      <c r="AG26" s="33" t="n"/>
      <c r="AH26" s="33" t="n"/>
      <c r="AI26" s="33" t="n"/>
      <c r="AJ26" s="33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</row>
    <row r="27">
      <c r="A27" s="17">
        <f>IF(C27="","",COUNTA($C$3:C27))</f>
        <v/>
      </c>
      <c r="B27" s="27" t="n"/>
      <c r="C27" s="28" t="n"/>
      <c r="D27" s="27" t="n"/>
      <c r="E27" s="27" t="n"/>
      <c r="F27" s="28" t="n"/>
      <c r="G27" s="17">
        <f>IF(H27="","","W"&amp;ROUNDUP((H27-'마스터'!$L$5+1)/7,0))</f>
        <v/>
      </c>
      <c r="H27" s="29" t="n"/>
      <c r="I27" s="29" t="n"/>
      <c r="J27" s="27" t="n"/>
      <c r="K27" s="30" t="n"/>
      <c r="L27" s="27" t="n"/>
      <c r="M27" s="17">
        <f>IF(OR(K27="",K27=0),0,ROUNDUP(K27/'마스터'!$L$4,0))</f>
        <v/>
      </c>
      <c r="N27" s="31">
        <f>IF(OR(H27="",M27=0),"",WORKDAY(H27-1,M27))</f>
        <v/>
      </c>
      <c r="O27" s="32">
        <f>IF(OR(I27="",N27=""),"",I27-N27)</f>
        <v/>
      </c>
      <c r="P27" s="28" t="n"/>
      <c r="Q27" s="28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33" t="n"/>
      <c r="AF27" s="33" t="n"/>
      <c r="AG27" s="33" t="n"/>
      <c r="AH27" s="33" t="n"/>
      <c r="AI27" s="33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</row>
    <row r="28">
      <c r="A28" s="17">
        <f>IF(C28="","",COUNTA($C$3:C28))</f>
        <v/>
      </c>
      <c r="B28" s="27" t="n"/>
      <c r="C28" s="28" t="n"/>
      <c r="D28" s="27" t="n"/>
      <c r="E28" s="27" t="n"/>
      <c r="F28" s="28" t="n"/>
      <c r="G28" s="17">
        <f>IF(H28="","","W"&amp;ROUNDUP((H28-'마스터'!$L$5+1)/7,0))</f>
        <v/>
      </c>
      <c r="H28" s="29" t="n"/>
      <c r="I28" s="29" t="n"/>
      <c r="J28" s="27" t="n"/>
      <c r="K28" s="30" t="n"/>
      <c r="L28" s="27" t="n"/>
      <c r="M28" s="17">
        <f>IF(OR(K28="",K28=0),0,ROUNDUP(K28/'마스터'!$L$4,0))</f>
        <v/>
      </c>
      <c r="N28" s="31">
        <f>IF(OR(H28="",M28=0),"",WORKDAY(H28-1,M28))</f>
        <v/>
      </c>
      <c r="O28" s="32">
        <f>IF(OR(I28="",N28=""),"",I28-N28)</f>
        <v/>
      </c>
      <c r="P28" s="28" t="n"/>
      <c r="Q28" s="28" t="n"/>
      <c r="S28" s="33" t="n"/>
      <c r="T28" s="33" t="n"/>
      <c r="U28" s="33" t="n"/>
      <c r="V28" s="33" t="n"/>
      <c r="W28" s="33" t="n"/>
      <c r="X28" s="33" t="n"/>
      <c r="Y28" s="33" t="n"/>
      <c r="Z28" s="33" t="n"/>
      <c r="AA28" s="33" t="n"/>
      <c r="AB28" s="33" t="n"/>
      <c r="AC28" s="33" t="n"/>
      <c r="AD28" s="33" t="n"/>
      <c r="AE28" s="33" t="n"/>
      <c r="AF28" s="33" t="n"/>
      <c r="AG28" s="33" t="n"/>
      <c r="AH28" s="33" t="n"/>
      <c r="AI28" s="33" t="n"/>
      <c r="AJ28" s="33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</row>
    <row r="29">
      <c r="A29" s="17">
        <f>IF(C29="","",COUNTA($C$3:C29))</f>
        <v/>
      </c>
      <c r="B29" s="27" t="n"/>
      <c r="C29" s="28" t="n"/>
      <c r="D29" s="27" t="n"/>
      <c r="E29" s="27" t="n"/>
      <c r="F29" s="28" t="n"/>
      <c r="G29" s="17">
        <f>IF(H29="","","W"&amp;ROUNDUP((H29-'마스터'!$L$5+1)/7,0))</f>
        <v/>
      </c>
      <c r="H29" s="29" t="n"/>
      <c r="I29" s="29" t="n"/>
      <c r="J29" s="27" t="n"/>
      <c r="K29" s="30" t="n"/>
      <c r="L29" s="27" t="n"/>
      <c r="M29" s="17">
        <f>IF(OR(K29="",K29=0),0,ROUNDUP(K29/'마스터'!$L$4,0))</f>
        <v/>
      </c>
      <c r="N29" s="31">
        <f>IF(OR(H29="",M29=0),"",WORKDAY(H29-1,M29))</f>
        <v/>
      </c>
      <c r="O29" s="32">
        <f>IF(OR(I29="",N29=""),"",I29-N29)</f>
        <v/>
      </c>
      <c r="P29" s="28" t="n"/>
      <c r="Q29" s="28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33" t="n"/>
      <c r="AC29" s="33" t="n"/>
      <c r="AD29" s="33" t="n"/>
      <c r="AE29" s="33" t="n"/>
      <c r="AF29" s="33" t="n"/>
      <c r="AG29" s="33" t="n"/>
      <c r="AH29" s="33" t="n"/>
      <c r="AI29" s="33" t="n"/>
      <c r="AJ29" s="33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</row>
    <row r="30">
      <c r="A30" s="17">
        <f>IF(C30="","",COUNTA($C$3:C30))</f>
        <v/>
      </c>
      <c r="B30" s="27" t="n"/>
      <c r="C30" s="28" t="n"/>
      <c r="D30" s="27" t="n"/>
      <c r="E30" s="27" t="n"/>
      <c r="F30" s="28" t="n"/>
      <c r="G30" s="17">
        <f>IF(H30="","","W"&amp;ROUNDUP((H30-'마스터'!$L$5+1)/7,0))</f>
        <v/>
      </c>
      <c r="H30" s="29" t="n"/>
      <c r="I30" s="29" t="n"/>
      <c r="J30" s="27" t="n"/>
      <c r="K30" s="30" t="n"/>
      <c r="L30" s="27" t="n"/>
      <c r="M30" s="17">
        <f>IF(OR(K30="",K30=0),0,ROUNDUP(K30/'마스터'!$L$4,0))</f>
        <v/>
      </c>
      <c r="N30" s="31">
        <f>IF(OR(H30="",M30=0),"",WORKDAY(H30-1,M30))</f>
        <v/>
      </c>
      <c r="O30" s="32">
        <f>IF(OR(I30="",N30=""),"",I30-N30)</f>
        <v/>
      </c>
      <c r="P30" s="28" t="n"/>
      <c r="Q30" s="28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33" t="n"/>
      <c r="AC30" s="33" t="n"/>
      <c r="AD30" s="33" t="n"/>
      <c r="AE30" s="33" t="n"/>
      <c r="AF30" s="33" t="n"/>
      <c r="AG30" s="33" t="n"/>
      <c r="AH30" s="33" t="n"/>
      <c r="AI30" s="33" t="n"/>
      <c r="AJ30" s="33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</row>
    <row r="31">
      <c r="A31" s="17">
        <f>IF(C31="","",COUNTA($C$3:C31))</f>
        <v/>
      </c>
      <c r="B31" s="27" t="n"/>
      <c r="C31" s="28" t="n"/>
      <c r="D31" s="27" t="n"/>
      <c r="E31" s="27" t="n"/>
      <c r="F31" s="28" t="n"/>
      <c r="G31" s="17">
        <f>IF(H31="","","W"&amp;ROUNDUP((H31-'마스터'!$L$5+1)/7,0))</f>
        <v/>
      </c>
      <c r="H31" s="29" t="n"/>
      <c r="I31" s="29" t="n"/>
      <c r="J31" s="27" t="n"/>
      <c r="K31" s="30" t="n"/>
      <c r="L31" s="27" t="n"/>
      <c r="M31" s="17">
        <f>IF(OR(K31="",K31=0),0,ROUNDUP(K31/'마스터'!$L$4,0))</f>
        <v/>
      </c>
      <c r="N31" s="31">
        <f>IF(OR(H31="",M31=0),"",WORKDAY(H31-1,M31))</f>
        <v/>
      </c>
      <c r="O31" s="32">
        <f>IF(OR(I31="",N31=""),"",I31-N31)</f>
        <v/>
      </c>
      <c r="P31" s="28" t="n"/>
      <c r="Q31" s="28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  <c r="AE31" s="33" t="n"/>
      <c r="AF31" s="33" t="n"/>
      <c r="AG31" s="33" t="n"/>
      <c r="AH31" s="33" t="n"/>
      <c r="AI31" s="33" t="n"/>
      <c r="AJ31" s="33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</row>
    <row r="32">
      <c r="A32" s="17">
        <f>IF(C32="","",COUNTA($C$3:C32))</f>
        <v/>
      </c>
      <c r="B32" s="27" t="n"/>
      <c r="C32" s="28" t="n"/>
      <c r="D32" s="27" t="n"/>
      <c r="E32" s="27" t="n"/>
      <c r="F32" s="28" t="n"/>
      <c r="G32" s="17">
        <f>IF(H32="","","W"&amp;ROUNDUP((H32-'마스터'!$L$5+1)/7,0))</f>
        <v/>
      </c>
      <c r="H32" s="29" t="n"/>
      <c r="I32" s="29" t="n"/>
      <c r="J32" s="27" t="n"/>
      <c r="K32" s="30" t="n"/>
      <c r="L32" s="27" t="n"/>
      <c r="M32" s="17">
        <f>IF(OR(K32="",K32=0),0,ROUNDUP(K32/'마스터'!$L$4,0))</f>
        <v/>
      </c>
      <c r="N32" s="31">
        <f>IF(OR(H32="",M32=0),"",WORKDAY(H32-1,M32))</f>
        <v/>
      </c>
      <c r="O32" s="32">
        <f>IF(OR(I32="",N32=""),"",I32-N32)</f>
        <v/>
      </c>
      <c r="P32" s="28" t="n"/>
      <c r="Q32" s="28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33" t="n"/>
      <c r="AC32" s="33" t="n"/>
      <c r="AD32" s="33" t="n"/>
      <c r="AE32" s="33" t="n"/>
      <c r="AF32" s="33" t="n"/>
      <c r="AG32" s="33" t="n"/>
      <c r="AH32" s="33" t="n"/>
      <c r="AI32" s="33" t="n"/>
      <c r="AJ32" s="33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</row>
    <row r="33">
      <c r="A33" s="17">
        <f>IF(C33="","",COUNTA($C$3:C33))</f>
        <v/>
      </c>
      <c r="B33" s="27" t="n"/>
      <c r="C33" s="28" t="n"/>
      <c r="D33" s="27" t="n"/>
      <c r="E33" s="27" t="n"/>
      <c r="F33" s="28" t="n"/>
      <c r="G33" s="17">
        <f>IF(H33="","","W"&amp;ROUNDUP((H33-'마스터'!$L$5+1)/7,0))</f>
        <v/>
      </c>
      <c r="H33" s="29" t="n"/>
      <c r="I33" s="29" t="n"/>
      <c r="J33" s="27" t="n"/>
      <c r="K33" s="30" t="n"/>
      <c r="L33" s="27" t="n"/>
      <c r="M33" s="17">
        <f>IF(OR(K33="",K33=0),0,ROUNDUP(K33/'마스터'!$L$4,0))</f>
        <v/>
      </c>
      <c r="N33" s="31">
        <f>IF(OR(H33="",M33=0),"",WORKDAY(H33-1,M33))</f>
        <v/>
      </c>
      <c r="O33" s="32">
        <f>IF(OR(I33="",N33=""),"",I33-N33)</f>
        <v/>
      </c>
      <c r="P33" s="28" t="n"/>
      <c r="Q33" s="28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33" t="n"/>
      <c r="AC33" s="33" t="n"/>
      <c r="AD33" s="33" t="n"/>
      <c r="AE33" s="33" t="n"/>
      <c r="AF33" s="33" t="n"/>
      <c r="AG33" s="33" t="n"/>
      <c r="AH33" s="33" t="n"/>
      <c r="AI33" s="33" t="n"/>
      <c r="AJ33" s="33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</row>
    <row r="34">
      <c r="A34" s="17">
        <f>IF(C34="","",COUNTA($C$3:C34))</f>
        <v/>
      </c>
      <c r="B34" s="27" t="n"/>
      <c r="C34" s="28" t="n"/>
      <c r="D34" s="27" t="n"/>
      <c r="E34" s="27" t="n"/>
      <c r="F34" s="28" t="n"/>
      <c r="G34" s="17">
        <f>IF(H34="","","W"&amp;ROUNDUP((H34-'마스터'!$L$5+1)/7,0))</f>
        <v/>
      </c>
      <c r="H34" s="29" t="n"/>
      <c r="I34" s="29" t="n"/>
      <c r="J34" s="27" t="n"/>
      <c r="K34" s="30" t="n"/>
      <c r="L34" s="27" t="n"/>
      <c r="M34" s="17">
        <f>IF(OR(K34="",K34=0),0,ROUNDUP(K34/'마스터'!$L$4,0))</f>
        <v/>
      </c>
      <c r="N34" s="31">
        <f>IF(OR(H34="",M34=0),"",WORKDAY(H34-1,M34))</f>
        <v/>
      </c>
      <c r="O34" s="32">
        <f>IF(OR(I34="",N34=""),"",I34-N34)</f>
        <v/>
      </c>
      <c r="P34" s="28" t="n"/>
      <c r="Q34" s="28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  <c r="AB34" s="33" t="n"/>
      <c r="AC34" s="33" t="n"/>
      <c r="AD34" s="33" t="n"/>
      <c r="AE34" s="33" t="n"/>
      <c r="AF34" s="33" t="n"/>
      <c r="AG34" s="33" t="n"/>
      <c r="AH34" s="33" t="n"/>
      <c r="AI34" s="33" t="n"/>
      <c r="AJ34" s="33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</row>
    <row r="35">
      <c r="A35" s="17">
        <f>IF(C35="","",COUNTA($C$3:C35))</f>
        <v/>
      </c>
      <c r="B35" s="27" t="n"/>
      <c r="C35" s="28" t="n"/>
      <c r="D35" s="27" t="n"/>
      <c r="E35" s="27" t="n"/>
      <c r="F35" s="28" t="n"/>
      <c r="G35" s="17">
        <f>IF(H35="","","W"&amp;ROUNDUP((H35-'마스터'!$L$5+1)/7,0))</f>
        <v/>
      </c>
      <c r="H35" s="29" t="n"/>
      <c r="I35" s="29" t="n"/>
      <c r="J35" s="27" t="n"/>
      <c r="K35" s="30" t="n"/>
      <c r="L35" s="27" t="n"/>
      <c r="M35" s="17">
        <f>IF(OR(K35="",K35=0),0,ROUNDUP(K35/'마스터'!$L$4,0))</f>
        <v/>
      </c>
      <c r="N35" s="31">
        <f>IF(OR(H35="",M35=0),"",WORKDAY(H35-1,M35))</f>
        <v/>
      </c>
      <c r="O35" s="32">
        <f>IF(OR(I35="",N35=""),"",I35-N35)</f>
        <v/>
      </c>
      <c r="P35" s="28" t="n"/>
      <c r="Q35" s="28" t="n"/>
      <c r="S35" s="33" t="n"/>
      <c r="T35" s="33" t="n"/>
      <c r="U35" s="33" t="n"/>
      <c r="V35" s="33" t="n"/>
      <c r="W35" s="33" t="n"/>
      <c r="X35" s="33" t="n"/>
      <c r="Y35" s="33" t="n"/>
      <c r="Z35" s="33" t="n"/>
      <c r="AA35" s="33" t="n"/>
      <c r="AB35" s="33" t="n"/>
      <c r="AC35" s="33" t="n"/>
      <c r="AD35" s="33" t="n"/>
      <c r="AE35" s="33" t="n"/>
      <c r="AF35" s="33" t="n"/>
      <c r="AG35" s="33" t="n"/>
      <c r="AH35" s="33" t="n"/>
      <c r="AI35" s="33" t="n"/>
      <c r="AJ35" s="33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</row>
    <row r="36">
      <c r="A36" s="17">
        <f>IF(C36="","",COUNTA($C$3:C36))</f>
        <v/>
      </c>
      <c r="B36" s="27" t="n"/>
      <c r="C36" s="28" t="n"/>
      <c r="D36" s="27" t="n"/>
      <c r="E36" s="27" t="n"/>
      <c r="F36" s="28" t="n"/>
      <c r="G36" s="17">
        <f>IF(H36="","","W"&amp;ROUNDUP((H36-'마스터'!$L$5+1)/7,0))</f>
        <v/>
      </c>
      <c r="H36" s="29" t="n"/>
      <c r="I36" s="29" t="n"/>
      <c r="J36" s="27" t="n"/>
      <c r="K36" s="30" t="n"/>
      <c r="L36" s="27" t="n"/>
      <c r="M36" s="17">
        <f>IF(OR(K36="",K36=0),0,ROUNDUP(K36/'마스터'!$L$4,0))</f>
        <v/>
      </c>
      <c r="N36" s="31">
        <f>IF(OR(H36="",M36=0),"",WORKDAY(H36-1,M36))</f>
        <v/>
      </c>
      <c r="O36" s="32">
        <f>IF(OR(I36="",N36=""),"",I36-N36)</f>
        <v/>
      </c>
      <c r="P36" s="28" t="n"/>
      <c r="Q36" s="28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33" t="n"/>
      <c r="AC36" s="33" t="n"/>
      <c r="AD36" s="33" t="n"/>
      <c r="AE36" s="33" t="n"/>
      <c r="AF36" s="33" t="n"/>
      <c r="AG36" s="33" t="n"/>
      <c r="AH36" s="33" t="n"/>
      <c r="AI36" s="33" t="n"/>
      <c r="AJ36" s="33" t="n"/>
      <c r="AK36" s="33" t="n"/>
      <c r="AL36" s="33" t="n"/>
      <c r="AM36" s="33" t="n"/>
      <c r="AN36" s="33" t="n"/>
      <c r="AO36" s="33" t="n"/>
      <c r="AP36" s="33" t="n"/>
      <c r="AQ36" s="33" t="n"/>
      <c r="AR36" s="33" t="n"/>
      <c r="AS36" s="33" t="n"/>
      <c r="AT36" s="33" t="n"/>
      <c r="AU36" s="33" t="n"/>
      <c r="AV36" s="33" t="n"/>
      <c r="AW36" s="33" t="n"/>
    </row>
    <row r="37">
      <c r="A37" s="17">
        <f>IF(C37="","",COUNTA($C$3:C37))</f>
        <v/>
      </c>
      <c r="B37" s="27" t="n"/>
      <c r="C37" s="28" t="n"/>
      <c r="D37" s="27" t="n"/>
      <c r="E37" s="27" t="n"/>
      <c r="F37" s="28" t="n"/>
      <c r="G37" s="17">
        <f>IF(H37="","","W"&amp;ROUNDUP((H37-'마스터'!$L$5+1)/7,0))</f>
        <v/>
      </c>
      <c r="H37" s="29" t="n"/>
      <c r="I37" s="29" t="n"/>
      <c r="J37" s="27" t="n"/>
      <c r="K37" s="30" t="n"/>
      <c r="L37" s="27" t="n"/>
      <c r="M37" s="17">
        <f>IF(OR(K37="",K37=0),0,ROUNDUP(K37/'마스터'!$L$4,0))</f>
        <v/>
      </c>
      <c r="N37" s="31">
        <f>IF(OR(H37="",M37=0),"",WORKDAY(H37-1,M37))</f>
        <v/>
      </c>
      <c r="O37" s="32">
        <f>IF(OR(I37="",N37=""),"",I37-N37)</f>
        <v/>
      </c>
      <c r="P37" s="28" t="n"/>
      <c r="Q37" s="28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33" t="n"/>
      <c r="AC37" s="33" t="n"/>
      <c r="AD37" s="33" t="n"/>
      <c r="AE37" s="33" t="n"/>
      <c r="AF37" s="33" t="n"/>
      <c r="AG37" s="33" t="n"/>
      <c r="AH37" s="33" t="n"/>
      <c r="AI37" s="33" t="n"/>
      <c r="AJ37" s="33" t="n"/>
      <c r="AK37" s="33" t="n"/>
      <c r="AL37" s="33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  <c r="AW37" s="33" t="n"/>
    </row>
    <row r="38">
      <c r="A38" s="17">
        <f>IF(C38="","",COUNTA($C$3:C38))</f>
        <v/>
      </c>
      <c r="B38" s="27" t="n"/>
      <c r="C38" s="28" t="n"/>
      <c r="D38" s="27" t="n"/>
      <c r="E38" s="27" t="n"/>
      <c r="F38" s="28" t="n"/>
      <c r="G38" s="17">
        <f>IF(H38="","","W"&amp;ROUNDUP((H38-'마스터'!$L$5+1)/7,0))</f>
        <v/>
      </c>
      <c r="H38" s="29" t="n"/>
      <c r="I38" s="29" t="n"/>
      <c r="J38" s="27" t="n"/>
      <c r="K38" s="30" t="n"/>
      <c r="L38" s="27" t="n"/>
      <c r="M38" s="17">
        <f>IF(OR(K38="",K38=0),0,ROUNDUP(K38/'마스터'!$L$4,0))</f>
        <v/>
      </c>
      <c r="N38" s="31">
        <f>IF(OR(H38="",M38=0),"",WORKDAY(H38-1,M38))</f>
        <v/>
      </c>
      <c r="O38" s="32">
        <f>IF(OR(I38="",N38=""),"",I38-N38)</f>
        <v/>
      </c>
      <c r="P38" s="28" t="n"/>
      <c r="Q38" s="28" t="n"/>
      <c r="S38" s="33" t="n"/>
      <c r="T38" s="33" t="n"/>
      <c r="U38" s="33" t="n"/>
      <c r="V38" s="33" t="n"/>
      <c r="W38" s="33" t="n"/>
      <c r="X38" s="33" t="n"/>
      <c r="Y38" s="33" t="n"/>
      <c r="Z38" s="33" t="n"/>
      <c r="AA38" s="33" t="n"/>
      <c r="AB38" s="33" t="n"/>
      <c r="AC38" s="33" t="n"/>
      <c r="AD38" s="33" t="n"/>
      <c r="AE38" s="33" t="n"/>
      <c r="AF38" s="33" t="n"/>
      <c r="AG38" s="33" t="n"/>
      <c r="AH38" s="33" t="n"/>
      <c r="AI38" s="33" t="n"/>
      <c r="AJ38" s="33" t="n"/>
      <c r="AK38" s="33" t="n"/>
      <c r="AL38" s="33" t="n"/>
      <c r="AM38" s="33" t="n"/>
      <c r="AN38" s="33" t="n"/>
      <c r="AO38" s="33" t="n"/>
      <c r="AP38" s="33" t="n"/>
      <c r="AQ38" s="33" t="n"/>
      <c r="AR38" s="33" t="n"/>
      <c r="AS38" s="33" t="n"/>
      <c r="AT38" s="33" t="n"/>
      <c r="AU38" s="33" t="n"/>
      <c r="AV38" s="33" t="n"/>
      <c r="AW38" s="33" t="n"/>
    </row>
    <row r="39">
      <c r="A39" s="17">
        <f>IF(C39="","",COUNTA($C$3:C39))</f>
        <v/>
      </c>
      <c r="B39" s="27" t="n"/>
      <c r="C39" s="28" t="n"/>
      <c r="D39" s="27" t="n"/>
      <c r="E39" s="27" t="n"/>
      <c r="F39" s="28" t="n"/>
      <c r="G39" s="17">
        <f>IF(H39="","","W"&amp;ROUNDUP((H39-'마스터'!$L$5+1)/7,0))</f>
        <v/>
      </c>
      <c r="H39" s="29" t="n"/>
      <c r="I39" s="29" t="n"/>
      <c r="J39" s="27" t="n"/>
      <c r="K39" s="30" t="n"/>
      <c r="L39" s="27" t="n"/>
      <c r="M39" s="17">
        <f>IF(OR(K39="",K39=0),0,ROUNDUP(K39/'마스터'!$L$4,0))</f>
        <v/>
      </c>
      <c r="N39" s="31">
        <f>IF(OR(H39="",M39=0),"",WORKDAY(H39-1,M39))</f>
        <v/>
      </c>
      <c r="O39" s="32">
        <f>IF(OR(I39="",N39=""),"",I39-N39)</f>
        <v/>
      </c>
      <c r="P39" s="28" t="n"/>
      <c r="Q39" s="28" t="n"/>
      <c r="S39" s="33" t="n"/>
      <c r="T39" s="33" t="n"/>
      <c r="U39" s="33" t="n"/>
      <c r="V39" s="33" t="n"/>
      <c r="W39" s="33" t="n"/>
      <c r="X39" s="33" t="n"/>
      <c r="Y39" s="33" t="n"/>
      <c r="Z39" s="33" t="n"/>
      <c r="AA39" s="33" t="n"/>
      <c r="AB39" s="33" t="n"/>
      <c r="AC39" s="33" t="n"/>
      <c r="AD39" s="33" t="n"/>
      <c r="AE39" s="33" t="n"/>
      <c r="AF39" s="33" t="n"/>
      <c r="AG39" s="33" t="n"/>
      <c r="AH39" s="33" t="n"/>
      <c r="AI39" s="33" t="n"/>
      <c r="AJ39" s="33" t="n"/>
      <c r="AK39" s="33" t="n"/>
      <c r="AL39" s="33" t="n"/>
      <c r="AM39" s="33" t="n"/>
      <c r="AN39" s="33" t="n"/>
      <c r="AO39" s="33" t="n"/>
      <c r="AP39" s="33" t="n"/>
      <c r="AQ39" s="33" t="n"/>
      <c r="AR39" s="33" t="n"/>
      <c r="AS39" s="33" t="n"/>
      <c r="AT39" s="33" t="n"/>
      <c r="AU39" s="33" t="n"/>
      <c r="AV39" s="33" t="n"/>
      <c r="AW39" s="33" t="n"/>
    </row>
    <row r="40">
      <c r="A40" s="17">
        <f>IF(C40="","",COUNTA($C$3:C40))</f>
        <v/>
      </c>
      <c r="B40" s="27" t="n"/>
      <c r="C40" s="28" t="n"/>
      <c r="D40" s="27" t="n"/>
      <c r="E40" s="27" t="n"/>
      <c r="F40" s="28" t="n"/>
      <c r="G40" s="17">
        <f>IF(H40="","","W"&amp;ROUNDUP((H40-'마스터'!$L$5+1)/7,0))</f>
        <v/>
      </c>
      <c r="H40" s="29" t="n"/>
      <c r="I40" s="29" t="n"/>
      <c r="J40" s="27" t="n"/>
      <c r="K40" s="30" t="n"/>
      <c r="L40" s="27" t="n"/>
      <c r="M40" s="17">
        <f>IF(OR(K40="",K40=0),0,ROUNDUP(K40/'마스터'!$L$4,0))</f>
        <v/>
      </c>
      <c r="N40" s="31">
        <f>IF(OR(H40="",M40=0),"",WORKDAY(H40-1,M40))</f>
        <v/>
      </c>
      <c r="O40" s="32">
        <f>IF(OR(I40="",N40=""),"",I40-N40)</f>
        <v/>
      </c>
      <c r="P40" s="28" t="n"/>
      <c r="Q40" s="28" t="n"/>
      <c r="S40" s="33" t="n"/>
      <c r="T40" s="33" t="n"/>
      <c r="U40" s="33" t="n"/>
      <c r="V40" s="33" t="n"/>
      <c r="W40" s="33" t="n"/>
      <c r="X40" s="33" t="n"/>
      <c r="Y40" s="33" t="n"/>
      <c r="Z40" s="33" t="n"/>
      <c r="AA40" s="33" t="n"/>
      <c r="AB40" s="33" t="n"/>
      <c r="AC40" s="33" t="n"/>
      <c r="AD40" s="33" t="n"/>
      <c r="AE40" s="33" t="n"/>
      <c r="AF40" s="33" t="n"/>
      <c r="AG40" s="33" t="n"/>
      <c r="AH40" s="33" t="n"/>
      <c r="AI40" s="33" t="n"/>
      <c r="AJ40" s="33" t="n"/>
      <c r="AK40" s="33" t="n"/>
      <c r="AL40" s="33" t="n"/>
      <c r="AM40" s="33" t="n"/>
      <c r="AN40" s="33" t="n"/>
      <c r="AO40" s="33" t="n"/>
      <c r="AP40" s="33" t="n"/>
      <c r="AQ40" s="33" t="n"/>
      <c r="AR40" s="33" t="n"/>
      <c r="AS40" s="33" t="n"/>
      <c r="AT40" s="33" t="n"/>
      <c r="AU40" s="33" t="n"/>
      <c r="AV40" s="33" t="n"/>
      <c r="AW40" s="33" t="n"/>
    </row>
    <row r="41">
      <c r="A41" s="17">
        <f>IF(C41="","",COUNTA($C$3:C41))</f>
        <v/>
      </c>
      <c r="B41" s="27" t="n"/>
      <c r="C41" s="28" t="n"/>
      <c r="D41" s="27" t="n"/>
      <c r="E41" s="27" t="n"/>
      <c r="F41" s="28" t="n"/>
      <c r="G41" s="17">
        <f>IF(H41="","","W"&amp;ROUNDUP((H41-'마스터'!$L$5+1)/7,0))</f>
        <v/>
      </c>
      <c r="H41" s="29" t="n"/>
      <c r="I41" s="29" t="n"/>
      <c r="J41" s="27" t="n"/>
      <c r="K41" s="30" t="n"/>
      <c r="L41" s="27" t="n"/>
      <c r="M41" s="17">
        <f>IF(OR(K41="",K41=0),0,ROUNDUP(K41/'마스터'!$L$4,0))</f>
        <v/>
      </c>
      <c r="N41" s="31">
        <f>IF(OR(H41="",M41=0),"",WORKDAY(H41-1,M41))</f>
        <v/>
      </c>
      <c r="O41" s="32">
        <f>IF(OR(I41="",N41=""),"",I41-N41)</f>
        <v/>
      </c>
      <c r="P41" s="28" t="n"/>
      <c r="Q41" s="28" t="n"/>
      <c r="S41" s="33" t="n"/>
      <c r="T41" s="33" t="n"/>
      <c r="U41" s="33" t="n"/>
      <c r="V41" s="33" t="n"/>
      <c r="W41" s="33" t="n"/>
      <c r="X41" s="33" t="n"/>
      <c r="Y41" s="33" t="n"/>
      <c r="Z41" s="33" t="n"/>
      <c r="AA41" s="33" t="n"/>
      <c r="AB41" s="33" t="n"/>
      <c r="AC41" s="33" t="n"/>
      <c r="AD41" s="33" t="n"/>
      <c r="AE41" s="33" t="n"/>
      <c r="AF41" s="33" t="n"/>
      <c r="AG41" s="33" t="n"/>
      <c r="AH41" s="33" t="n"/>
      <c r="AI41" s="33" t="n"/>
      <c r="AJ41" s="33" t="n"/>
      <c r="AK41" s="33" t="n"/>
      <c r="AL41" s="33" t="n"/>
      <c r="AM41" s="33" t="n"/>
      <c r="AN41" s="33" t="n"/>
      <c r="AO41" s="33" t="n"/>
      <c r="AP41" s="33" t="n"/>
      <c r="AQ41" s="33" t="n"/>
      <c r="AR41" s="33" t="n"/>
      <c r="AS41" s="33" t="n"/>
      <c r="AT41" s="33" t="n"/>
      <c r="AU41" s="33" t="n"/>
      <c r="AV41" s="33" t="n"/>
      <c r="AW41" s="33" t="n"/>
    </row>
    <row r="42">
      <c r="A42" s="17">
        <f>IF(C42="","",COUNTA($C$3:C42))</f>
        <v/>
      </c>
      <c r="B42" s="27" t="n"/>
      <c r="C42" s="28" t="n"/>
      <c r="D42" s="27" t="n"/>
      <c r="E42" s="27" t="n"/>
      <c r="F42" s="28" t="n"/>
      <c r="G42" s="17">
        <f>IF(H42="","","W"&amp;ROUNDUP((H42-'마스터'!$L$5+1)/7,0))</f>
        <v/>
      </c>
      <c r="H42" s="29" t="n"/>
      <c r="I42" s="29" t="n"/>
      <c r="J42" s="27" t="n"/>
      <c r="K42" s="30" t="n"/>
      <c r="L42" s="27" t="n"/>
      <c r="M42" s="17">
        <f>IF(OR(K42="",K42=0),0,ROUNDUP(K42/'마스터'!$L$4,0))</f>
        <v/>
      </c>
      <c r="N42" s="31">
        <f>IF(OR(H42="",M42=0),"",WORKDAY(H42-1,M42))</f>
        <v/>
      </c>
      <c r="O42" s="32">
        <f>IF(OR(I42="",N42=""),"",I42-N42)</f>
        <v/>
      </c>
      <c r="P42" s="28" t="n"/>
      <c r="Q42" s="28" t="n"/>
      <c r="S42" s="33" t="n"/>
      <c r="T42" s="33" t="n"/>
      <c r="U42" s="33" t="n"/>
      <c r="V42" s="33" t="n"/>
      <c r="W42" s="33" t="n"/>
      <c r="X42" s="33" t="n"/>
      <c r="Y42" s="33" t="n"/>
      <c r="Z42" s="33" t="n"/>
      <c r="AA42" s="33" t="n"/>
      <c r="AB42" s="33" t="n"/>
      <c r="AC42" s="33" t="n"/>
      <c r="AD42" s="33" t="n"/>
      <c r="AE42" s="33" t="n"/>
      <c r="AF42" s="33" t="n"/>
      <c r="AG42" s="33" t="n"/>
      <c r="AH42" s="33" t="n"/>
      <c r="AI42" s="33" t="n"/>
      <c r="AJ42" s="33" t="n"/>
      <c r="AK42" s="33" t="n"/>
      <c r="AL42" s="33" t="n"/>
      <c r="AM42" s="33" t="n"/>
      <c r="AN42" s="33" t="n"/>
      <c r="AO42" s="33" t="n"/>
      <c r="AP42" s="33" t="n"/>
      <c r="AQ42" s="33" t="n"/>
      <c r="AR42" s="33" t="n"/>
      <c r="AS42" s="33" t="n"/>
      <c r="AT42" s="33" t="n"/>
      <c r="AU42" s="33" t="n"/>
      <c r="AV42" s="33" t="n"/>
      <c r="AW42" s="33" t="n"/>
    </row>
    <row r="43">
      <c r="A43" s="17">
        <f>IF(C43="","",COUNTA($C$3:C43))</f>
        <v/>
      </c>
      <c r="B43" s="27" t="n"/>
      <c r="C43" s="28" t="n"/>
      <c r="D43" s="27" t="n"/>
      <c r="E43" s="27" t="n"/>
      <c r="F43" s="28" t="n"/>
      <c r="G43" s="17">
        <f>IF(H43="","","W"&amp;ROUNDUP((H43-'마스터'!$L$5+1)/7,0))</f>
        <v/>
      </c>
      <c r="H43" s="29" t="n"/>
      <c r="I43" s="29" t="n"/>
      <c r="J43" s="27" t="n"/>
      <c r="K43" s="30" t="n"/>
      <c r="L43" s="27" t="n"/>
      <c r="M43" s="17">
        <f>IF(OR(K43="",K43=0),0,ROUNDUP(K43/'마스터'!$L$4,0))</f>
        <v/>
      </c>
      <c r="N43" s="31">
        <f>IF(OR(H43="",M43=0),"",WORKDAY(H43-1,M43))</f>
        <v/>
      </c>
      <c r="O43" s="32">
        <f>IF(OR(I43="",N43=""),"",I43-N43)</f>
        <v/>
      </c>
      <c r="P43" s="28" t="n"/>
      <c r="Q43" s="28" t="n"/>
      <c r="S43" s="33" t="n"/>
      <c r="T43" s="33" t="n"/>
      <c r="U43" s="33" t="n"/>
      <c r="V43" s="33" t="n"/>
      <c r="W43" s="33" t="n"/>
      <c r="X43" s="33" t="n"/>
      <c r="Y43" s="33" t="n"/>
      <c r="Z43" s="33" t="n"/>
      <c r="AA43" s="33" t="n"/>
      <c r="AB43" s="33" t="n"/>
      <c r="AC43" s="33" t="n"/>
      <c r="AD43" s="33" t="n"/>
      <c r="AE43" s="33" t="n"/>
      <c r="AF43" s="33" t="n"/>
      <c r="AG43" s="33" t="n"/>
      <c r="AH43" s="33" t="n"/>
      <c r="AI43" s="33" t="n"/>
      <c r="AJ43" s="33" t="n"/>
      <c r="AK43" s="33" t="n"/>
      <c r="AL43" s="33" t="n"/>
      <c r="AM43" s="33" t="n"/>
      <c r="AN43" s="33" t="n"/>
      <c r="AO43" s="33" t="n"/>
      <c r="AP43" s="33" t="n"/>
      <c r="AQ43" s="33" t="n"/>
      <c r="AR43" s="33" t="n"/>
      <c r="AS43" s="33" t="n"/>
      <c r="AT43" s="33" t="n"/>
      <c r="AU43" s="33" t="n"/>
      <c r="AV43" s="33" t="n"/>
      <c r="AW43" s="33" t="n"/>
    </row>
    <row r="44">
      <c r="A44" s="17">
        <f>IF(C44="","",COUNTA($C$3:C44))</f>
        <v/>
      </c>
      <c r="B44" s="27" t="n"/>
      <c r="C44" s="28" t="n"/>
      <c r="D44" s="27" t="n"/>
      <c r="E44" s="27" t="n"/>
      <c r="F44" s="28" t="n"/>
      <c r="G44" s="17">
        <f>IF(H44="","","W"&amp;ROUNDUP((H44-'마스터'!$L$5+1)/7,0))</f>
        <v/>
      </c>
      <c r="H44" s="29" t="n"/>
      <c r="I44" s="29" t="n"/>
      <c r="J44" s="27" t="n"/>
      <c r="K44" s="30" t="n"/>
      <c r="L44" s="27" t="n"/>
      <c r="M44" s="17">
        <f>IF(OR(K44="",K44=0),0,ROUNDUP(K44/'마스터'!$L$4,0))</f>
        <v/>
      </c>
      <c r="N44" s="31">
        <f>IF(OR(H44="",M44=0),"",WORKDAY(H44-1,M44))</f>
        <v/>
      </c>
      <c r="O44" s="32">
        <f>IF(OR(I44="",N44=""),"",I44-N44)</f>
        <v/>
      </c>
      <c r="P44" s="28" t="n"/>
      <c r="Q44" s="28" t="n"/>
      <c r="S44" s="33" t="n"/>
      <c r="T44" s="33" t="n"/>
      <c r="U44" s="33" t="n"/>
      <c r="V44" s="33" t="n"/>
      <c r="W44" s="33" t="n"/>
      <c r="X44" s="33" t="n"/>
      <c r="Y44" s="33" t="n"/>
      <c r="Z44" s="33" t="n"/>
      <c r="AA44" s="33" t="n"/>
      <c r="AB44" s="33" t="n"/>
      <c r="AC44" s="33" t="n"/>
      <c r="AD44" s="33" t="n"/>
      <c r="AE44" s="33" t="n"/>
      <c r="AF44" s="33" t="n"/>
      <c r="AG44" s="33" t="n"/>
      <c r="AH44" s="33" t="n"/>
      <c r="AI44" s="33" t="n"/>
      <c r="AJ44" s="33" t="n"/>
      <c r="AK44" s="33" t="n"/>
      <c r="AL44" s="33" t="n"/>
      <c r="AM44" s="33" t="n"/>
      <c r="AN44" s="33" t="n"/>
      <c r="AO44" s="33" t="n"/>
      <c r="AP44" s="33" t="n"/>
      <c r="AQ44" s="33" t="n"/>
      <c r="AR44" s="33" t="n"/>
      <c r="AS44" s="33" t="n"/>
      <c r="AT44" s="33" t="n"/>
      <c r="AU44" s="33" t="n"/>
      <c r="AV44" s="33" t="n"/>
      <c r="AW44" s="33" t="n"/>
    </row>
    <row r="45">
      <c r="A45" s="17">
        <f>IF(C45="","",COUNTA($C$3:C45))</f>
        <v/>
      </c>
      <c r="B45" s="27" t="n"/>
      <c r="C45" s="28" t="n"/>
      <c r="D45" s="27" t="n"/>
      <c r="E45" s="27" t="n"/>
      <c r="F45" s="28" t="n"/>
      <c r="G45" s="17">
        <f>IF(H45="","","W"&amp;ROUNDUP((H45-'마스터'!$L$5+1)/7,0))</f>
        <v/>
      </c>
      <c r="H45" s="29" t="n"/>
      <c r="I45" s="29" t="n"/>
      <c r="J45" s="27" t="n"/>
      <c r="K45" s="30" t="n"/>
      <c r="L45" s="27" t="n"/>
      <c r="M45" s="17">
        <f>IF(OR(K45="",K45=0),0,ROUNDUP(K45/'마스터'!$L$4,0))</f>
        <v/>
      </c>
      <c r="N45" s="31">
        <f>IF(OR(H45="",M45=0),"",WORKDAY(H45-1,M45))</f>
        <v/>
      </c>
      <c r="O45" s="32">
        <f>IF(OR(I45="",N45=""),"",I45-N45)</f>
        <v/>
      </c>
      <c r="P45" s="28" t="n"/>
      <c r="Q45" s="28" t="n"/>
      <c r="S45" s="33" t="n"/>
      <c r="T45" s="33" t="n"/>
      <c r="U45" s="33" t="n"/>
      <c r="V45" s="33" t="n"/>
      <c r="W45" s="33" t="n"/>
      <c r="X45" s="33" t="n"/>
      <c r="Y45" s="33" t="n"/>
      <c r="Z45" s="33" t="n"/>
      <c r="AA45" s="33" t="n"/>
      <c r="AB45" s="33" t="n"/>
      <c r="AC45" s="33" t="n"/>
      <c r="AD45" s="33" t="n"/>
      <c r="AE45" s="33" t="n"/>
      <c r="AF45" s="33" t="n"/>
      <c r="AG45" s="33" t="n"/>
      <c r="AH45" s="33" t="n"/>
      <c r="AI45" s="33" t="n"/>
      <c r="AJ45" s="33" t="n"/>
      <c r="AK45" s="33" t="n"/>
      <c r="AL45" s="33" t="n"/>
      <c r="AM45" s="33" t="n"/>
      <c r="AN45" s="33" t="n"/>
      <c r="AO45" s="33" t="n"/>
      <c r="AP45" s="33" t="n"/>
      <c r="AQ45" s="33" t="n"/>
      <c r="AR45" s="33" t="n"/>
      <c r="AS45" s="33" t="n"/>
      <c r="AT45" s="33" t="n"/>
      <c r="AU45" s="33" t="n"/>
      <c r="AV45" s="33" t="n"/>
      <c r="AW45" s="33" t="n"/>
    </row>
    <row r="46">
      <c r="A46" s="17">
        <f>IF(C46="","",COUNTA($C$3:C46))</f>
        <v/>
      </c>
      <c r="B46" s="27" t="n"/>
      <c r="C46" s="28" t="n"/>
      <c r="D46" s="27" t="n"/>
      <c r="E46" s="27" t="n"/>
      <c r="F46" s="28" t="n"/>
      <c r="G46" s="17">
        <f>IF(H46="","","W"&amp;ROUNDUP((H46-'마스터'!$L$5+1)/7,0))</f>
        <v/>
      </c>
      <c r="H46" s="29" t="n"/>
      <c r="I46" s="29" t="n"/>
      <c r="J46" s="27" t="n"/>
      <c r="K46" s="30" t="n"/>
      <c r="L46" s="27" t="n"/>
      <c r="M46" s="17">
        <f>IF(OR(K46="",K46=0),0,ROUNDUP(K46/'마스터'!$L$4,0))</f>
        <v/>
      </c>
      <c r="N46" s="31">
        <f>IF(OR(H46="",M46=0),"",WORKDAY(H46-1,M46))</f>
        <v/>
      </c>
      <c r="O46" s="32">
        <f>IF(OR(I46="",N46=""),"",I46-N46)</f>
        <v/>
      </c>
      <c r="P46" s="28" t="n"/>
      <c r="Q46" s="28" t="n"/>
      <c r="S46" s="33" t="n"/>
      <c r="T46" s="33" t="n"/>
      <c r="U46" s="33" t="n"/>
      <c r="V46" s="33" t="n"/>
      <c r="W46" s="33" t="n"/>
      <c r="X46" s="33" t="n"/>
      <c r="Y46" s="33" t="n"/>
      <c r="Z46" s="33" t="n"/>
      <c r="AA46" s="33" t="n"/>
      <c r="AB46" s="33" t="n"/>
      <c r="AC46" s="33" t="n"/>
      <c r="AD46" s="33" t="n"/>
      <c r="AE46" s="33" t="n"/>
      <c r="AF46" s="33" t="n"/>
      <c r="AG46" s="33" t="n"/>
      <c r="AH46" s="33" t="n"/>
      <c r="AI46" s="33" t="n"/>
      <c r="AJ46" s="33" t="n"/>
      <c r="AK46" s="33" t="n"/>
      <c r="AL46" s="33" t="n"/>
      <c r="AM46" s="33" t="n"/>
      <c r="AN46" s="33" t="n"/>
      <c r="AO46" s="33" t="n"/>
      <c r="AP46" s="33" t="n"/>
      <c r="AQ46" s="33" t="n"/>
      <c r="AR46" s="33" t="n"/>
      <c r="AS46" s="33" t="n"/>
      <c r="AT46" s="33" t="n"/>
      <c r="AU46" s="33" t="n"/>
      <c r="AV46" s="33" t="n"/>
      <c r="AW46" s="33" t="n"/>
    </row>
    <row r="47">
      <c r="A47" s="17">
        <f>IF(C47="","",COUNTA($C$3:C47))</f>
        <v/>
      </c>
      <c r="B47" s="27" t="n"/>
      <c r="C47" s="28" t="n"/>
      <c r="D47" s="27" t="n"/>
      <c r="E47" s="27" t="n"/>
      <c r="F47" s="28" t="n"/>
      <c r="G47" s="17">
        <f>IF(H47="","","W"&amp;ROUNDUP((H47-'마스터'!$L$5+1)/7,0))</f>
        <v/>
      </c>
      <c r="H47" s="29" t="n"/>
      <c r="I47" s="29" t="n"/>
      <c r="J47" s="27" t="n"/>
      <c r="K47" s="30" t="n"/>
      <c r="L47" s="27" t="n"/>
      <c r="M47" s="17">
        <f>IF(OR(K47="",K47=0),0,ROUNDUP(K47/'마스터'!$L$4,0))</f>
        <v/>
      </c>
      <c r="N47" s="31">
        <f>IF(OR(H47="",M47=0),"",WORKDAY(H47-1,M47))</f>
        <v/>
      </c>
      <c r="O47" s="32">
        <f>IF(OR(I47="",N47=""),"",I47-N47)</f>
        <v/>
      </c>
      <c r="P47" s="28" t="n"/>
      <c r="Q47" s="28" t="n"/>
      <c r="S47" s="33" t="n"/>
      <c r="T47" s="33" t="n"/>
      <c r="U47" s="33" t="n"/>
      <c r="V47" s="33" t="n"/>
      <c r="W47" s="33" t="n"/>
      <c r="X47" s="33" t="n"/>
      <c r="Y47" s="33" t="n"/>
      <c r="Z47" s="33" t="n"/>
      <c r="AA47" s="33" t="n"/>
      <c r="AB47" s="33" t="n"/>
      <c r="AC47" s="33" t="n"/>
      <c r="AD47" s="33" t="n"/>
      <c r="AE47" s="33" t="n"/>
      <c r="AF47" s="33" t="n"/>
      <c r="AG47" s="33" t="n"/>
      <c r="AH47" s="33" t="n"/>
      <c r="AI47" s="33" t="n"/>
      <c r="AJ47" s="33" t="n"/>
      <c r="AK47" s="33" t="n"/>
      <c r="AL47" s="33" t="n"/>
      <c r="AM47" s="33" t="n"/>
      <c r="AN47" s="33" t="n"/>
      <c r="AO47" s="33" t="n"/>
      <c r="AP47" s="33" t="n"/>
      <c r="AQ47" s="33" t="n"/>
      <c r="AR47" s="33" t="n"/>
      <c r="AS47" s="33" t="n"/>
      <c r="AT47" s="33" t="n"/>
      <c r="AU47" s="33" t="n"/>
      <c r="AV47" s="33" t="n"/>
      <c r="AW47" s="33" t="n"/>
    </row>
    <row r="48">
      <c r="A48" s="17">
        <f>IF(C48="","",COUNTA($C$3:C48))</f>
        <v/>
      </c>
      <c r="B48" s="27" t="n"/>
      <c r="C48" s="28" t="n"/>
      <c r="D48" s="27" t="n"/>
      <c r="E48" s="27" t="n"/>
      <c r="F48" s="28" t="n"/>
      <c r="G48" s="17">
        <f>IF(H48="","","W"&amp;ROUNDUP((H48-'마스터'!$L$5+1)/7,0))</f>
        <v/>
      </c>
      <c r="H48" s="29" t="n"/>
      <c r="I48" s="29" t="n"/>
      <c r="J48" s="27" t="n"/>
      <c r="K48" s="30" t="n"/>
      <c r="L48" s="27" t="n"/>
      <c r="M48" s="17">
        <f>IF(OR(K48="",K48=0),0,ROUNDUP(K48/'마스터'!$L$4,0))</f>
        <v/>
      </c>
      <c r="N48" s="31">
        <f>IF(OR(H48="",M48=0),"",WORKDAY(H48-1,M48))</f>
        <v/>
      </c>
      <c r="O48" s="32">
        <f>IF(OR(I48="",N48=""),"",I48-N48)</f>
        <v/>
      </c>
      <c r="P48" s="28" t="n"/>
      <c r="Q48" s="28" t="n"/>
      <c r="S48" s="33" t="n"/>
      <c r="T48" s="33" t="n"/>
      <c r="U48" s="33" t="n"/>
      <c r="V48" s="33" t="n"/>
      <c r="W48" s="33" t="n"/>
      <c r="X48" s="33" t="n"/>
      <c r="Y48" s="33" t="n"/>
      <c r="Z48" s="33" t="n"/>
      <c r="AA48" s="33" t="n"/>
      <c r="AB48" s="33" t="n"/>
      <c r="AC48" s="33" t="n"/>
      <c r="AD48" s="33" t="n"/>
      <c r="AE48" s="33" t="n"/>
      <c r="AF48" s="33" t="n"/>
      <c r="AG48" s="33" t="n"/>
      <c r="AH48" s="33" t="n"/>
      <c r="AI48" s="33" t="n"/>
      <c r="AJ48" s="33" t="n"/>
      <c r="AK48" s="33" t="n"/>
      <c r="AL48" s="33" t="n"/>
      <c r="AM48" s="33" t="n"/>
      <c r="AN48" s="33" t="n"/>
      <c r="AO48" s="33" t="n"/>
      <c r="AP48" s="33" t="n"/>
      <c r="AQ48" s="33" t="n"/>
      <c r="AR48" s="33" t="n"/>
      <c r="AS48" s="33" t="n"/>
      <c r="AT48" s="33" t="n"/>
      <c r="AU48" s="33" t="n"/>
      <c r="AV48" s="33" t="n"/>
      <c r="AW48" s="33" t="n"/>
    </row>
    <row r="49">
      <c r="A49" s="17">
        <f>IF(C49="","",COUNTA($C$3:C49))</f>
        <v/>
      </c>
      <c r="B49" s="27" t="n"/>
      <c r="C49" s="28" t="n"/>
      <c r="D49" s="27" t="n"/>
      <c r="E49" s="27" t="n"/>
      <c r="F49" s="28" t="n"/>
      <c r="G49" s="17">
        <f>IF(H49="","","W"&amp;ROUNDUP((H49-'마스터'!$L$5+1)/7,0))</f>
        <v/>
      </c>
      <c r="H49" s="29" t="n"/>
      <c r="I49" s="29" t="n"/>
      <c r="J49" s="27" t="n"/>
      <c r="K49" s="30" t="n"/>
      <c r="L49" s="27" t="n"/>
      <c r="M49" s="17">
        <f>IF(OR(K49="",K49=0),0,ROUNDUP(K49/'마스터'!$L$4,0))</f>
        <v/>
      </c>
      <c r="N49" s="31">
        <f>IF(OR(H49="",M49=0),"",WORKDAY(H49-1,M49))</f>
        <v/>
      </c>
      <c r="O49" s="32">
        <f>IF(OR(I49="",N49=""),"",I49-N49)</f>
        <v/>
      </c>
      <c r="P49" s="28" t="n"/>
      <c r="Q49" s="28" t="n"/>
      <c r="S49" s="33" t="n"/>
      <c r="T49" s="33" t="n"/>
      <c r="U49" s="33" t="n"/>
      <c r="V49" s="33" t="n"/>
      <c r="W49" s="33" t="n"/>
      <c r="X49" s="33" t="n"/>
      <c r="Y49" s="33" t="n"/>
      <c r="Z49" s="33" t="n"/>
      <c r="AA49" s="33" t="n"/>
      <c r="AB49" s="33" t="n"/>
      <c r="AC49" s="33" t="n"/>
      <c r="AD49" s="33" t="n"/>
      <c r="AE49" s="33" t="n"/>
      <c r="AF49" s="33" t="n"/>
      <c r="AG49" s="33" t="n"/>
      <c r="AH49" s="33" t="n"/>
      <c r="AI49" s="33" t="n"/>
      <c r="AJ49" s="33" t="n"/>
      <c r="AK49" s="33" t="n"/>
      <c r="AL49" s="33" t="n"/>
      <c r="AM49" s="33" t="n"/>
      <c r="AN49" s="33" t="n"/>
      <c r="AO49" s="33" t="n"/>
      <c r="AP49" s="33" t="n"/>
      <c r="AQ49" s="33" t="n"/>
      <c r="AR49" s="33" t="n"/>
      <c r="AS49" s="33" t="n"/>
      <c r="AT49" s="33" t="n"/>
      <c r="AU49" s="33" t="n"/>
      <c r="AV49" s="33" t="n"/>
      <c r="AW49" s="33" t="n"/>
    </row>
    <row r="50">
      <c r="A50" s="17">
        <f>IF(C50="","",COUNTA($C$3:C50))</f>
        <v/>
      </c>
      <c r="B50" s="27" t="n"/>
      <c r="C50" s="28" t="n"/>
      <c r="D50" s="27" t="n"/>
      <c r="E50" s="27" t="n"/>
      <c r="F50" s="28" t="n"/>
      <c r="G50" s="17">
        <f>IF(H50="","","W"&amp;ROUNDUP((H50-'마스터'!$L$5+1)/7,0))</f>
        <v/>
      </c>
      <c r="H50" s="29" t="n"/>
      <c r="I50" s="29" t="n"/>
      <c r="J50" s="27" t="n"/>
      <c r="K50" s="30" t="n"/>
      <c r="L50" s="27" t="n"/>
      <c r="M50" s="17">
        <f>IF(OR(K50="",K50=0),0,ROUNDUP(K50/'마스터'!$L$4,0))</f>
        <v/>
      </c>
      <c r="N50" s="31">
        <f>IF(OR(H50="",M50=0),"",WORKDAY(H50-1,M50))</f>
        <v/>
      </c>
      <c r="O50" s="32">
        <f>IF(OR(I50="",N50=""),"",I50-N50)</f>
        <v/>
      </c>
      <c r="P50" s="28" t="n"/>
      <c r="Q50" s="28" t="n"/>
      <c r="S50" s="33" t="n"/>
      <c r="T50" s="33" t="n"/>
      <c r="U50" s="33" t="n"/>
      <c r="V50" s="33" t="n"/>
      <c r="W50" s="33" t="n"/>
      <c r="X50" s="33" t="n"/>
      <c r="Y50" s="33" t="n"/>
      <c r="Z50" s="33" t="n"/>
      <c r="AA50" s="33" t="n"/>
      <c r="AB50" s="33" t="n"/>
      <c r="AC50" s="33" t="n"/>
      <c r="AD50" s="33" t="n"/>
      <c r="AE50" s="33" t="n"/>
      <c r="AF50" s="33" t="n"/>
      <c r="AG50" s="33" t="n"/>
      <c r="AH50" s="33" t="n"/>
      <c r="AI50" s="33" t="n"/>
      <c r="AJ50" s="33" t="n"/>
      <c r="AK50" s="33" t="n"/>
      <c r="AL50" s="33" t="n"/>
      <c r="AM50" s="33" t="n"/>
      <c r="AN50" s="33" t="n"/>
      <c r="AO50" s="33" t="n"/>
      <c r="AP50" s="33" t="n"/>
      <c r="AQ50" s="33" t="n"/>
      <c r="AR50" s="33" t="n"/>
      <c r="AS50" s="33" t="n"/>
      <c r="AT50" s="33" t="n"/>
      <c r="AU50" s="33" t="n"/>
      <c r="AV50" s="33" t="n"/>
      <c r="AW50" s="33" t="n"/>
    </row>
    <row r="51">
      <c r="A51" s="17">
        <f>IF(C51="","",COUNTA($C$3:C51))</f>
        <v/>
      </c>
      <c r="B51" s="27" t="n"/>
      <c r="C51" s="28" t="n"/>
      <c r="D51" s="27" t="n"/>
      <c r="E51" s="27" t="n"/>
      <c r="F51" s="28" t="n"/>
      <c r="G51" s="17">
        <f>IF(H51="","","W"&amp;ROUNDUP((H51-'마스터'!$L$5+1)/7,0))</f>
        <v/>
      </c>
      <c r="H51" s="29" t="n"/>
      <c r="I51" s="29" t="n"/>
      <c r="J51" s="27" t="n"/>
      <c r="K51" s="30" t="n"/>
      <c r="L51" s="27" t="n"/>
      <c r="M51" s="17">
        <f>IF(OR(K51="",K51=0),0,ROUNDUP(K51/'마스터'!$L$4,0))</f>
        <v/>
      </c>
      <c r="N51" s="31">
        <f>IF(OR(H51="",M51=0),"",WORKDAY(H51-1,M51))</f>
        <v/>
      </c>
      <c r="O51" s="32">
        <f>IF(OR(I51="",N51=""),"",I51-N51)</f>
        <v/>
      </c>
      <c r="P51" s="28" t="n"/>
      <c r="Q51" s="28" t="n"/>
      <c r="S51" s="33" t="n"/>
      <c r="T51" s="33" t="n"/>
      <c r="U51" s="33" t="n"/>
      <c r="V51" s="33" t="n"/>
      <c r="W51" s="33" t="n"/>
      <c r="X51" s="33" t="n"/>
      <c r="Y51" s="33" t="n"/>
      <c r="Z51" s="33" t="n"/>
      <c r="AA51" s="33" t="n"/>
      <c r="AB51" s="33" t="n"/>
      <c r="AC51" s="33" t="n"/>
      <c r="AD51" s="33" t="n"/>
      <c r="AE51" s="33" t="n"/>
      <c r="AF51" s="33" t="n"/>
      <c r="AG51" s="33" t="n"/>
      <c r="AH51" s="33" t="n"/>
      <c r="AI51" s="33" t="n"/>
      <c r="AJ51" s="33" t="n"/>
      <c r="AK51" s="33" t="n"/>
      <c r="AL51" s="33" t="n"/>
      <c r="AM51" s="33" t="n"/>
      <c r="AN51" s="33" t="n"/>
      <c r="AO51" s="33" t="n"/>
      <c r="AP51" s="33" t="n"/>
      <c r="AQ51" s="33" t="n"/>
      <c r="AR51" s="33" t="n"/>
      <c r="AS51" s="33" t="n"/>
      <c r="AT51" s="33" t="n"/>
      <c r="AU51" s="33" t="n"/>
      <c r="AV51" s="33" t="n"/>
      <c r="AW51" s="33" t="n"/>
    </row>
    <row r="52">
      <c r="A52" s="17">
        <f>IF(C52="","",COUNTA($C$3:C52))</f>
        <v/>
      </c>
      <c r="B52" s="27" t="n"/>
      <c r="C52" s="28" t="n"/>
      <c r="D52" s="27" t="n"/>
      <c r="E52" s="27" t="n"/>
      <c r="F52" s="28" t="n"/>
      <c r="G52" s="17">
        <f>IF(H52="","","W"&amp;ROUNDUP((H52-'마스터'!$L$5+1)/7,0))</f>
        <v/>
      </c>
      <c r="H52" s="29" t="n"/>
      <c r="I52" s="29" t="n"/>
      <c r="J52" s="27" t="n"/>
      <c r="K52" s="30" t="n"/>
      <c r="L52" s="27" t="n"/>
      <c r="M52" s="17">
        <f>IF(OR(K52="",K52=0),0,ROUNDUP(K52/'마스터'!$L$4,0))</f>
        <v/>
      </c>
      <c r="N52" s="31">
        <f>IF(OR(H52="",M52=0),"",WORKDAY(H52-1,M52))</f>
        <v/>
      </c>
      <c r="O52" s="32">
        <f>IF(OR(I52="",N52=""),"",I52-N52)</f>
        <v/>
      </c>
      <c r="P52" s="28" t="n"/>
      <c r="Q52" s="28" t="n"/>
      <c r="S52" s="33" t="n"/>
      <c r="T52" s="33" t="n"/>
      <c r="U52" s="33" t="n"/>
      <c r="V52" s="33" t="n"/>
      <c r="W52" s="33" t="n"/>
      <c r="X52" s="33" t="n"/>
      <c r="Y52" s="33" t="n"/>
      <c r="Z52" s="33" t="n"/>
      <c r="AA52" s="33" t="n"/>
      <c r="AB52" s="33" t="n"/>
      <c r="AC52" s="33" t="n"/>
      <c r="AD52" s="33" t="n"/>
      <c r="AE52" s="33" t="n"/>
      <c r="AF52" s="33" t="n"/>
      <c r="AG52" s="33" t="n"/>
      <c r="AH52" s="33" t="n"/>
      <c r="AI52" s="33" t="n"/>
      <c r="AJ52" s="33" t="n"/>
      <c r="AK52" s="33" t="n"/>
      <c r="AL52" s="33" t="n"/>
      <c r="AM52" s="33" t="n"/>
      <c r="AN52" s="33" t="n"/>
      <c r="AO52" s="33" t="n"/>
      <c r="AP52" s="33" t="n"/>
      <c r="AQ52" s="33" t="n"/>
      <c r="AR52" s="33" t="n"/>
      <c r="AS52" s="33" t="n"/>
      <c r="AT52" s="33" t="n"/>
      <c r="AU52" s="33" t="n"/>
      <c r="AV52" s="33" t="n"/>
      <c r="AW52" s="33" t="n"/>
    </row>
    <row r="53">
      <c r="A53" s="17">
        <f>IF(C53="","",COUNTA($C$3:C53))</f>
        <v/>
      </c>
      <c r="B53" s="27" t="n"/>
      <c r="C53" s="28" t="n"/>
      <c r="D53" s="27" t="n"/>
      <c r="E53" s="27" t="n"/>
      <c r="F53" s="28" t="n"/>
      <c r="G53" s="17">
        <f>IF(H53="","","W"&amp;ROUNDUP((H53-'마스터'!$L$5+1)/7,0))</f>
        <v/>
      </c>
      <c r="H53" s="29" t="n"/>
      <c r="I53" s="29" t="n"/>
      <c r="J53" s="27" t="n"/>
      <c r="K53" s="30" t="n"/>
      <c r="L53" s="27" t="n"/>
      <c r="M53" s="17">
        <f>IF(OR(K53="",K53=0),0,ROUNDUP(K53/'마스터'!$L$4,0))</f>
        <v/>
      </c>
      <c r="N53" s="31">
        <f>IF(OR(H53="",M53=0),"",WORKDAY(H53-1,M53))</f>
        <v/>
      </c>
      <c r="O53" s="32">
        <f>IF(OR(I53="",N53=""),"",I53-N53)</f>
        <v/>
      </c>
      <c r="P53" s="28" t="n"/>
      <c r="Q53" s="28" t="n"/>
      <c r="S53" s="33" t="n"/>
      <c r="T53" s="33" t="n"/>
      <c r="U53" s="33" t="n"/>
      <c r="V53" s="33" t="n"/>
      <c r="W53" s="33" t="n"/>
      <c r="X53" s="33" t="n"/>
      <c r="Y53" s="33" t="n"/>
      <c r="Z53" s="33" t="n"/>
      <c r="AA53" s="33" t="n"/>
      <c r="AB53" s="33" t="n"/>
      <c r="AC53" s="33" t="n"/>
      <c r="AD53" s="33" t="n"/>
      <c r="AE53" s="33" t="n"/>
      <c r="AF53" s="33" t="n"/>
      <c r="AG53" s="33" t="n"/>
      <c r="AH53" s="33" t="n"/>
      <c r="AI53" s="33" t="n"/>
      <c r="AJ53" s="33" t="n"/>
      <c r="AK53" s="33" t="n"/>
      <c r="AL53" s="33" t="n"/>
      <c r="AM53" s="33" t="n"/>
      <c r="AN53" s="33" t="n"/>
      <c r="AO53" s="33" t="n"/>
      <c r="AP53" s="33" t="n"/>
      <c r="AQ53" s="33" t="n"/>
      <c r="AR53" s="33" t="n"/>
      <c r="AS53" s="33" t="n"/>
      <c r="AT53" s="33" t="n"/>
      <c r="AU53" s="33" t="n"/>
      <c r="AV53" s="33" t="n"/>
      <c r="AW53" s="33" t="n"/>
    </row>
    <row r="54">
      <c r="A54" s="17">
        <f>IF(C54="","",COUNTA($C$3:C54))</f>
        <v/>
      </c>
      <c r="B54" s="27" t="n"/>
      <c r="C54" s="28" t="n"/>
      <c r="D54" s="27" t="n"/>
      <c r="E54" s="27" t="n"/>
      <c r="F54" s="28" t="n"/>
      <c r="G54" s="17">
        <f>IF(H54="","","W"&amp;ROUNDUP((H54-'마스터'!$L$5+1)/7,0))</f>
        <v/>
      </c>
      <c r="H54" s="29" t="n"/>
      <c r="I54" s="29" t="n"/>
      <c r="J54" s="27" t="n"/>
      <c r="K54" s="30" t="n"/>
      <c r="L54" s="27" t="n"/>
      <c r="M54" s="17">
        <f>IF(OR(K54="",K54=0),0,ROUNDUP(K54/'마스터'!$L$4,0))</f>
        <v/>
      </c>
      <c r="N54" s="31">
        <f>IF(OR(H54="",M54=0),"",WORKDAY(H54-1,M54))</f>
        <v/>
      </c>
      <c r="O54" s="32">
        <f>IF(OR(I54="",N54=""),"",I54-N54)</f>
        <v/>
      </c>
      <c r="P54" s="28" t="n"/>
      <c r="Q54" s="28" t="n"/>
      <c r="S54" s="33" t="n"/>
      <c r="T54" s="33" t="n"/>
      <c r="U54" s="33" t="n"/>
      <c r="V54" s="33" t="n"/>
      <c r="W54" s="33" t="n"/>
      <c r="X54" s="33" t="n"/>
      <c r="Y54" s="33" t="n"/>
      <c r="Z54" s="33" t="n"/>
      <c r="AA54" s="33" t="n"/>
      <c r="AB54" s="33" t="n"/>
      <c r="AC54" s="33" t="n"/>
      <c r="AD54" s="33" t="n"/>
      <c r="AE54" s="33" t="n"/>
      <c r="AF54" s="33" t="n"/>
      <c r="AG54" s="33" t="n"/>
      <c r="AH54" s="33" t="n"/>
      <c r="AI54" s="33" t="n"/>
      <c r="AJ54" s="33" t="n"/>
      <c r="AK54" s="33" t="n"/>
      <c r="AL54" s="33" t="n"/>
      <c r="AM54" s="33" t="n"/>
      <c r="AN54" s="33" t="n"/>
      <c r="AO54" s="33" t="n"/>
      <c r="AP54" s="33" t="n"/>
      <c r="AQ54" s="33" t="n"/>
      <c r="AR54" s="33" t="n"/>
      <c r="AS54" s="33" t="n"/>
      <c r="AT54" s="33" t="n"/>
      <c r="AU54" s="33" t="n"/>
      <c r="AV54" s="33" t="n"/>
      <c r="AW54" s="33" t="n"/>
    </row>
    <row r="55">
      <c r="A55" s="17">
        <f>IF(C55="","",COUNTA($C$3:C55))</f>
        <v/>
      </c>
      <c r="B55" s="27" t="n"/>
      <c r="C55" s="28" t="n"/>
      <c r="D55" s="27" t="n"/>
      <c r="E55" s="27" t="n"/>
      <c r="F55" s="28" t="n"/>
      <c r="G55" s="17">
        <f>IF(H55="","","W"&amp;ROUNDUP((H55-'마스터'!$L$5+1)/7,0))</f>
        <v/>
      </c>
      <c r="H55" s="29" t="n"/>
      <c r="I55" s="29" t="n"/>
      <c r="J55" s="27" t="n"/>
      <c r="K55" s="30" t="n"/>
      <c r="L55" s="27" t="n"/>
      <c r="M55" s="17">
        <f>IF(OR(K55="",K55=0),0,ROUNDUP(K55/'마스터'!$L$4,0))</f>
        <v/>
      </c>
      <c r="N55" s="31">
        <f>IF(OR(H55="",M55=0),"",WORKDAY(H55-1,M55))</f>
        <v/>
      </c>
      <c r="O55" s="32">
        <f>IF(OR(I55="",N55=""),"",I55-N55)</f>
        <v/>
      </c>
      <c r="P55" s="28" t="n"/>
      <c r="Q55" s="28" t="n"/>
      <c r="S55" s="33" t="n"/>
      <c r="T55" s="33" t="n"/>
      <c r="U55" s="33" t="n"/>
      <c r="V55" s="33" t="n"/>
      <c r="W55" s="33" t="n"/>
      <c r="X55" s="33" t="n"/>
      <c r="Y55" s="33" t="n"/>
      <c r="Z55" s="33" t="n"/>
      <c r="AA55" s="33" t="n"/>
      <c r="AB55" s="33" t="n"/>
      <c r="AC55" s="33" t="n"/>
      <c r="AD55" s="33" t="n"/>
      <c r="AE55" s="33" t="n"/>
      <c r="AF55" s="33" t="n"/>
      <c r="AG55" s="33" t="n"/>
      <c r="AH55" s="33" t="n"/>
      <c r="AI55" s="33" t="n"/>
      <c r="AJ55" s="33" t="n"/>
      <c r="AK55" s="33" t="n"/>
      <c r="AL55" s="33" t="n"/>
      <c r="AM55" s="33" t="n"/>
      <c r="AN55" s="33" t="n"/>
      <c r="AO55" s="33" t="n"/>
      <c r="AP55" s="33" t="n"/>
      <c r="AQ55" s="33" t="n"/>
      <c r="AR55" s="33" t="n"/>
      <c r="AS55" s="33" t="n"/>
      <c r="AT55" s="33" t="n"/>
      <c r="AU55" s="33" t="n"/>
      <c r="AV55" s="33" t="n"/>
      <c r="AW55" s="33" t="n"/>
    </row>
    <row r="56">
      <c r="A56" s="17">
        <f>IF(C56="","",COUNTA($C$3:C56))</f>
        <v/>
      </c>
      <c r="B56" s="27" t="n"/>
      <c r="C56" s="28" t="n"/>
      <c r="D56" s="27" t="n"/>
      <c r="E56" s="27" t="n"/>
      <c r="F56" s="28" t="n"/>
      <c r="G56" s="17">
        <f>IF(H56="","","W"&amp;ROUNDUP((H56-'마스터'!$L$5+1)/7,0))</f>
        <v/>
      </c>
      <c r="H56" s="29" t="n"/>
      <c r="I56" s="29" t="n"/>
      <c r="J56" s="27" t="n"/>
      <c r="K56" s="30" t="n"/>
      <c r="L56" s="27" t="n"/>
      <c r="M56" s="17">
        <f>IF(OR(K56="",K56=0),0,ROUNDUP(K56/'마스터'!$L$4,0))</f>
        <v/>
      </c>
      <c r="N56" s="31">
        <f>IF(OR(H56="",M56=0),"",WORKDAY(H56-1,M56))</f>
        <v/>
      </c>
      <c r="O56" s="32">
        <f>IF(OR(I56="",N56=""),"",I56-N56)</f>
        <v/>
      </c>
      <c r="P56" s="28" t="n"/>
      <c r="Q56" s="28" t="n"/>
      <c r="S56" s="33" t="n"/>
      <c r="T56" s="33" t="n"/>
      <c r="U56" s="33" t="n"/>
      <c r="V56" s="33" t="n"/>
      <c r="W56" s="33" t="n"/>
      <c r="X56" s="33" t="n"/>
      <c r="Y56" s="33" t="n"/>
      <c r="Z56" s="33" t="n"/>
      <c r="AA56" s="33" t="n"/>
      <c r="AB56" s="33" t="n"/>
      <c r="AC56" s="33" t="n"/>
      <c r="AD56" s="33" t="n"/>
      <c r="AE56" s="33" t="n"/>
      <c r="AF56" s="33" t="n"/>
      <c r="AG56" s="33" t="n"/>
      <c r="AH56" s="33" t="n"/>
      <c r="AI56" s="33" t="n"/>
      <c r="AJ56" s="33" t="n"/>
      <c r="AK56" s="33" t="n"/>
      <c r="AL56" s="33" t="n"/>
      <c r="AM56" s="33" t="n"/>
      <c r="AN56" s="33" t="n"/>
      <c r="AO56" s="33" t="n"/>
      <c r="AP56" s="33" t="n"/>
      <c r="AQ56" s="33" t="n"/>
      <c r="AR56" s="33" t="n"/>
      <c r="AS56" s="33" t="n"/>
      <c r="AT56" s="33" t="n"/>
      <c r="AU56" s="33" t="n"/>
      <c r="AV56" s="33" t="n"/>
      <c r="AW56" s="33" t="n"/>
    </row>
    <row r="57">
      <c r="A57" s="17">
        <f>IF(C57="","",COUNTA($C$3:C57))</f>
        <v/>
      </c>
      <c r="B57" s="27" t="n"/>
      <c r="C57" s="28" t="n"/>
      <c r="D57" s="27" t="n"/>
      <c r="E57" s="27" t="n"/>
      <c r="F57" s="28" t="n"/>
      <c r="G57" s="17">
        <f>IF(H57="","","W"&amp;ROUNDUP((H57-'마스터'!$L$5+1)/7,0))</f>
        <v/>
      </c>
      <c r="H57" s="29" t="n"/>
      <c r="I57" s="29" t="n"/>
      <c r="J57" s="27" t="n"/>
      <c r="K57" s="30" t="n"/>
      <c r="L57" s="27" t="n"/>
      <c r="M57" s="17">
        <f>IF(OR(K57="",K57=0),0,ROUNDUP(K57/'마스터'!$L$4,0))</f>
        <v/>
      </c>
      <c r="N57" s="31">
        <f>IF(OR(H57="",M57=0),"",WORKDAY(H57-1,M57))</f>
        <v/>
      </c>
      <c r="O57" s="32">
        <f>IF(OR(I57="",N57=""),"",I57-N57)</f>
        <v/>
      </c>
      <c r="P57" s="28" t="n"/>
      <c r="Q57" s="28" t="n"/>
      <c r="S57" s="33" t="n"/>
      <c r="T57" s="33" t="n"/>
      <c r="U57" s="33" t="n"/>
      <c r="V57" s="33" t="n"/>
      <c r="W57" s="33" t="n"/>
      <c r="X57" s="33" t="n"/>
      <c r="Y57" s="33" t="n"/>
      <c r="Z57" s="33" t="n"/>
      <c r="AA57" s="33" t="n"/>
      <c r="AB57" s="33" t="n"/>
      <c r="AC57" s="33" t="n"/>
      <c r="AD57" s="33" t="n"/>
      <c r="AE57" s="33" t="n"/>
      <c r="AF57" s="33" t="n"/>
      <c r="AG57" s="33" t="n"/>
      <c r="AH57" s="33" t="n"/>
      <c r="AI57" s="33" t="n"/>
      <c r="AJ57" s="33" t="n"/>
      <c r="AK57" s="33" t="n"/>
      <c r="AL57" s="33" t="n"/>
      <c r="AM57" s="33" t="n"/>
      <c r="AN57" s="33" t="n"/>
      <c r="AO57" s="33" t="n"/>
      <c r="AP57" s="33" t="n"/>
      <c r="AQ57" s="33" t="n"/>
      <c r="AR57" s="33" t="n"/>
      <c r="AS57" s="33" t="n"/>
      <c r="AT57" s="33" t="n"/>
      <c r="AU57" s="33" t="n"/>
      <c r="AV57" s="33" t="n"/>
      <c r="AW57" s="33" t="n"/>
    </row>
    <row r="58">
      <c r="A58" s="17">
        <f>IF(C58="","",COUNTA($C$3:C58))</f>
        <v/>
      </c>
      <c r="B58" s="27" t="n"/>
      <c r="C58" s="28" t="n"/>
      <c r="D58" s="27" t="n"/>
      <c r="E58" s="27" t="n"/>
      <c r="F58" s="28" t="n"/>
      <c r="G58" s="17">
        <f>IF(H58="","","W"&amp;ROUNDUP((H58-'마스터'!$L$5+1)/7,0))</f>
        <v/>
      </c>
      <c r="H58" s="29" t="n"/>
      <c r="I58" s="29" t="n"/>
      <c r="J58" s="27" t="n"/>
      <c r="K58" s="30" t="n"/>
      <c r="L58" s="27" t="n"/>
      <c r="M58" s="17">
        <f>IF(OR(K58="",K58=0),0,ROUNDUP(K58/'마스터'!$L$4,0))</f>
        <v/>
      </c>
      <c r="N58" s="31">
        <f>IF(OR(H58="",M58=0),"",WORKDAY(H58-1,M58))</f>
        <v/>
      </c>
      <c r="O58" s="32">
        <f>IF(OR(I58="",N58=""),"",I58-N58)</f>
        <v/>
      </c>
      <c r="P58" s="28" t="n"/>
      <c r="Q58" s="28" t="n"/>
      <c r="S58" s="33" t="n"/>
      <c r="T58" s="33" t="n"/>
      <c r="U58" s="33" t="n"/>
      <c r="V58" s="33" t="n"/>
      <c r="W58" s="33" t="n"/>
      <c r="X58" s="33" t="n"/>
      <c r="Y58" s="33" t="n"/>
      <c r="Z58" s="33" t="n"/>
      <c r="AA58" s="33" t="n"/>
      <c r="AB58" s="33" t="n"/>
      <c r="AC58" s="33" t="n"/>
      <c r="AD58" s="33" t="n"/>
      <c r="AE58" s="33" t="n"/>
      <c r="AF58" s="33" t="n"/>
      <c r="AG58" s="33" t="n"/>
      <c r="AH58" s="33" t="n"/>
      <c r="AI58" s="33" t="n"/>
      <c r="AJ58" s="33" t="n"/>
      <c r="AK58" s="33" t="n"/>
      <c r="AL58" s="33" t="n"/>
      <c r="AM58" s="33" t="n"/>
      <c r="AN58" s="33" t="n"/>
      <c r="AO58" s="33" t="n"/>
      <c r="AP58" s="33" t="n"/>
      <c r="AQ58" s="33" t="n"/>
      <c r="AR58" s="33" t="n"/>
      <c r="AS58" s="33" t="n"/>
      <c r="AT58" s="33" t="n"/>
      <c r="AU58" s="33" t="n"/>
      <c r="AV58" s="33" t="n"/>
      <c r="AW58" s="33" t="n"/>
    </row>
    <row r="59">
      <c r="A59" s="17">
        <f>IF(C59="","",COUNTA($C$3:C59))</f>
        <v/>
      </c>
      <c r="B59" s="27" t="n"/>
      <c r="C59" s="28" t="n"/>
      <c r="D59" s="27" t="n"/>
      <c r="E59" s="27" t="n"/>
      <c r="F59" s="28" t="n"/>
      <c r="G59" s="17">
        <f>IF(H59="","","W"&amp;ROUNDUP((H59-'마스터'!$L$5+1)/7,0))</f>
        <v/>
      </c>
      <c r="H59" s="29" t="n"/>
      <c r="I59" s="29" t="n"/>
      <c r="J59" s="27" t="n"/>
      <c r="K59" s="30" t="n"/>
      <c r="L59" s="27" t="n"/>
      <c r="M59" s="17">
        <f>IF(OR(K59="",K59=0),0,ROUNDUP(K59/'마스터'!$L$4,0))</f>
        <v/>
      </c>
      <c r="N59" s="31">
        <f>IF(OR(H59="",M59=0),"",WORKDAY(H59-1,M59))</f>
        <v/>
      </c>
      <c r="O59" s="32">
        <f>IF(OR(I59="",N59=""),"",I59-N59)</f>
        <v/>
      </c>
      <c r="P59" s="28" t="n"/>
      <c r="Q59" s="28" t="n"/>
      <c r="S59" s="33" t="n"/>
      <c r="T59" s="33" t="n"/>
      <c r="U59" s="33" t="n"/>
      <c r="V59" s="33" t="n"/>
      <c r="W59" s="33" t="n"/>
      <c r="X59" s="33" t="n"/>
      <c r="Y59" s="33" t="n"/>
      <c r="Z59" s="33" t="n"/>
      <c r="AA59" s="33" t="n"/>
      <c r="AB59" s="33" t="n"/>
      <c r="AC59" s="33" t="n"/>
      <c r="AD59" s="33" t="n"/>
      <c r="AE59" s="33" t="n"/>
      <c r="AF59" s="33" t="n"/>
      <c r="AG59" s="33" t="n"/>
      <c r="AH59" s="33" t="n"/>
      <c r="AI59" s="33" t="n"/>
      <c r="AJ59" s="33" t="n"/>
      <c r="AK59" s="33" t="n"/>
      <c r="AL59" s="33" t="n"/>
      <c r="AM59" s="33" t="n"/>
      <c r="AN59" s="33" t="n"/>
      <c r="AO59" s="33" t="n"/>
      <c r="AP59" s="33" t="n"/>
      <c r="AQ59" s="33" t="n"/>
      <c r="AR59" s="33" t="n"/>
      <c r="AS59" s="33" t="n"/>
      <c r="AT59" s="33" t="n"/>
      <c r="AU59" s="33" t="n"/>
      <c r="AV59" s="33" t="n"/>
      <c r="AW59" s="33" t="n"/>
    </row>
    <row r="60">
      <c r="A60" s="17">
        <f>IF(C60="","",COUNTA($C$3:C60))</f>
        <v/>
      </c>
      <c r="B60" s="27" t="n"/>
      <c r="C60" s="28" t="n"/>
      <c r="D60" s="27" t="n"/>
      <c r="E60" s="27" t="n"/>
      <c r="F60" s="28" t="n"/>
      <c r="G60" s="17">
        <f>IF(H60="","","W"&amp;ROUNDUP((H60-'마스터'!$L$5+1)/7,0))</f>
        <v/>
      </c>
      <c r="H60" s="29" t="n"/>
      <c r="I60" s="29" t="n"/>
      <c r="J60" s="27" t="n"/>
      <c r="K60" s="30" t="n"/>
      <c r="L60" s="27" t="n"/>
      <c r="M60" s="17">
        <f>IF(OR(K60="",K60=0),0,ROUNDUP(K60/'마스터'!$L$4,0))</f>
        <v/>
      </c>
      <c r="N60" s="31">
        <f>IF(OR(H60="",M60=0),"",WORKDAY(H60-1,M60))</f>
        <v/>
      </c>
      <c r="O60" s="32">
        <f>IF(OR(I60="",N60=""),"",I60-N60)</f>
        <v/>
      </c>
      <c r="P60" s="28" t="n"/>
      <c r="Q60" s="28" t="n"/>
      <c r="S60" s="33" t="n"/>
      <c r="T60" s="33" t="n"/>
      <c r="U60" s="33" t="n"/>
      <c r="V60" s="33" t="n"/>
      <c r="W60" s="33" t="n"/>
      <c r="X60" s="33" t="n"/>
      <c r="Y60" s="33" t="n"/>
      <c r="Z60" s="33" t="n"/>
      <c r="AA60" s="33" t="n"/>
      <c r="AB60" s="33" t="n"/>
      <c r="AC60" s="33" t="n"/>
      <c r="AD60" s="33" t="n"/>
      <c r="AE60" s="33" t="n"/>
      <c r="AF60" s="33" t="n"/>
      <c r="AG60" s="33" t="n"/>
      <c r="AH60" s="33" t="n"/>
      <c r="AI60" s="33" t="n"/>
      <c r="AJ60" s="33" t="n"/>
      <c r="AK60" s="33" t="n"/>
      <c r="AL60" s="33" t="n"/>
      <c r="AM60" s="33" t="n"/>
      <c r="AN60" s="33" t="n"/>
      <c r="AO60" s="33" t="n"/>
      <c r="AP60" s="33" t="n"/>
      <c r="AQ60" s="33" t="n"/>
      <c r="AR60" s="33" t="n"/>
      <c r="AS60" s="33" t="n"/>
      <c r="AT60" s="33" t="n"/>
      <c r="AU60" s="33" t="n"/>
      <c r="AV60" s="33" t="n"/>
      <c r="AW60" s="33" t="n"/>
    </row>
    <row r="61">
      <c r="A61" s="17">
        <f>IF(C61="","",COUNTA($C$3:C61))</f>
        <v/>
      </c>
      <c r="B61" s="27" t="n"/>
      <c r="C61" s="28" t="n"/>
      <c r="D61" s="27" t="n"/>
      <c r="E61" s="27" t="n"/>
      <c r="F61" s="28" t="n"/>
      <c r="G61" s="17">
        <f>IF(H61="","","W"&amp;ROUNDUP((H61-'마스터'!$L$5+1)/7,0))</f>
        <v/>
      </c>
      <c r="H61" s="29" t="n"/>
      <c r="I61" s="29" t="n"/>
      <c r="J61" s="27" t="n"/>
      <c r="K61" s="30" t="n"/>
      <c r="L61" s="27" t="n"/>
      <c r="M61" s="17">
        <f>IF(OR(K61="",K61=0),0,ROUNDUP(K61/'마스터'!$L$4,0))</f>
        <v/>
      </c>
      <c r="N61" s="31">
        <f>IF(OR(H61="",M61=0),"",WORKDAY(H61-1,M61))</f>
        <v/>
      </c>
      <c r="O61" s="32">
        <f>IF(OR(I61="",N61=""),"",I61-N61)</f>
        <v/>
      </c>
      <c r="P61" s="28" t="n"/>
      <c r="Q61" s="28" t="n"/>
      <c r="S61" s="33" t="n"/>
      <c r="T61" s="33" t="n"/>
      <c r="U61" s="33" t="n"/>
      <c r="V61" s="33" t="n"/>
      <c r="W61" s="33" t="n"/>
      <c r="X61" s="33" t="n"/>
      <c r="Y61" s="33" t="n"/>
      <c r="Z61" s="33" t="n"/>
      <c r="AA61" s="33" t="n"/>
      <c r="AB61" s="33" t="n"/>
      <c r="AC61" s="33" t="n"/>
      <c r="AD61" s="33" t="n"/>
      <c r="AE61" s="33" t="n"/>
      <c r="AF61" s="33" t="n"/>
      <c r="AG61" s="33" t="n"/>
      <c r="AH61" s="33" t="n"/>
      <c r="AI61" s="33" t="n"/>
      <c r="AJ61" s="33" t="n"/>
      <c r="AK61" s="33" t="n"/>
      <c r="AL61" s="33" t="n"/>
      <c r="AM61" s="33" t="n"/>
      <c r="AN61" s="33" t="n"/>
      <c r="AO61" s="33" t="n"/>
      <c r="AP61" s="33" t="n"/>
      <c r="AQ61" s="33" t="n"/>
      <c r="AR61" s="33" t="n"/>
      <c r="AS61" s="33" t="n"/>
      <c r="AT61" s="33" t="n"/>
      <c r="AU61" s="33" t="n"/>
      <c r="AV61" s="33" t="n"/>
      <c r="AW61" s="33" t="n"/>
    </row>
    <row r="62">
      <c r="A62" s="17">
        <f>IF(C62="","",COUNTA($C$3:C62))</f>
        <v/>
      </c>
      <c r="B62" s="27" t="n"/>
      <c r="C62" s="28" t="n"/>
      <c r="D62" s="27" t="n"/>
      <c r="E62" s="27" t="n"/>
      <c r="F62" s="28" t="n"/>
      <c r="G62" s="17">
        <f>IF(H62="","","W"&amp;ROUNDUP((H62-'마스터'!$L$5+1)/7,0))</f>
        <v/>
      </c>
      <c r="H62" s="29" t="n"/>
      <c r="I62" s="29" t="n"/>
      <c r="J62" s="27" t="n"/>
      <c r="K62" s="30" t="n"/>
      <c r="L62" s="27" t="n"/>
      <c r="M62" s="17">
        <f>IF(OR(K62="",K62=0),0,ROUNDUP(K62/'마스터'!$L$4,0))</f>
        <v/>
      </c>
      <c r="N62" s="31">
        <f>IF(OR(H62="",M62=0),"",WORKDAY(H62-1,M62))</f>
        <v/>
      </c>
      <c r="O62" s="32">
        <f>IF(OR(I62="",N62=""),"",I62-N62)</f>
        <v/>
      </c>
      <c r="P62" s="28" t="n"/>
      <c r="Q62" s="28" t="n"/>
      <c r="S62" s="33" t="n"/>
      <c r="T62" s="33" t="n"/>
      <c r="U62" s="33" t="n"/>
      <c r="V62" s="33" t="n"/>
      <c r="W62" s="33" t="n"/>
      <c r="X62" s="33" t="n"/>
      <c r="Y62" s="33" t="n"/>
      <c r="Z62" s="33" t="n"/>
      <c r="AA62" s="33" t="n"/>
      <c r="AB62" s="33" t="n"/>
      <c r="AC62" s="33" t="n"/>
      <c r="AD62" s="33" t="n"/>
      <c r="AE62" s="33" t="n"/>
      <c r="AF62" s="33" t="n"/>
      <c r="AG62" s="33" t="n"/>
      <c r="AH62" s="33" t="n"/>
      <c r="AI62" s="33" t="n"/>
      <c r="AJ62" s="33" t="n"/>
      <c r="AK62" s="33" t="n"/>
      <c r="AL62" s="33" t="n"/>
      <c r="AM62" s="33" t="n"/>
      <c r="AN62" s="33" t="n"/>
      <c r="AO62" s="33" t="n"/>
      <c r="AP62" s="33" t="n"/>
      <c r="AQ62" s="33" t="n"/>
      <c r="AR62" s="33" t="n"/>
      <c r="AS62" s="33" t="n"/>
      <c r="AT62" s="33" t="n"/>
      <c r="AU62" s="33" t="n"/>
      <c r="AV62" s="33" t="n"/>
      <c r="AW62" s="33" t="n"/>
    </row>
    <row r="65">
      <c r="A65" s="34" t="inlineStr">
        <is>
          <t>🔥 구분별 일일 부하 (MD) vs 일 TO — 초과 시 빨강(TO 오버). 영상 6TO 등 정원 기준</t>
        </is>
      </c>
    </row>
    <row r="66">
      <c r="A66" s="35" t="inlineStr">
        <is>
          <t>구분</t>
        </is>
      </c>
      <c r="N66" s="36" t="inlineStr">
        <is>
          <t>오버일수</t>
        </is>
      </c>
      <c r="O66" s="36" t="inlineStr">
        <is>
          <t>일 TO</t>
        </is>
      </c>
      <c r="S66" s="37">
        <f>S2</f>
        <v/>
      </c>
      <c r="T66" s="37">
        <f>T2</f>
        <v/>
      </c>
      <c r="U66" s="37">
        <f>U2</f>
        <v/>
      </c>
      <c r="V66" s="37">
        <f>V2</f>
        <v/>
      </c>
      <c r="W66" s="37">
        <f>W2</f>
        <v/>
      </c>
      <c r="X66" s="37">
        <f>X2</f>
        <v/>
      </c>
      <c r="Y66" s="37">
        <f>Y2</f>
        <v/>
      </c>
      <c r="Z66" s="37">
        <f>Z2</f>
        <v/>
      </c>
      <c r="AA66" s="37">
        <f>AA2</f>
        <v/>
      </c>
      <c r="AB66" s="37">
        <f>AB2</f>
        <v/>
      </c>
      <c r="AC66" s="37">
        <f>AC2</f>
        <v/>
      </c>
      <c r="AD66" s="37">
        <f>AD2</f>
        <v/>
      </c>
      <c r="AE66" s="37">
        <f>AE2</f>
        <v/>
      </c>
      <c r="AF66" s="37">
        <f>AF2</f>
        <v/>
      </c>
      <c r="AG66" s="37">
        <f>AG2</f>
        <v/>
      </c>
      <c r="AH66" s="37">
        <f>AH2</f>
        <v/>
      </c>
      <c r="AI66" s="37">
        <f>AI2</f>
        <v/>
      </c>
      <c r="AJ66" s="37">
        <f>AJ2</f>
        <v/>
      </c>
      <c r="AK66" s="37">
        <f>AK2</f>
        <v/>
      </c>
      <c r="AL66" s="37">
        <f>AL2</f>
        <v/>
      </c>
      <c r="AM66" s="37">
        <f>AM2</f>
        <v/>
      </c>
      <c r="AN66" s="37">
        <f>AN2</f>
        <v/>
      </c>
      <c r="AO66" s="37">
        <f>AO2</f>
        <v/>
      </c>
      <c r="AP66" s="37">
        <f>AP2</f>
        <v/>
      </c>
      <c r="AQ66" s="37">
        <f>AQ2</f>
        <v/>
      </c>
      <c r="AR66" s="37">
        <f>AR2</f>
        <v/>
      </c>
      <c r="AS66" s="37">
        <f>AS2</f>
        <v/>
      </c>
      <c r="AT66" s="37">
        <f>AT2</f>
        <v/>
      </c>
      <c r="AU66" s="37">
        <f>AU2</f>
        <v/>
      </c>
      <c r="AV66" s="37">
        <f>AV2</f>
        <v/>
      </c>
      <c r="AW66" s="37">
        <f>AW2</f>
        <v/>
      </c>
    </row>
    <row r="67">
      <c r="A67" s="38" t="inlineStr">
        <is>
          <t>기획</t>
        </is>
      </c>
      <c r="N67" s="39">
        <f>SUMPRODUCT((S67:AW67&gt;$O67)*1)</f>
        <v/>
      </c>
      <c r="O67" s="17">
        <f>'마스터'!$L$8</f>
        <v/>
      </c>
      <c r="S67" s="40">
        <f>SUMPRODUCT(($H$3:$H$62&lt;&gt;"")*($B$3:$B$62="기획")*($H$3:$H$62&lt;=S$2)*($N$3:$N$62&gt;=S$2)*(WEEKDAY(S$2,2)&lt;6)*($K$3:$K$62)/($M$3:$M$62+($M$3:$M$62=0)))</f>
        <v/>
      </c>
      <c r="T67" s="40">
        <f>SUMPRODUCT(($H$3:$H$62&lt;&gt;"")*($B$3:$B$62="기획")*($H$3:$H$62&lt;=T$2)*($N$3:$N$62&gt;=T$2)*(WEEKDAY(T$2,2)&lt;6)*($K$3:$K$62)/($M$3:$M$62+($M$3:$M$62=0)))</f>
        <v/>
      </c>
      <c r="U67" s="40">
        <f>SUMPRODUCT(($H$3:$H$62&lt;&gt;"")*($B$3:$B$62="기획")*($H$3:$H$62&lt;=U$2)*($N$3:$N$62&gt;=U$2)*(WEEKDAY(U$2,2)&lt;6)*($K$3:$K$62)/($M$3:$M$62+($M$3:$M$62=0)))</f>
        <v/>
      </c>
      <c r="V67" s="40">
        <f>SUMPRODUCT(($H$3:$H$62&lt;&gt;"")*($B$3:$B$62="기획")*($H$3:$H$62&lt;=V$2)*($N$3:$N$62&gt;=V$2)*(WEEKDAY(V$2,2)&lt;6)*($K$3:$K$62)/($M$3:$M$62+($M$3:$M$62=0)))</f>
        <v/>
      </c>
      <c r="W67" s="40">
        <f>SUMPRODUCT(($H$3:$H$62&lt;&gt;"")*($B$3:$B$62="기획")*($H$3:$H$62&lt;=W$2)*($N$3:$N$62&gt;=W$2)*(WEEKDAY(W$2,2)&lt;6)*($K$3:$K$62)/($M$3:$M$62+($M$3:$M$62=0)))</f>
        <v/>
      </c>
      <c r="X67" s="40">
        <f>SUMPRODUCT(($H$3:$H$62&lt;&gt;"")*($B$3:$B$62="기획")*($H$3:$H$62&lt;=X$2)*($N$3:$N$62&gt;=X$2)*(WEEKDAY(X$2,2)&lt;6)*($K$3:$K$62)/($M$3:$M$62+($M$3:$M$62=0)))</f>
        <v/>
      </c>
      <c r="Y67" s="40">
        <f>SUMPRODUCT(($H$3:$H$62&lt;&gt;"")*($B$3:$B$62="기획")*($H$3:$H$62&lt;=Y$2)*($N$3:$N$62&gt;=Y$2)*(WEEKDAY(Y$2,2)&lt;6)*($K$3:$K$62)/($M$3:$M$62+($M$3:$M$62=0)))</f>
        <v/>
      </c>
      <c r="Z67" s="40">
        <f>SUMPRODUCT(($H$3:$H$62&lt;&gt;"")*($B$3:$B$62="기획")*($H$3:$H$62&lt;=Z$2)*($N$3:$N$62&gt;=Z$2)*(WEEKDAY(Z$2,2)&lt;6)*($K$3:$K$62)/($M$3:$M$62+($M$3:$M$62=0)))</f>
        <v/>
      </c>
      <c r="AA67" s="40">
        <f>SUMPRODUCT(($H$3:$H$62&lt;&gt;"")*($B$3:$B$62="기획")*($H$3:$H$62&lt;=AA$2)*($N$3:$N$62&gt;=AA$2)*(WEEKDAY(AA$2,2)&lt;6)*($K$3:$K$62)/($M$3:$M$62+($M$3:$M$62=0)))</f>
        <v/>
      </c>
      <c r="AB67" s="40">
        <f>SUMPRODUCT(($H$3:$H$62&lt;&gt;"")*($B$3:$B$62="기획")*($H$3:$H$62&lt;=AB$2)*($N$3:$N$62&gt;=AB$2)*(WEEKDAY(AB$2,2)&lt;6)*($K$3:$K$62)/($M$3:$M$62+($M$3:$M$62=0)))</f>
        <v/>
      </c>
      <c r="AC67" s="40">
        <f>SUMPRODUCT(($H$3:$H$62&lt;&gt;"")*($B$3:$B$62="기획")*($H$3:$H$62&lt;=AC$2)*($N$3:$N$62&gt;=AC$2)*(WEEKDAY(AC$2,2)&lt;6)*($K$3:$K$62)/($M$3:$M$62+($M$3:$M$62=0)))</f>
        <v/>
      </c>
      <c r="AD67" s="40">
        <f>SUMPRODUCT(($H$3:$H$62&lt;&gt;"")*($B$3:$B$62="기획")*($H$3:$H$62&lt;=AD$2)*($N$3:$N$62&gt;=AD$2)*(WEEKDAY(AD$2,2)&lt;6)*($K$3:$K$62)/($M$3:$M$62+($M$3:$M$62=0)))</f>
        <v/>
      </c>
      <c r="AE67" s="40">
        <f>SUMPRODUCT(($H$3:$H$62&lt;&gt;"")*($B$3:$B$62="기획")*($H$3:$H$62&lt;=AE$2)*($N$3:$N$62&gt;=AE$2)*(WEEKDAY(AE$2,2)&lt;6)*($K$3:$K$62)/($M$3:$M$62+($M$3:$M$62=0)))</f>
        <v/>
      </c>
      <c r="AF67" s="40">
        <f>SUMPRODUCT(($H$3:$H$62&lt;&gt;"")*($B$3:$B$62="기획")*($H$3:$H$62&lt;=AF$2)*($N$3:$N$62&gt;=AF$2)*(WEEKDAY(AF$2,2)&lt;6)*($K$3:$K$62)/($M$3:$M$62+($M$3:$M$62=0)))</f>
        <v/>
      </c>
      <c r="AG67" s="40">
        <f>SUMPRODUCT(($H$3:$H$62&lt;&gt;"")*($B$3:$B$62="기획")*($H$3:$H$62&lt;=AG$2)*($N$3:$N$62&gt;=AG$2)*(WEEKDAY(AG$2,2)&lt;6)*($K$3:$K$62)/($M$3:$M$62+($M$3:$M$62=0)))</f>
        <v/>
      </c>
      <c r="AH67" s="40">
        <f>SUMPRODUCT(($H$3:$H$62&lt;&gt;"")*($B$3:$B$62="기획")*($H$3:$H$62&lt;=AH$2)*($N$3:$N$62&gt;=AH$2)*(WEEKDAY(AH$2,2)&lt;6)*($K$3:$K$62)/($M$3:$M$62+($M$3:$M$62=0)))</f>
        <v/>
      </c>
      <c r="AI67" s="40">
        <f>SUMPRODUCT(($H$3:$H$62&lt;&gt;"")*($B$3:$B$62="기획")*($H$3:$H$62&lt;=AI$2)*($N$3:$N$62&gt;=AI$2)*(WEEKDAY(AI$2,2)&lt;6)*($K$3:$K$62)/($M$3:$M$62+($M$3:$M$62=0)))</f>
        <v/>
      </c>
      <c r="AJ67" s="40">
        <f>SUMPRODUCT(($H$3:$H$62&lt;&gt;"")*($B$3:$B$62="기획")*($H$3:$H$62&lt;=AJ$2)*($N$3:$N$62&gt;=AJ$2)*(WEEKDAY(AJ$2,2)&lt;6)*($K$3:$K$62)/($M$3:$M$62+($M$3:$M$62=0)))</f>
        <v/>
      </c>
      <c r="AK67" s="40">
        <f>SUMPRODUCT(($H$3:$H$62&lt;&gt;"")*($B$3:$B$62="기획")*($H$3:$H$62&lt;=AK$2)*($N$3:$N$62&gt;=AK$2)*(WEEKDAY(AK$2,2)&lt;6)*($K$3:$K$62)/($M$3:$M$62+($M$3:$M$62=0)))</f>
        <v/>
      </c>
      <c r="AL67" s="40">
        <f>SUMPRODUCT(($H$3:$H$62&lt;&gt;"")*($B$3:$B$62="기획")*($H$3:$H$62&lt;=AL$2)*($N$3:$N$62&gt;=AL$2)*(WEEKDAY(AL$2,2)&lt;6)*($K$3:$K$62)/($M$3:$M$62+($M$3:$M$62=0)))</f>
        <v/>
      </c>
      <c r="AM67" s="40">
        <f>SUMPRODUCT(($H$3:$H$62&lt;&gt;"")*($B$3:$B$62="기획")*($H$3:$H$62&lt;=AM$2)*($N$3:$N$62&gt;=AM$2)*(WEEKDAY(AM$2,2)&lt;6)*($K$3:$K$62)/($M$3:$M$62+($M$3:$M$62=0)))</f>
        <v/>
      </c>
      <c r="AN67" s="40">
        <f>SUMPRODUCT(($H$3:$H$62&lt;&gt;"")*($B$3:$B$62="기획")*($H$3:$H$62&lt;=AN$2)*($N$3:$N$62&gt;=AN$2)*(WEEKDAY(AN$2,2)&lt;6)*($K$3:$K$62)/($M$3:$M$62+($M$3:$M$62=0)))</f>
        <v/>
      </c>
      <c r="AO67" s="40">
        <f>SUMPRODUCT(($H$3:$H$62&lt;&gt;"")*($B$3:$B$62="기획")*($H$3:$H$62&lt;=AO$2)*($N$3:$N$62&gt;=AO$2)*(WEEKDAY(AO$2,2)&lt;6)*($K$3:$K$62)/($M$3:$M$62+($M$3:$M$62=0)))</f>
        <v/>
      </c>
      <c r="AP67" s="40">
        <f>SUMPRODUCT(($H$3:$H$62&lt;&gt;"")*($B$3:$B$62="기획")*($H$3:$H$62&lt;=AP$2)*($N$3:$N$62&gt;=AP$2)*(WEEKDAY(AP$2,2)&lt;6)*($K$3:$K$62)/($M$3:$M$62+($M$3:$M$62=0)))</f>
        <v/>
      </c>
      <c r="AQ67" s="40">
        <f>SUMPRODUCT(($H$3:$H$62&lt;&gt;"")*($B$3:$B$62="기획")*($H$3:$H$62&lt;=AQ$2)*($N$3:$N$62&gt;=AQ$2)*(WEEKDAY(AQ$2,2)&lt;6)*($K$3:$K$62)/($M$3:$M$62+($M$3:$M$62=0)))</f>
        <v/>
      </c>
      <c r="AR67" s="40">
        <f>SUMPRODUCT(($H$3:$H$62&lt;&gt;"")*($B$3:$B$62="기획")*($H$3:$H$62&lt;=AR$2)*($N$3:$N$62&gt;=AR$2)*(WEEKDAY(AR$2,2)&lt;6)*($K$3:$K$62)/($M$3:$M$62+($M$3:$M$62=0)))</f>
        <v/>
      </c>
      <c r="AS67" s="40">
        <f>SUMPRODUCT(($H$3:$H$62&lt;&gt;"")*($B$3:$B$62="기획")*($H$3:$H$62&lt;=AS$2)*($N$3:$N$62&gt;=AS$2)*(WEEKDAY(AS$2,2)&lt;6)*($K$3:$K$62)/($M$3:$M$62+($M$3:$M$62=0)))</f>
        <v/>
      </c>
      <c r="AT67" s="40">
        <f>SUMPRODUCT(($H$3:$H$62&lt;&gt;"")*($B$3:$B$62="기획")*($H$3:$H$62&lt;=AT$2)*($N$3:$N$62&gt;=AT$2)*(WEEKDAY(AT$2,2)&lt;6)*($K$3:$K$62)/($M$3:$M$62+($M$3:$M$62=0)))</f>
        <v/>
      </c>
      <c r="AU67" s="40">
        <f>SUMPRODUCT(($H$3:$H$62&lt;&gt;"")*($B$3:$B$62="기획")*($H$3:$H$62&lt;=AU$2)*($N$3:$N$62&gt;=AU$2)*(WEEKDAY(AU$2,2)&lt;6)*($K$3:$K$62)/($M$3:$M$62+($M$3:$M$62=0)))</f>
        <v/>
      </c>
      <c r="AV67" s="40">
        <f>SUMPRODUCT(($H$3:$H$62&lt;&gt;"")*($B$3:$B$62="기획")*($H$3:$H$62&lt;=AV$2)*($N$3:$N$62&gt;=AV$2)*(WEEKDAY(AV$2,2)&lt;6)*($K$3:$K$62)/($M$3:$M$62+($M$3:$M$62=0)))</f>
        <v/>
      </c>
      <c r="AW67" s="40">
        <f>SUMPRODUCT(($H$3:$H$62&lt;&gt;"")*($B$3:$B$62="기획")*($H$3:$H$62&lt;=AW$2)*($N$3:$N$62&gt;=AW$2)*(WEEKDAY(AW$2,2)&lt;6)*($K$3:$K$62)/($M$3:$M$62+($M$3:$M$62=0)))</f>
        <v/>
      </c>
    </row>
    <row r="68">
      <c r="A68" s="38" t="inlineStr">
        <is>
          <t>이미지</t>
        </is>
      </c>
      <c r="N68" s="39">
        <f>SUMPRODUCT((S68:AW68&gt;$O68)*1)</f>
        <v/>
      </c>
      <c r="O68" s="17">
        <f>'마스터'!$L$9</f>
        <v/>
      </c>
      <c r="S68" s="40">
        <f>SUMPRODUCT(($H$3:$H$62&lt;&gt;"")*($B$3:$B$62="이미지")*($H$3:$H$62&lt;=S$2)*($N$3:$N$62&gt;=S$2)*(WEEKDAY(S$2,2)&lt;6)*($K$3:$K$62)/($M$3:$M$62+($M$3:$M$62=0)))</f>
        <v/>
      </c>
      <c r="T68" s="40">
        <f>SUMPRODUCT(($H$3:$H$62&lt;&gt;"")*($B$3:$B$62="이미지")*($H$3:$H$62&lt;=T$2)*($N$3:$N$62&gt;=T$2)*(WEEKDAY(T$2,2)&lt;6)*($K$3:$K$62)/($M$3:$M$62+($M$3:$M$62=0)))</f>
        <v/>
      </c>
      <c r="U68" s="40">
        <f>SUMPRODUCT(($H$3:$H$62&lt;&gt;"")*($B$3:$B$62="이미지")*($H$3:$H$62&lt;=U$2)*($N$3:$N$62&gt;=U$2)*(WEEKDAY(U$2,2)&lt;6)*($K$3:$K$62)/($M$3:$M$62+($M$3:$M$62=0)))</f>
        <v/>
      </c>
      <c r="V68" s="40">
        <f>SUMPRODUCT(($H$3:$H$62&lt;&gt;"")*($B$3:$B$62="이미지")*($H$3:$H$62&lt;=V$2)*($N$3:$N$62&gt;=V$2)*(WEEKDAY(V$2,2)&lt;6)*($K$3:$K$62)/($M$3:$M$62+($M$3:$M$62=0)))</f>
        <v/>
      </c>
      <c r="W68" s="40">
        <f>SUMPRODUCT(($H$3:$H$62&lt;&gt;"")*($B$3:$B$62="이미지")*($H$3:$H$62&lt;=W$2)*($N$3:$N$62&gt;=W$2)*(WEEKDAY(W$2,2)&lt;6)*($K$3:$K$62)/($M$3:$M$62+($M$3:$M$62=0)))</f>
        <v/>
      </c>
      <c r="X68" s="40">
        <f>SUMPRODUCT(($H$3:$H$62&lt;&gt;"")*($B$3:$B$62="이미지")*($H$3:$H$62&lt;=X$2)*($N$3:$N$62&gt;=X$2)*(WEEKDAY(X$2,2)&lt;6)*($K$3:$K$62)/($M$3:$M$62+($M$3:$M$62=0)))</f>
        <v/>
      </c>
      <c r="Y68" s="40">
        <f>SUMPRODUCT(($H$3:$H$62&lt;&gt;"")*($B$3:$B$62="이미지")*($H$3:$H$62&lt;=Y$2)*($N$3:$N$62&gt;=Y$2)*(WEEKDAY(Y$2,2)&lt;6)*($K$3:$K$62)/($M$3:$M$62+($M$3:$M$62=0)))</f>
        <v/>
      </c>
      <c r="Z68" s="40">
        <f>SUMPRODUCT(($H$3:$H$62&lt;&gt;"")*($B$3:$B$62="이미지")*($H$3:$H$62&lt;=Z$2)*($N$3:$N$62&gt;=Z$2)*(WEEKDAY(Z$2,2)&lt;6)*($K$3:$K$62)/($M$3:$M$62+($M$3:$M$62=0)))</f>
        <v/>
      </c>
      <c r="AA68" s="40">
        <f>SUMPRODUCT(($H$3:$H$62&lt;&gt;"")*($B$3:$B$62="이미지")*($H$3:$H$62&lt;=AA$2)*($N$3:$N$62&gt;=AA$2)*(WEEKDAY(AA$2,2)&lt;6)*($K$3:$K$62)/($M$3:$M$62+($M$3:$M$62=0)))</f>
        <v/>
      </c>
      <c r="AB68" s="40">
        <f>SUMPRODUCT(($H$3:$H$62&lt;&gt;"")*($B$3:$B$62="이미지")*($H$3:$H$62&lt;=AB$2)*($N$3:$N$62&gt;=AB$2)*(WEEKDAY(AB$2,2)&lt;6)*($K$3:$K$62)/($M$3:$M$62+($M$3:$M$62=0)))</f>
        <v/>
      </c>
      <c r="AC68" s="40">
        <f>SUMPRODUCT(($H$3:$H$62&lt;&gt;"")*($B$3:$B$62="이미지")*($H$3:$H$62&lt;=AC$2)*($N$3:$N$62&gt;=AC$2)*(WEEKDAY(AC$2,2)&lt;6)*($K$3:$K$62)/($M$3:$M$62+($M$3:$M$62=0)))</f>
        <v/>
      </c>
      <c r="AD68" s="40">
        <f>SUMPRODUCT(($H$3:$H$62&lt;&gt;"")*($B$3:$B$62="이미지")*($H$3:$H$62&lt;=AD$2)*($N$3:$N$62&gt;=AD$2)*(WEEKDAY(AD$2,2)&lt;6)*($K$3:$K$62)/($M$3:$M$62+($M$3:$M$62=0)))</f>
        <v/>
      </c>
      <c r="AE68" s="40">
        <f>SUMPRODUCT(($H$3:$H$62&lt;&gt;"")*($B$3:$B$62="이미지")*($H$3:$H$62&lt;=AE$2)*($N$3:$N$62&gt;=AE$2)*(WEEKDAY(AE$2,2)&lt;6)*($K$3:$K$62)/($M$3:$M$62+($M$3:$M$62=0)))</f>
        <v/>
      </c>
      <c r="AF68" s="40">
        <f>SUMPRODUCT(($H$3:$H$62&lt;&gt;"")*($B$3:$B$62="이미지")*($H$3:$H$62&lt;=AF$2)*($N$3:$N$62&gt;=AF$2)*(WEEKDAY(AF$2,2)&lt;6)*($K$3:$K$62)/($M$3:$M$62+($M$3:$M$62=0)))</f>
        <v/>
      </c>
      <c r="AG68" s="40">
        <f>SUMPRODUCT(($H$3:$H$62&lt;&gt;"")*($B$3:$B$62="이미지")*($H$3:$H$62&lt;=AG$2)*($N$3:$N$62&gt;=AG$2)*(WEEKDAY(AG$2,2)&lt;6)*($K$3:$K$62)/($M$3:$M$62+($M$3:$M$62=0)))</f>
        <v/>
      </c>
      <c r="AH68" s="40">
        <f>SUMPRODUCT(($H$3:$H$62&lt;&gt;"")*($B$3:$B$62="이미지")*($H$3:$H$62&lt;=AH$2)*($N$3:$N$62&gt;=AH$2)*(WEEKDAY(AH$2,2)&lt;6)*($K$3:$K$62)/($M$3:$M$62+($M$3:$M$62=0)))</f>
        <v/>
      </c>
      <c r="AI68" s="40">
        <f>SUMPRODUCT(($H$3:$H$62&lt;&gt;"")*($B$3:$B$62="이미지")*($H$3:$H$62&lt;=AI$2)*($N$3:$N$62&gt;=AI$2)*(WEEKDAY(AI$2,2)&lt;6)*($K$3:$K$62)/($M$3:$M$62+($M$3:$M$62=0)))</f>
        <v/>
      </c>
      <c r="AJ68" s="40">
        <f>SUMPRODUCT(($H$3:$H$62&lt;&gt;"")*($B$3:$B$62="이미지")*($H$3:$H$62&lt;=AJ$2)*($N$3:$N$62&gt;=AJ$2)*(WEEKDAY(AJ$2,2)&lt;6)*($K$3:$K$62)/($M$3:$M$62+($M$3:$M$62=0)))</f>
        <v/>
      </c>
      <c r="AK68" s="40">
        <f>SUMPRODUCT(($H$3:$H$62&lt;&gt;"")*($B$3:$B$62="이미지")*($H$3:$H$62&lt;=AK$2)*($N$3:$N$62&gt;=AK$2)*(WEEKDAY(AK$2,2)&lt;6)*($K$3:$K$62)/($M$3:$M$62+($M$3:$M$62=0)))</f>
        <v/>
      </c>
      <c r="AL68" s="40">
        <f>SUMPRODUCT(($H$3:$H$62&lt;&gt;"")*($B$3:$B$62="이미지")*($H$3:$H$62&lt;=AL$2)*($N$3:$N$62&gt;=AL$2)*(WEEKDAY(AL$2,2)&lt;6)*($K$3:$K$62)/($M$3:$M$62+($M$3:$M$62=0)))</f>
        <v/>
      </c>
      <c r="AM68" s="40">
        <f>SUMPRODUCT(($H$3:$H$62&lt;&gt;"")*($B$3:$B$62="이미지")*($H$3:$H$62&lt;=AM$2)*($N$3:$N$62&gt;=AM$2)*(WEEKDAY(AM$2,2)&lt;6)*($K$3:$K$62)/($M$3:$M$62+($M$3:$M$62=0)))</f>
        <v/>
      </c>
      <c r="AN68" s="40">
        <f>SUMPRODUCT(($H$3:$H$62&lt;&gt;"")*($B$3:$B$62="이미지")*($H$3:$H$62&lt;=AN$2)*($N$3:$N$62&gt;=AN$2)*(WEEKDAY(AN$2,2)&lt;6)*($K$3:$K$62)/($M$3:$M$62+($M$3:$M$62=0)))</f>
        <v/>
      </c>
      <c r="AO68" s="40">
        <f>SUMPRODUCT(($H$3:$H$62&lt;&gt;"")*($B$3:$B$62="이미지")*($H$3:$H$62&lt;=AO$2)*($N$3:$N$62&gt;=AO$2)*(WEEKDAY(AO$2,2)&lt;6)*($K$3:$K$62)/($M$3:$M$62+($M$3:$M$62=0)))</f>
        <v/>
      </c>
      <c r="AP68" s="40">
        <f>SUMPRODUCT(($H$3:$H$62&lt;&gt;"")*($B$3:$B$62="이미지")*($H$3:$H$62&lt;=AP$2)*($N$3:$N$62&gt;=AP$2)*(WEEKDAY(AP$2,2)&lt;6)*($K$3:$K$62)/($M$3:$M$62+($M$3:$M$62=0)))</f>
        <v/>
      </c>
      <c r="AQ68" s="40">
        <f>SUMPRODUCT(($H$3:$H$62&lt;&gt;"")*($B$3:$B$62="이미지")*($H$3:$H$62&lt;=AQ$2)*($N$3:$N$62&gt;=AQ$2)*(WEEKDAY(AQ$2,2)&lt;6)*($K$3:$K$62)/($M$3:$M$62+($M$3:$M$62=0)))</f>
        <v/>
      </c>
      <c r="AR68" s="40">
        <f>SUMPRODUCT(($H$3:$H$62&lt;&gt;"")*($B$3:$B$62="이미지")*($H$3:$H$62&lt;=AR$2)*($N$3:$N$62&gt;=AR$2)*(WEEKDAY(AR$2,2)&lt;6)*($K$3:$K$62)/($M$3:$M$62+($M$3:$M$62=0)))</f>
        <v/>
      </c>
      <c r="AS68" s="40">
        <f>SUMPRODUCT(($H$3:$H$62&lt;&gt;"")*($B$3:$B$62="이미지")*($H$3:$H$62&lt;=AS$2)*($N$3:$N$62&gt;=AS$2)*(WEEKDAY(AS$2,2)&lt;6)*($K$3:$K$62)/($M$3:$M$62+($M$3:$M$62=0)))</f>
        <v/>
      </c>
      <c r="AT68" s="40">
        <f>SUMPRODUCT(($H$3:$H$62&lt;&gt;"")*($B$3:$B$62="이미지")*($H$3:$H$62&lt;=AT$2)*($N$3:$N$62&gt;=AT$2)*(WEEKDAY(AT$2,2)&lt;6)*($K$3:$K$62)/($M$3:$M$62+($M$3:$M$62=0)))</f>
        <v/>
      </c>
      <c r="AU68" s="40">
        <f>SUMPRODUCT(($H$3:$H$62&lt;&gt;"")*($B$3:$B$62="이미지")*($H$3:$H$62&lt;=AU$2)*($N$3:$N$62&gt;=AU$2)*(WEEKDAY(AU$2,2)&lt;6)*($K$3:$K$62)/($M$3:$M$62+($M$3:$M$62=0)))</f>
        <v/>
      </c>
      <c r="AV68" s="40">
        <f>SUMPRODUCT(($H$3:$H$62&lt;&gt;"")*($B$3:$B$62="이미지")*($H$3:$H$62&lt;=AV$2)*($N$3:$N$62&gt;=AV$2)*(WEEKDAY(AV$2,2)&lt;6)*($K$3:$K$62)/($M$3:$M$62+($M$3:$M$62=0)))</f>
        <v/>
      </c>
      <c r="AW68" s="40">
        <f>SUMPRODUCT(($H$3:$H$62&lt;&gt;"")*($B$3:$B$62="이미지")*($H$3:$H$62&lt;=AW$2)*($N$3:$N$62&gt;=AW$2)*(WEEKDAY(AW$2,2)&lt;6)*($K$3:$K$62)/($M$3:$M$62+($M$3:$M$62=0)))</f>
        <v/>
      </c>
    </row>
    <row r="69">
      <c r="A69" s="38" t="inlineStr">
        <is>
          <t>영상</t>
        </is>
      </c>
      <c r="N69" s="39">
        <f>SUMPRODUCT((S69:AW69&gt;$O69)*1)</f>
        <v/>
      </c>
      <c r="O69" s="17">
        <f>'마스터'!$L$10</f>
        <v/>
      </c>
      <c r="S69" s="40">
        <f>SUMPRODUCT(($H$3:$H$62&lt;&gt;"")*($B$3:$B$62="영상")*($H$3:$H$62&lt;=S$2)*($N$3:$N$62&gt;=S$2)*(WEEKDAY(S$2,2)&lt;6)*($K$3:$K$62)/($M$3:$M$62+($M$3:$M$62=0)))</f>
        <v/>
      </c>
      <c r="T69" s="40">
        <f>SUMPRODUCT(($H$3:$H$62&lt;&gt;"")*($B$3:$B$62="영상")*($H$3:$H$62&lt;=T$2)*($N$3:$N$62&gt;=T$2)*(WEEKDAY(T$2,2)&lt;6)*($K$3:$K$62)/($M$3:$M$62+($M$3:$M$62=0)))</f>
        <v/>
      </c>
      <c r="U69" s="40">
        <f>SUMPRODUCT(($H$3:$H$62&lt;&gt;"")*($B$3:$B$62="영상")*($H$3:$H$62&lt;=U$2)*($N$3:$N$62&gt;=U$2)*(WEEKDAY(U$2,2)&lt;6)*($K$3:$K$62)/($M$3:$M$62+($M$3:$M$62=0)))</f>
        <v/>
      </c>
      <c r="V69" s="40">
        <f>SUMPRODUCT(($H$3:$H$62&lt;&gt;"")*($B$3:$B$62="영상")*($H$3:$H$62&lt;=V$2)*($N$3:$N$62&gt;=V$2)*(WEEKDAY(V$2,2)&lt;6)*($K$3:$K$62)/($M$3:$M$62+($M$3:$M$62=0)))</f>
        <v/>
      </c>
      <c r="W69" s="40">
        <f>SUMPRODUCT(($H$3:$H$62&lt;&gt;"")*($B$3:$B$62="영상")*($H$3:$H$62&lt;=W$2)*($N$3:$N$62&gt;=W$2)*(WEEKDAY(W$2,2)&lt;6)*($K$3:$K$62)/($M$3:$M$62+($M$3:$M$62=0)))</f>
        <v/>
      </c>
      <c r="X69" s="40">
        <f>SUMPRODUCT(($H$3:$H$62&lt;&gt;"")*($B$3:$B$62="영상")*($H$3:$H$62&lt;=X$2)*($N$3:$N$62&gt;=X$2)*(WEEKDAY(X$2,2)&lt;6)*($K$3:$K$62)/($M$3:$M$62+($M$3:$M$62=0)))</f>
        <v/>
      </c>
      <c r="Y69" s="40">
        <f>SUMPRODUCT(($H$3:$H$62&lt;&gt;"")*($B$3:$B$62="영상")*($H$3:$H$62&lt;=Y$2)*($N$3:$N$62&gt;=Y$2)*(WEEKDAY(Y$2,2)&lt;6)*($K$3:$K$62)/($M$3:$M$62+($M$3:$M$62=0)))</f>
        <v/>
      </c>
      <c r="Z69" s="40">
        <f>SUMPRODUCT(($H$3:$H$62&lt;&gt;"")*($B$3:$B$62="영상")*($H$3:$H$62&lt;=Z$2)*($N$3:$N$62&gt;=Z$2)*(WEEKDAY(Z$2,2)&lt;6)*($K$3:$K$62)/($M$3:$M$62+($M$3:$M$62=0)))</f>
        <v/>
      </c>
      <c r="AA69" s="40">
        <f>SUMPRODUCT(($H$3:$H$62&lt;&gt;"")*($B$3:$B$62="영상")*($H$3:$H$62&lt;=AA$2)*($N$3:$N$62&gt;=AA$2)*(WEEKDAY(AA$2,2)&lt;6)*($K$3:$K$62)/($M$3:$M$62+($M$3:$M$62=0)))</f>
        <v/>
      </c>
      <c r="AB69" s="40">
        <f>SUMPRODUCT(($H$3:$H$62&lt;&gt;"")*($B$3:$B$62="영상")*($H$3:$H$62&lt;=AB$2)*($N$3:$N$62&gt;=AB$2)*(WEEKDAY(AB$2,2)&lt;6)*($K$3:$K$62)/($M$3:$M$62+($M$3:$M$62=0)))</f>
        <v/>
      </c>
      <c r="AC69" s="40">
        <f>SUMPRODUCT(($H$3:$H$62&lt;&gt;"")*($B$3:$B$62="영상")*($H$3:$H$62&lt;=AC$2)*($N$3:$N$62&gt;=AC$2)*(WEEKDAY(AC$2,2)&lt;6)*($K$3:$K$62)/($M$3:$M$62+($M$3:$M$62=0)))</f>
        <v/>
      </c>
      <c r="AD69" s="40">
        <f>SUMPRODUCT(($H$3:$H$62&lt;&gt;"")*($B$3:$B$62="영상")*($H$3:$H$62&lt;=AD$2)*($N$3:$N$62&gt;=AD$2)*(WEEKDAY(AD$2,2)&lt;6)*($K$3:$K$62)/($M$3:$M$62+($M$3:$M$62=0)))</f>
        <v/>
      </c>
      <c r="AE69" s="40">
        <f>SUMPRODUCT(($H$3:$H$62&lt;&gt;"")*($B$3:$B$62="영상")*($H$3:$H$62&lt;=AE$2)*($N$3:$N$62&gt;=AE$2)*(WEEKDAY(AE$2,2)&lt;6)*($K$3:$K$62)/($M$3:$M$62+($M$3:$M$62=0)))</f>
        <v/>
      </c>
      <c r="AF69" s="40">
        <f>SUMPRODUCT(($H$3:$H$62&lt;&gt;"")*($B$3:$B$62="영상")*($H$3:$H$62&lt;=AF$2)*($N$3:$N$62&gt;=AF$2)*(WEEKDAY(AF$2,2)&lt;6)*($K$3:$K$62)/($M$3:$M$62+($M$3:$M$62=0)))</f>
        <v/>
      </c>
      <c r="AG69" s="40">
        <f>SUMPRODUCT(($H$3:$H$62&lt;&gt;"")*($B$3:$B$62="영상")*($H$3:$H$62&lt;=AG$2)*($N$3:$N$62&gt;=AG$2)*(WEEKDAY(AG$2,2)&lt;6)*($K$3:$K$62)/($M$3:$M$62+($M$3:$M$62=0)))</f>
        <v/>
      </c>
      <c r="AH69" s="40">
        <f>SUMPRODUCT(($H$3:$H$62&lt;&gt;"")*($B$3:$B$62="영상")*($H$3:$H$62&lt;=AH$2)*($N$3:$N$62&gt;=AH$2)*(WEEKDAY(AH$2,2)&lt;6)*($K$3:$K$62)/($M$3:$M$62+($M$3:$M$62=0)))</f>
        <v/>
      </c>
      <c r="AI69" s="40">
        <f>SUMPRODUCT(($H$3:$H$62&lt;&gt;"")*($B$3:$B$62="영상")*($H$3:$H$62&lt;=AI$2)*($N$3:$N$62&gt;=AI$2)*(WEEKDAY(AI$2,2)&lt;6)*($K$3:$K$62)/($M$3:$M$62+($M$3:$M$62=0)))</f>
        <v/>
      </c>
      <c r="AJ69" s="40">
        <f>SUMPRODUCT(($H$3:$H$62&lt;&gt;"")*($B$3:$B$62="영상")*($H$3:$H$62&lt;=AJ$2)*($N$3:$N$62&gt;=AJ$2)*(WEEKDAY(AJ$2,2)&lt;6)*($K$3:$K$62)/($M$3:$M$62+($M$3:$M$62=0)))</f>
        <v/>
      </c>
      <c r="AK69" s="40">
        <f>SUMPRODUCT(($H$3:$H$62&lt;&gt;"")*($B$3:$B$62="영상")*($H$3:$H$62&lt;=AK$2)*($N$3:$N$62&gt;=AK$2)*(WEEKDAY(AK$2,2)&lt;6)*($K$3:$K$62)/($M$3:$M$62+($M$3:$M$62=0)))</f>
        <v/>
      </c>
      <c r="AL69" s="40">
        <f>SUMPRODUCT(($H$3:$H$62&lt;&gt;"")*($B$3:$B$62="영상")*($H$3:$H$62&lt;=AL$2)*($N$3:$N$62&gt;=AL$2)*(WEEKDAY(AL$2,2)&lt;6)*($K$3:$K$62)/($M$3:$M$62+($M$3:$M$62=0)))</f>
        <v/>
      </c>
      <c r="AM69" s="40">
        <f>SUMPRODUCT(($H$3:$H$62&lt;&gt;"")*($B$3:$B$62="영상")*($H$3:$H$62&lt;=AM$2)*($N$3:$N$62&gt;=AM$2)*(WEEKDAY(AM$2,2)&lt;6)*($K$3:$K$62)/($M$3:$M$62+($M$3:$M$62=0)))</f>
        <v/>
      </c>
      <c r="AN69" s="40">
        <f>SUMPRODUCT(($H$3:$H$62&lt;&gt;"")*($B$3:$B$62="영상")*($H$3:$H$62&lt;=AN$2)*($N$3:$N$62&gt;=AN$2)*(WEEKDAY(AN$2,2)&lt;6)*($K$3:$K$62)/($M$3:$M$62+($M$3:$M$62=0)))</f>
        <v/>
      </c>
      <c r="AO69" s="40">
        <f>SUMPRODUCT(($H$3:$H$62&lt;&gt;"")*($B$3:$B$62="영상")*($H$3:$H$62&lt;=AO$2)*($N$3:$N$62&gt;=AO$2)*(WEEKDAY(AO$2,2)&lt;6)*($K$3:$K$62)/($M$3:$M$62+($M$3:$M$62=0)))</f>
        <v/>
      </c>
      <c r="AP69" s="40">
        <f>SUMPRODUCT(($H$3:$H$62&lt;&gt;"")*($B$3:$B$62="영상")*($H$3:$H$62&lt;=AP$2)*($N$3:$N$62&gt;=AP$2)*(WEEKDAY(AP$2,2)&lt;6)*($K$3:$K$62)/($M$3:$M$62+($M$3:$M$62=0)))</f>
        <v/>
      </c>
      <c r="AQ69" s="40">
        <f>SUMPRODUCT(($H$3:$H$62&lt;&gt;"")*($B$3:$B$62="영상")*($H$3:$H$62&lt;=AQ$2)*($N$3:$N$62&gt;=AQ$2)*(WEEKDAY(AQ$2,2)&lt;6)*($K$3:$K$62)/($M$3:$M$62+($M$3:$M$62=0)))</f>
        <v/>
      </c>
      <c r="AR69" s="40">
        <f>SUMPRODUCT(($H$3:$H$62&lt;&gt;"")*($B$3:$B$62="영상")*($H$3:$H$62&lt;=AR$2)*($N$3:$N$62&gt;=AR$2)*(WEEKDAY(AR$2,2)&lt;6)*($K$3:$K$62)/($M$3:$M$62+($M$3:$M$62=0)))</f>
        <v/>
      </c>
      <c r="AS69" s="40">
        <f>SUMPRODUCT(($H$3:$H$62&lt;&gt;"")*($B$3:$B$62="영상")*($H$3:$H$62&lt;=AS$2)*($N$3:$N$62&gt;=AS$2)*(WEEKDAY(AS$2,2)&lt;6)*($K$3:$K$62)/($M$3:$M$62+($M$3:$M$62=0)))</f>
        <v/>
      </c>
      <c r="AT69" s="40">
        <f>SUMPRODUCT(($H$3:$H$62&lt;&gt;"")*($B$3:$B$62="영상")*($H$3:$H$62&lt;=AT$2)*($N$3:$N$62&gt;=AT$2)*(WEEKDAY(AT$2,2)&lt;6)*($K$3:$K$62)/($M$3:$M$62+($M$3:$M$62=0)))</f>
        <v/>
      </c>
      <c r="AU69" s="40">
        <f>SUMPRODUCT(($H$3:$H$62&lt;&gt;"")*($B$3:$B$62="영상")*($H$3:$H$62&lt;=AU$2)*($N$3:$N$62&gt;=AU$2)*(WEEKDAY(AU$2,2)&lt;6)*($K$3:$K$62)/($M$3:$M$62+($M$3:$M$62=0)))</f>
        <v/>
      </c>
      <c r="AV69" s="40">
        <f>SUMPRODUCT(($H$3:$H$62&lt;&gt;"")*($B$3:$B$62="영상")*($H$3:$H$62&lt;=AV$2)*($N$3:$N$62&gt;=AV$2)*(WEEKDAY(AV$2,2)&lt;6)*($K$3:$K$62)/($M$3:$M$62+($M$3:$M$62=0)))</f>
        <v/>
      </c>
      <c r="AW69" s="40">
        <f>SUMPRODUCT(($H$3:$H$62&lt;&gt;"")*($B$3:$B$62="영상")*($H$3:$H$62&lt;=AW$2)*($N$3:$N$62&gt;=AW$2)*(WEEKDAY(AW$2,2)&lt;6)*($K$3:$K$62)/($M$3:$M$62+($M$3:$M$62=0)))</f>
        <v/>
      </c>
    </row>
  </sheetData>
  <mergeCells count="4">
    <mergeCell ref="P1:Q1"/>
    <mergeCell ref="A1:F1"/>
    <mergeCell ref="G1:O1"/>
    <mergeCell ref="S1:AW1"/>
  </mergeCells>
  <conditionalFormatting sqref="S3:AW62">
    <cfRule type="expression" priority="1" dxfId="0">
      <formula>AND($H3&lt;&gt;"",$I3&lt;&gt;"",S$2&gt;=$H3,S$2&lt;=$I3,WEEKDAY(S$2,2)&lt;6,$B3="기획")</formula>
    </cfRule>
    <cfRule type="expression" priority="2" dxfId="1">
      <formula>AND($H3&lt;&gt;"",$I3&lt;&gt;"",S$2&gt;=$H3,S$2&lt;=$I3,WEEKDAY(S$2,2)&lt;6,$B3="이미지")</formula>
    </cfRule>
    <cfRule type="expression" priority="3" dxfId="2">
      <formula>AND($H3&lt;&gt;"",$I3&lt;&gt;"",S$2&gt;=$H3,S$2&lt;=$I3,WEEKDAY(S$2,2)&lt;6,$B3="영상")</formula>
    </cfRule>
    <cfRule type="expression" priority="4" dxfId="3">
      <formula>AND($H3&lt;&gt;"",$I3&lt;&gt;"",S$2&gt;=$H3,S$2&lt;=$I3,WEEKDAY(S$2,2)&lt;6)</formula>
    </cfRule>
  </conditionalFormatting>
  <conditionalFormatting sqref="S3:AW69">
    <cfRule type="expression" priority="5" dxfId="4">
      <formula>WEEKDAY(S$2,2)&gt;5</formula>
    </cfRule>
  </conditionalFormatting>
  <conditionalFormatting sqref="O3:O62">
    <cfRule type="expression" priority="6" dxfId="5">
      <formula>AND(O3&lt;&gt;"",O3&lt;0)</formula>
    </cfRule>
    <cfRule type="expression" priority="7" dxfId="6">
      <formula>AND(O3&lt;&gt;"",O3&gt;=0,O3&lt;=1)</formula>
    </cfRule>
    <cfRule type="expression" priority="8" dxfId="7">
      <formula>AND(O3&lt;&gt;"",O3&gt;1)</formula>
    </cfRule>
  </conditionalFormatting>
  <conditionalFormatting sqref="S67:AW69">
    <cfRule type="expression" priority="9" dxfId="8">
      <formula>S67&gt;$O67</formula>
    </cfRule>
    <cfRule type="expression" priority="10" dxfId="9">
      <formula>AND(S67&gt;$O67*0.8,S67&lt;=$O67)</formula>
    </cfRule>
  </conditionalFormatting>
  <dataValidations count="5">
    <dataValidation sqref="B3:B62" showDropDown="0" showInputMessage="0" showErrorMessage="0" allowBlank="1" type="list">
      <formula1>='마스터'!$E$3:$E$5</formula1>
    </dataValidation>
    <dataValidation sqref="C3:C62" showDropDown="0" showInputMessage="0" showErrorMessage="0" allowBlank="1" type="list">
      <formula1>='마스터'!$A$3:$A$27</formula1>
    </dataValidation>
    <dataValidation sqref="D3:D62" showDropDown="0" showInputMessage="0" showErrorMessage="0" allowBlank="1" type="list">
      <formula1>='마스터'!$C$3:$C$7</formula1>
    </dataValidation>
    <dataValidation sqref="E3:E62" showDropDown="0" showInputMessage="0" showErrorMessage="0" allowBlank="1" type="list">
      <formula1>='마스터'!$I$3:$I$30</formula1>
    </dataValidation>
    <dataValidation sqref="L3:L62" showDropDown="0" showInputMessage="0" showErrorMessage="0" allowBlank="1" type="list">
      <formula1>"대기,진행,검수,완료"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3" customWidth="1" min="7" max="7"/>
    <col width="12" customWidth="1" min="8" max="8"/>
    <col width="8" customWidth="1" min="9" max="9"/>
    <col width="8" customWidth="1" min="10" max="10"/>
  </cols>
  <sheetData>
    <row r="2">
      <c r="B2" s="41" t="inlineStr">
        <is>
          <t>📈 대시보드 — 팀 · 담당자 · 구분 집계</t>
        </is>
      </c>
    </row>
    <row r="4">
      <c r="B4" s="19" t="inlineStr">
        <is>
          <t>① 고객팀 × 구분 (건수)</t>
        </is>
      </c>
      <c r="H4" s="19" t="inlineStr">
        <is>
          <t>② 구분별 MD · 견적</t>
        </is>
      </c>
    </row>
    <row r="5">
      <c r="B5" s="8" t="inlineStr">
        <is>
          <t>팀\구분</t>
        </is>
      </c>
      <c r="C5" s="8" t="inlineStr">
        <is>
          <t>기획</t>
        </is>
      </c>
      <c r="D5" s="8" t="inlineStr">
        <is>
          <t>이미지</t>
        </is>
      </c>
      <c r="E5" s="8" t="inlineStr">
        <is>
          <t>영상</t>
        </is>
      </c>
      <c r="F5" s="8" t="inlineStr">
        <is>
          <t>합계</t>
        </is>
      </c>
      <c r="H5" s="42" t="inlineStr">
        <is>
          <t>총 영상견적(원)</t>
        </is>
      </c>
      <c r="I5" s="43" t="n">
        <v>92000000</v>
      </c>
      <c r="J5" s="10" t="n"/>
    </row>
    <row r="6">
      <c r="B6" s="44" t="inlineStr">
        <is>
          <t>마케팅1팀</t>
        </is>
      </c>
      <c r="C6" s="45">
        <f>COUNTIFS('통합관리'!$D$3:$D$62,$B6,'통합관리'!$B$3:$B$62,C$5)</f>
        <v/>
      </c>
      <c r="D6" s="45">
        <f>COUNTIFS('통합관리'!$D$3:$D$62,$B6,'통합관리'!$B$3:$B$62,D$5)</f>
        <v/>
      </c>
      <c r="E6" s="45">
        <f>COUNTIFS('통합관리'!$D$3:$D$62,$B6,'통합관리'!$B$3:$B$62,E$5)</f>
        <v/>
      </c>
      <c r="F6" s="20">
        <f>SUM(C6:E6)</f>
        <v/>
      </c>
      <c r="H6" s="42" t="inlineStr">
        <is>
          <t>비나 시나리오</t>
        </is>
      </c>
      <c r="I6" s="13" t="n">
        <v>1</v>
      </c>
    </row>
    <row r="7">
      <c r="B7" s="44" t="inlineStr">
        <is>
          <t>마케팅2팀</t>
        </is>
      </c>
      <c r="C7" s="45">
        <f>COUNTIFS('통합관리'!$D$3:$D$62,$B7,'통합관리'!$B$3:$B$62,C$5)</f>
        <v/>
      </c>
      <c r="D7" s="45">
        <f>COUNTIFS('통합관리'!$D$3:$D$62,$B7,'통합관리'!$B$3:$B$62,D$5)</f>
        <v/>
      </c>
      <c r="E7" s="45">
        <f>COUNTIFS('통합관리'!$D$3:$D$62,$B7,'통합관리'!$B$3:$B$62,E$5)</f>
        <v/>
      </c>
      <c r="F7" s="20">
        <f>SUM(C7:E7)</f>
        <v/>
      </c>
    </row>
    <row r="8">
      <c r="B8" s="44" t="inlineStr">
        <is>
          <t>마케팅3팀</t>
        </is>
      </c>
      <c r="C8" s="45">
        <f>COUNTIFS('통합관리'!$D$3:$D$62,$B8,'통합관리'!$B$3:$B$62,C$5)</f>
        <v/>
      </c>
      <c r="D8" s="45">
        <f>COUNTIFS('통합관리'!$D$3:$D$62,$B8,'통합관리'!$B$3:$B$62,D$5)</f>
        <v/>
      </c>
      <c r="E8" s="45">
        <f>COUNTIFS('통합관리'!$D$3:$D$62,$B8,'통합관리'!$B$3:$B$62,E$5)</f>
        <v/>
      </c>
      <c r="F8" s="20">
        <f>SUM(C8:E8)</f>
        <v/>
      </c>
      <c r="H8" s="8" t="inlineStr">
        <is>
          <t>구분</t>
        </is>
      </c>
      <c r="I8" s="8" t="inlineStr">
        <is>
          <t>MD</t>
        </is>
      </c>
      <c r="J8" s="8" t="inlineStr">
        <is>
          <t>견적(원)</t>
        </is>
      </c>
    </row>
    <row r="9">
      <c r="B9" s="44" t="inlineStr">
        <is>
          <t>마케팅4팀</t>
        </is>
      </c>
      <c r="C9" s="45">
        <f>COUNTIFS('통합관리'!$D$3:$D$62,$B9,'통합관리'!$B$3:$B$62,C$5)</f>
        <v/>
      </c>
      <c r="D9" s="45">
        <f>COUNTIFS('통합관리'!$D$3:$D$62,$B9,'통합관리'!$B$3:$B$62,D$5)</f>
        <v/>
      </c>
      <c r="E9" s="45">
        <f>COUNTIFS('통합관리'!$D$3:$D$62,$B9,'통합관리'!$B$3:$B$62,E$5)</f>
        <v/>
      </c>
      <c r="F9" s="20">
        <f>SUM(C9:E9)</f>
        <v/>
      </c>
      <c r="H9" s="44" t="inlineStr">
        <is>
          <t>기획</t>
        </is>
      </c>
      <c r="I9" s="46">
        <f>SUMIFS('통합관리'!$K$3:$K$62,'통합관리'!$B$3:$B$62,H9)</f>
        <v/>
      </c>
      <c r="J9" s="47" t="n">
        <v>0</v>
      </c>
    </row>
    <row r="10">
      <c r="B10" s="44" t="inlineStr">
        <is>
          <t>기타</t>
        </is>
      </c>
      <c r="C10" s="45">
        <f>COUNTIFS('통합관리'!$D$3:$D$62,$B10,'통합관리'!$B$3:$B$62,C$5)</f>
        <v/>
      </c>
      <c r="D10" s="45">
        <f>COUNTIFS('통합관리'!$D$3:$D$62,$B10,'통합관리'!$B$3:$B$62,D$5)</f>
        <v/>
      </c>
      <c r="E10" s="45">
        <f>COUNTIFS('통합관리'!$D$3:$D$62,$B10,'통합관리'!$B$3:$B$62,E$5)</f>
        <v/>
      </c>
      <c r="F10" s="20">
        <f>SUM(C10:E10)</f>
        <v/>
      </c>
      <c r="H10" s="44" t="inlineStr">
        <is>
          <t>이미지</t>
        </is>
      </c>
      <c r="I10" s="46">
        <f>SUMIFS('통합관리'!$K$3:$K$62,'통합관리'!$B$3:$B$62,H10)</f>
        <v/>
      </c>
      <c r="J10" s="47" t="n">
        <v>0</v>
      </c>
    </row>
    <row r="11">
      <c r="B11" s="48" t="inlineStr">
        <is>
          <t>합계</t>
        </is>
      </c>
      <c r="C11" s="49">
        <f>SUM(C6:C10)</f>
        <v/>
      </c>
      <c r="D11" s="49">
        <f>SUM(D6:D10)</f>
        <v/>
      </c>
      <c r="E11" s="49">
        <f>SUM(E6:E10)</f>
        <v/>
      </c>
      <c r="F11" s="49">
        <f>SUM(F6:F10)</f>
        <v/>
      </c>
      <c r="H11" s="44" t="inlineStr">
        <is>
          <t>영상</t>
        </is>
      </c>
      <c r="I11" s="46">
        <f>SUMIFS('통합관리'!$K$3:$K$62,'통합관리'!$B$3:$B$62,H11)</f>
        <v/>
      </c>
      <c r="J11" s="47">
        <f>$I$5</f>
        <v/>
      </c>
    </row>
    <row r="12">
      <c r="H12" s="50">
        <f>IF($I$6=1,"방안1: 비나 영상공수→MAX실 귀속",IF($I$6=2,"방안2: 비나=베리만·영상베리는 디자인 흡수",IF($I$6=3,"방안3: 비나 이미지TO 추가발주+추가비용","방안4: 본사 프로세스 통합(이미지TO 추가X)")))</f>
        <v/>
      </c>
    </row>
    <row r="13">
      <c r="B13" s="19" t="inlineStr">
        <is>
          <t>③ 작업담당자별 (건수 · MD)</t>
        </is>
      </c>
    </row>
    <row r="14">
      <c r="B14" s="8" t="inlineStr">
        <is>
          <t>담당자</t>
        </is>
      </c>
      <c r="C14" s="8" t="inlineStr">
        <is>
          <t>건수</t>
        </is>
      </c>
      <c r="D14" s="8" t="inlineStr">
        <is>
          <t>MD</t>
        </is>
      </c>
    </row>
    <row r="15">
      <c r="B15" s="51" t="inlineStr">
        <is>
          <t>엄지연</t>
        </is>
      </c>
      <c r="C15" s="17">
        <f>COUNTIF('통합관리'!$E$3:$E$62,B15)</f>
        <v/>
      </c>
      <c r="D15" s="52">
        <f>SUMIF('통합관리'!$E$3:$E$62,B15,'통합관리'!$K$3:$K$62)</f>
        <v/>
      </c>
      <c r="H15" s="19" t="inlineStr">
        <is>
          <t>④ 게임타이틀별 (건수 · MD)</t>
        </is>
      </c>
    </row>
    <row r="16">
      <c r="B16" s="51" t="inlineStr">
        <is>
          <t>변정현</t>
        </is>
      </c>
      <c r="C16" s="17">
        <f>COUNTIF('통합관리'!$E$3:$E$62,B16)</f>
        <v/>
      </c>
      <c r="D16" s="52">
        <f>SUMIF('통합관리'!$E$3:$E$62,B16,'통합관리'!$K$3:$K$62)</f>
        <v/>
      </c>
      <c r="H16" s="8" t="inlineStr">
        <is>
          <t>타이틀</t>
        </is>
      </c>
      <c r="I16" s="8" t="inlineStr">
        <is>
          <t>건수</t>
        </is>
      </c>
      <c r="J16" s="8" t="inlineStr">
        <is>
          <t>MD</t>
        </is>
      </c>
    </row>
    <row r="17">
      <c r="B17" s="51" t="inlineStr">
        <is>
          <t>구유진</t>
        </is>
      </c>
      <c r="C17" s="17">
        <f>COUNTIF('통합관리'!$E$3:$E$62,B17)</f>
        <v/>
      </c>
      <c r="D17" s="52">
        <f>SUMIF('통합관리'!$E$3:$E$62,B17,'통합관리'!$K$3:$K$62)</f>
        <v/>
      </c>
      <c r="H17" s="51" t="inlineStr">
        <is>
          <t>뱀피르</t>
        </is>
      </c>
      <c r="I17" s="17">
        <f>COUNTIF('통합관리'!$C$3:$C$62,H17)</f>
        <v/>
      </c>
      <c r="J17" s="52">
        <f>SUMIF('통합관리'!$C$3:$C$62,H17,'통합관리'!$K$3:$K$62)</f>
        <v/>
      </c>
    </row>
    <row r="18">
      <c r="B18" s="51" t="inlineStr">
        <is>
          <t>김민성</t>
        </is>
      </c>
      <c r="C18" s="17">
        <f>COUNTIF('통합관리'!$E$3:$E$62,B18)</f>
        <v/>
      </c>
      <c r="D18" s="52">
        <f>SUMIF('통합관리'!$E$3:$E$62,B18,'통합관리'!$K$3:$K$62)</f>
        <v/>
      </c>
      <c r="H18" s="51" t="inlineStr">
        <is>
          <t>RF 글로벌</t>
        </is>
      </c>
      <c r="I18" s="17">
        <f>COUNTIF('통합관리'!$C$3:$C$62,H18)</f>
        <v/>
      </c>
      <c r="J18" s="52">
        <f>SUMIF('통합관리'!$C$3:$C$62,H18,'통합관리'!$K$3:$K$62)</f>
        <v/>
      </c>
    </row>
    <row r="19">
      <c r="B19" s="51" t="inlineStr">
        <is>
          <t>이고은</t>
        </is>
      </c>
      <c r="C19" s="17">
        <f>COUNTIF('통합관리'!$E$3:$E$62,B19)</f>
        <v/>
      </c>
      <c r="D19" s="52">
        <f>SUMIF('통합관리'!$E$3:$E$62,B19,'통합관리'!$K$3:$K$62)</f>
        <v/>
      </c>
      <c r="H19" s="51" t="inlineStr">
        <is>
          <t>SOL 인챈트</t>
        </is>
      </c>
      <c r="I19" s="17">
        <f>COUNTIF('통합관리'!$C$3:$C$62,H19)</f>
        <v/>
      </c>
      <c r="J19" s="52">
        <f>SUMIF('통합관리'!$C$3:$C$62,H19,'통합관리'!$K$3:$K$62)</f>
        <v/>
      </c>
    </row>
    <row r="20">
      <c r="B20" s="51" t="inlineStr">
        <is>
          <t>최소연</t>
        </is>
      </c>
      <c r="C20" s="17">
        <f>COUNTIF('통합관리'!$E$3:$E$62,B20)</f>
        <v/>
      </c>
      <c r="D20" s="52">
        <f>SUMIF('통합관리'!$E$3:$E$62,B20,'통합관리'!$K$3:$K$62)</f>
        <v/>
      </c>
      <c r="H20" s="51" t="inlineStr">
        <is>
          <t>스톤에이지펫월드</t>
        </is>
      </c>
      <c r="I20" s="17">
        <f>COUNTIF('통합관리'!$C$3:$C$62,H20)</f>
        <v/>
      </c>
      <c r="J20" s="52">
        <f>SUMIF('통합관리'!$C$3:$C$62,H20,'통합관리'!$K$3:$K$62)</f>
        <v/>
      </c>
    </row>
    <row r="21">
      <c r="B21" s="51" t="inlineStr">
        <is>
          <t>양재혁</t>
        </is>
      </c>
      <c r="C21" s="17">
        <f>COUNTIF('통합관리'!$E$3:$E$62,B21)</f>
        <v/>
      </c>
      <c r="D21" s="52">
        <f>SUMIF('통합관리'!$E$3:$E$62,B21,'통합관리'!$K$3:$K$62)</f>
        <v/>
      </c>
      <c r="H21" s="51" t="inlineStr">
        <is>
          <t>칠대죄오리진</t>
        </is>
      </c>
      <c r="I21" s="17">
        <f>COUNTIF('통합관리'!$C$3:$C$62,H21)</f>
        <v/>
      </c>
      <c r="J21" s="52">
        <f>SUMIF('통합관리'!$C$3:$C$62,H21,'통합관리'!$K$3:$K$62)</f>
        <v/>
      </c>
    </row>
    <row r="22">
      <c r="B22" s="51" t="inlineStr">
        <is>
          <t>고은별</t>
        </is>
      </c>
      <c r="C22" s="17">
        <f>COUNTIF('통합관리'!$E$3:$E$62,B22)</f>
        <v/>
      </c>
      <c r="D22" s="52">
        <f>SUMIF('통합관리'!$E$3:$E$62,B22,'통합관리'!$K$3:$K$62)</f>
        <v/>
      </c>
      <c r="H22" s="51" t="inlineStr">
        <is>
          <t>세나리버스</t>
        </is>
      </c>
      <c r="I22" s="17">
        <f>COUNTIF('통합관리'!$C$3:$C$62,H22)</f>
        <v/>
      </c>
      <c r="J22" s="52">
        <f>SUMIF('통합관리'!$C$3:$C$62,H22,'통합관리'!$K$3:$K$62)</f>
        <v/>
      </c>
    </row>
    <row r="23">
      <c r="B23" s="51" t="inlineStr">
        <is>
          <t>석지웅</t>
        </is>
      </c>
      <c r="C23" s="17">
        <f>COUNTIF('통합관리'!$E$3:$E$62,B23)</f>
        <v/>
      </c>
      <c r="D23" s="52">
        <f>SUMIF('통합관리'!$E$3:$E$62,B23,'통합관리'!$K$3:$K$62)</f>
        <v/>
      </c>
      <c r="H23" s="51" t="inlineStr">
        <is>
          <t>몬길</t>
        </is>
      </c>
      <c r="I23" s="17">
        <f>COUNTIF('통합관리'!$C$3:$C$62,H23)</f>
        <v/>
      </c>
      <c r="J23" s="52">
        <f>SUMIF('통합관리'!$C$3:$C$62,H23,'통합관리'!$K$3:$K$62)</f>
        <v/>
      </c>
    </row>
    <row r="24">
      <c r="B24" s="51" t="inlineStr">
        <is>
          <t>강수민</t>
        </is>
      </c>
      <c r="C24" s="17">
        <f>COUNTIF('통합관리'!$E$3:$E$62,B24)</f>
        <v/>
      </c>
      <c r="D24" s="52">
        <f>SUMIF('통합관리'!$E$3:$E$62,B24,'통합관리'!$K$3:$K$62)</f>
        <v/>
      </c>
      <c r="H24" s="51" t="inlineStr">
        <is>
          <t>왕겜(GOT)</t>
        </is>
      </c>
      <c r="I24" s="17">
        <f>COUNTIF('통합관리'!$C$3:$C$62,H24)</f>
        <v/>
      </c>
      <c r="J24" s="52">
        <f>SUMIF('통합관리'!$C$3:$C$62,H24,'통합관리'!$K$3:$K$62)</f>
        <v/>
      </c>
    </row>
    <row r="25">
      <c r="B25" s="51" t="inlineStr">
        <is>
          <t>김연경</t>
        </is>
      </c>
      <c r="C25" s="17">
        <f>COUNTIF('통합관리'!$E$3:$E$62,B25)</f>
        <v/>
      </c>
      <c r="D25" s="52">
        <f>SUMIF('통합관리'!$E$3:$E$62,B25,'통합관리'!$K$3:$K$62)</f>
        <v/>
      </c>
      <c r="H25" s="51" t="inlineStr">
        <is>
          <t>몬스터길들이기</t>
        </is>
      </c>
      <c r="I25" s="17">
        <f>COUNTIF('통합관리'!$C$3:$C$62,H25)</f>
        <v/>
      </c>
      <c r="J25" s="52">
        <f>SUMIF('통합관리'!$C$3:$C$62,H25,'통합관리'!$K$3:$K$62)</f>
        <v/>
      </c>
    </row>
    <row r="26">
      <c r="B26" s="51" t="inlineStr">
        <is>
          <t>윤예림</t>
        </is>
      </c>
      <c r="C26" s="17">
        <f>COUNTIF('통합관리'!$E$3:$E$62,B26)</f>
        <v/>
      </c>
      <c r="D26" s="52">
        <f>SUMIF('통합관리'!$E$3:$E$62,B26,'통합관리'!$K$3:$K$62)</f>
        <v/>
      </c>
      <c r="H26" s="51" t="inlineStr">
        <is>
          <t>라이즈오브</t>
        </is>
      </c>
      <c r="I26" s="17">
        <f>COUNTIF('통합관리'!$C$3:$C$62,H26)</f>
        <v/>
      </c>
      <c r="J26" s="52">
        <f>SUMIF('통합관리'!$C$3:$C$62,H26,'통합관리'!$K$3:$K$62)</f>
        <v/>
      </c>
    </row>
    <row r="27">
      <c r="B27" s="51" t="inlineStr">
        <is>
          <t>김은지</t>
        </is>
      </c>
      <c r="C27" s="17">
        <f>COUNTIF('통합관리'!$E$3:$E$62,B27)</f>
        <v/>
      </c>
      <c r="D27" s="52">
        <f>SUMIF('통합관리'!$E$3:$E$62,B27,'통합관리'!$K$3:$K$62)</f>
        <v/>
      </c>
    </row>
    <row r="28">
      <c r="B28" s="51" t="inlineStr">
        <is>
          <t>이수정</t>
        </is>
      </c>
      <c r="C28" s="17">
        <f>COUNTIF('통합관리'!$E$3:$E$62,B28)</f>
        <v/>
      </c>
      <c r="D28" s="52">
        <f>SUMIF('통합관리'!$E$3:$E$62,B28,'통합관리'!$K$3:$K$62)</f>
        <v/>
      </c>
    </row>
    <row r="29">
      <c r="B29" s="51" t="inlineStr">
        <is>
          <t>김다은</t>
        </is>
      </c>
      <c r="C29" s="17">
        <f>COUNTIF('통합관리'!$E$3:$E$62,B29)</f>
        <v/>
      </c>
      <c r="D29" s="52">
        <f>SUMIF('통합관리'!$E$3:$E$62,B29,'통합관리'!$K$3:$K$62)</f>
        <v/>
      </c>
    </row>
    <row r="30">
      <c r="B30" s="51" t="inlineStr">
        <is>
          <t>송정호</t>
        </is>
      </c>
      <c r="C30" s="17">
        <f>COUNTIF('통합관리'!$E$3:$E$62,B30)</f>
        <v/>
      </c>
      <c r="D30" s="52">
        <f>SUMIF('통합관리'!$E$3:$E$62,B30,'통합관리'!$K$3:$K$62)</f>
        <v/>
      </c>
    </row>
    <row r="31">
      <c r="B31" s="51" t="inlineStr">
        <is>
          <t>문예지</t>
        </is>
      </c>
      <c r="C31" s="17">
        <f>COUNTIF('통합관리'!$E$3:$E$62,B31)</f>
        <v/>
      </c>
      <c r="D31" s="52">
        <f>SUMIF('통합관리'!$E$3:$E$62,B31,'통합관리'!$K$3:$K$62)</f>
        <v/>
      </c>
    </row>
    <row r="32">
      <c r="B32" s="51" t="inlineStr">
        <is>
          <t>박선민</t>
        </is>
      </c>
      <c r="C32" s="17">
        <f>COUNTIF('통합관리'!$E$3:$E$62,B32)</f>
        <v/>
      </c>
      <c r="D32" s="52">
        <f>SUMIF('통합관리'!$E$3:$E$62,B32,'통합관리'!$K$3:$K$62)</f>
        <v/>
      </c>
    </row>
    <row r="33">
      <c r="B33" s="51" t="inlineStr">
        <is>
          <t>정지은</t>
        </is>
      </c>
      <c r="C33" s="17">
        <f>COUNTIF('통합관리'!$E$3:$E$62,B33)</f>
        <v/>
      </c>
      <c r="D33" s="52">
        <f>SUMIF('통합관리'!$E$3:$E$62,B33,'통합관리'!$K$3:$K$62)</f>
        <v/>
      </c>
    </row>
    <row r="34">
      <c r="B34" s="51" t="inlineStr">
        <is>
          <t>석지용</t>
        </is>
      </c>
      <c r="C34" s="17">
        <f>COUNTIF('통합관리'!$E$3:$E$62,B34)</f>
        <v/>
      </c>
      <c r="D34" s="52">
        <f>SUMIF('통합관리'!$E$3:$E$62,B34,'통합관리'!$K$3:$K$62)</f>
        <v/>
      </c>
    </row>
    <row r="35">
      <c r="B35" s="51" t="inlineStr">
        <is>
          <t>강민우</t>
        </is>
      </c>
      <c r="C35" s="17">
        <f>COUNTIF('통합관리'!$E$3:$E$62,B35)</f>
        <v/>
      </c>
      <c r="D35" s="52">
        <f>SUMIF('통합관리'!$E$3:$E$62,B35,'통합관리'!$K$3:$K$62)</f>
        <v/>
      </c>
    </row>
    <row r="36">
      <c r="B36" s="51" t="inlineStr">
        <is>
          <t>강승일</t>
        </is>
      </c>
      <c r="C36" s="17">
        <f>COUNTIF('통합관리'!$E$3:$E$62,B36)</f>
        <v/>
      </c>
      <c r="D36" s="52">
        <f>SUMIF('통합관리'!$E$3:$E$62,B36,'통합관리'!$K$3:$K$62)</f>
        <v/>
      </c>
    </row>
    <row r="37">
      <c r="B37" s="51" t="inlineStr">
        <is>
          <t>이지현</t>
        </is>
      </c>
      <c r="C37" s="17">
        <f>COUNTIF('통합관리'!$E$3:$E$62,B37)</f>
        <v/>
      </c>
      <c r="D37" s="52">
        <f>SUMIF('통합관리'!$E$3:$E$62,B37,'통합관리'!$K$3:$K$62)</f>
        <v/>
      </c>
    </row>
    <row r="38">
      <c r="B38" s="51" t="inlineStr">
        <is>
          <t>김창환</t>
        </is>
      </c>
      <c r="C38" s="17">
        <f>COUNTIF('통합관리'!$E$3:$E$62,B38)</f>
        <v/>
      </c>
      <c r="D38" s="52">
        <f>SUMIF('통합관리'!$E$3:$E$62,B38,'통합관리'!$K$3:$K$62)</f>
        <v/>
      </c>
    </row>
    <row r="39">
      <c r="B39" s="51" t="inlineStr">
        <is>
          <t>문경선</t>
        </is>
      </c>
      <c r="C39" s="17">
        <f>COUNTIF('통합관리'!$E$3:$E$62,B39)</f>
        <v/>
      </c>
      <c r="D39" s="52">
        <f>SUMIF('통합관리'!$E$3:$E$62,B39,'통합관리'!$K$3:$K$62)</f>
        <v/>
      </c>
    </row>
    <row r="40">
      <c r="B40" s="51" t="inlineStr">
        <is>
          <t>박태원</t>
        </is>
      </c>
      <c r="C40" s="17">
        <f>COUNTIF('통합관리'!$E$3:$E$62,B40)</f>
        <v/>
      </c>
      <c r="D40" s="52">
        <f>SUMIF('통합관리'!$E$3:$E$62,B40,'통합관리'!$K$3:$K$62)</f>
        <v/>
      </c>
    </row>
    <row r="41">
      <c r="B41" s="51" t="inlineStr">
        <is>
          <t>최한은</t>
        </is>
      </c>
      <c r="C41" s="17">
        <f>COUNTIF('통합관리'!$E$3:$E$62,B41)</f>
        <v/>
      </c>
      <c r="D41" s="52">
        <f>SUMIF('통합관리'!$E$3:$E$62,B41,'통합관리'!$K$3:$K$62)</f>
        <v/>
      </c>
    </row>
    <row r="42">
      <c r="B42" s="51" t="inlineStr">
        <is>
          <t>장은서</t>
        </is>
      </c>
      <c r="C42" s="17">
        <f>COUNTIF('통합관리'!$E$3:$E$62,B42)</f>
        <v/>
      </c>
      <c r="D42" s="52">
        <f>SUMIF('통합관리'!$E$3:$E$62,B42,'통합관리'!$K$3:$K$62)</f>
        <v/>
      </c>
    </row>
  </sheetData>
  <mergeCells count="2">
    <mergeCell ref="H12:J13"/>
    <mergeCell ref="I5:J5"/>
  </mergeCells>
  <dataValidations count="1">
    <dataValidation sqref="I6" showDropDown="0" showInputMessage="0" showErrorMessage="0" allowBlank="0" type="list">
      <formula1>"1,2,3,4"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2026-07-24T04:46:40Z</dcterms:created>
  <dcterms:modified xsi:type="dcterms:W3CDTF">2026-07-24T04:46:40Z</dcterms:modified>
</cp:coreProperties>
</file>