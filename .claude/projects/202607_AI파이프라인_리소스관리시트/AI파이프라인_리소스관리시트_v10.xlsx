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연간요약" sheetId="3" state="visible" r:id="rId3"/>
    <sheet name="1월" sheetId="4" state="visible" r:id="rId4"/>
    <sheet name="2월" sheetId="5" state="visible" r:id="rId5"/>
    <sheet name="3월" sheetId="6" state="visible" r:id="rId6"/>
    <sheet name="4월" sheetId="7" state="visible" r:id="rId7"/>
    <sheet name="5월" sheetId="8" state="visible" r:id="rId8"/>
    <sheet name="6월" sheetId="9" state="visible" r:id="rId9"/>
    <sheet name="7월" sheetId="10" state="visible" r:id="rId10"/>
    <sheet name="8월" sheetId="11" state="visible" r:id="rId11"/>
    <sheet name="9월" sheetId="12" state="visible" r:id="rId12"/>
    <sheet name="10월" sheetId="13" state="visible" r:id="rId13"/>
    <sheet name="11월" sheetId="14" state="visible" r:id="rId14"/>
    <sheet name="12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"/>
    <numFmt numFmtId="166" formatCode="0.0;;"/>
    <numFmt numFmtId="167" formatCode="m/d(ddd)"/>
    <numFmt numFmtId="168" formatCode="0.00;;"/>
    <numFmt numFmtId="169" formatCode="0.0%"/>
  </numFmts>
  <fonts count="30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4B0082"/>
      <sz val="10"/>
    </font>
    <font>
      <name val="Arial"/>
      <b val="1"/>
      <color rgb="00595959"/>
      <sz val="10"/>
    </font>
    <font>
      <name val="Arial"/>
      <b val="1"/>
      <color rgb="00FFFFFF"/>
      <sz val="10"/>
    </font>
    <font>
      <name val="Arial"/>
      <b val="1"/>
      <color rgb="00C0504D"/>
      <sz val="12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1F4E79"/>
      <sz val="9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A6A6A6"/>
      <sz val="8"/>
    </font>
    <font>
      <name val="Arial"/>
      <b val="1"/>
      <color rgb="00000000"/>
      <sz val="8"/>
    </font>
    <font>
      <name val="Arial"/>
      <b val="1"/>
      <color rgb="00000000"/>
      <sz val="7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3B2F5E"/>
      <sz val="9"/>
    </font>
    <font>
      <name val="Arial"/>
      <b val="1"/>
      <color rgb="007F4B10"/>
      <sz val="9"/>
    </font>
    <font>
      <name val="Arial"/>
      <b val="1"/>
      <color rgb="00404040"/>
      <sz val="9"/>
    </font>
    <font>
      <name val="Arial"/>
      <b val="1"/>
      <color rgb="001F4E79"/>
      <sz val="15"/>
    </font>
    <font>
      <name val="Arial"/>
      <color rgb="00808080"/>
      <sz val="9"/>
    </font>
  </fonts>
  <fills count="16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CC99FF"/>
      </patternFill>
    </fill>
    <fill>
      <patternFill patternType="solid">
        <fgColor rgb="00F2F2F2"/>
      </patternFill>
    </fill>
    <fill>
      <patternFill patternType="solid">
        <fgColor rgb="00FF7C80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D2E9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5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7" borderId="1" applyAlignment="1" pivotButton="0" quotePrefix="0" xfId="0">
      <alignment horizontal="left" vertical="center"/>
    </xf>
    <xf numFmtId="0" fontId="12" fillId="0" borderId="0" pivotButton="0" quotePrefix="0" xfId="0"/>
    <xf numFmtId="1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center" vertical="center"/>
    </xf>
    <xf numFmtId="0" fontId="17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28" fillId="0" borderId="0" pivotButton="0" quotePrefix="0" xfId="0"/>
    <xf numFmtId="0" fontId="29" fillId="0" borderId="0" pivotButton="0" quotePrefix="0" xfId="0"/>
    <xf numFmtId="2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2" fontId="12" fillId="8" borderId="1" applyAlignment="1" pivotButton="0" quotePrefix="0" xfId="0">
      <alignment horizontal="center" vertical="center"/>
    </xf>
    <xf numFmtId="0" fontId="0" fillId="8" borderId="1" pivotButton="0" quotePrefix="0" xfId="0"/>
    <xf numFmtId="169" fontId="12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165" fontId="19" fillId="6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right" vertical="center"/>
    </xf>
    <xf numFmtId="0" fontId="21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0" fillId="4" borderId="1" pivotButton="0" quotePrefix="0" xfId="0"/>
    <xf numFmtId="166" fontId="22" fillId="0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14" fillId="7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2" fontId="15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8" fontId="14" fillId="7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left" vertical="center" indent="1"/>
    </xf>
    <xf numFmtId="0" fontId="0" fillId="13" borderId="1" pivotButton="0" quotePrefix="0" xfId="0"/>
    <xf numFmtId="0" fontId="24" fillId="13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left" vertical="center" indent="1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left" vertical="center" indent="1"/>
    </xf>
    <xf numFmtId="0" fontId="0" fillId="15" borderId="1" pivotButton="0" quotePrefix="0" xfId="0"/>
    <xf numFmtId="0" fontId="26" fillId="15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left" vertical="center" indent="1"/>
    </xf>
    <xf numFmtId="0" fontId="27" fillId="8" borderId="1" applyAlignment="1" pivotButton="0" quotePrefix="0" xfId="0">
      <alignment horizontal="center" vertical="center"/>
    </xf>
    <xf numFmtId="0" fontId="20" fillId="0" borderId="0" pivotButton="0" quotePrefix="0" xfId="0"/>
    <xf numFmtId="164" fontId="20" fillId="0" borderId="0" pivotButton="0" quotePrefix="0" xfId="0"/>
  </cellXfs>
  <cellStyles count="1">
    <cellStyle name="Normal" xfId="0" builtinId="0" hidden="0"/>
  </cellStyles>
  <dxfs count="13">
    <dxf>
      <font>
        <name val="Arial"/>
        <b val="1"/>
        <color rgb="004B0082"/>
        <sz val="7"/>
      </font>
      <fill>
        <patternFill patternType="solid">
          <fgColor rgb="00CC99FF"/>
        </patternFill>
      </fill>
    </dxf>
    <dxf>
      <font>
        <name val="Arial"/>
        <b val="1"/>
        <color rgb="001F4E79"/>
        <sz val="7"/>
      </font>
      <fill>
        <patternFill patternType="solid">
          <fgColor rgb="009DC3E6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9"/>
      </font>
      <fill>
        <patternFill patternType="solid">
          <fgColor rgb="00FF7C80"/>
        </patternFill>
      </fill>
    </dxf>
    <dxf>
      <font>
        <name val="Arial"/>
        <color rgb="00000000"/>
        <sz val="9"/>
      </font>
      <fill>
        <patternFill patternType="solid">
          <fgColor rgb="00DDEBF7"/>
        </patternFill>
      </fill>
    </dxf>
    <dxf>
      <font>
        <name val="Arial"/>
        <color rgb="00000000"/>
        <sz val="9"/>
      </font>
      <fill>
        <patternFill patternType="solid">
          <fgColor rgb="00E2EFDA"/>
        </patternFill>
      </fill>
    </dxf>
    <dxf>
      <font>
        <name val="Arial"/>
        <color rgb="00000000"/>
        <sz val="9"/>
      </font>
      <fill>
        <patternFill patternType="solid">
          <fgColor rgb="00FCE4D6"/>
        </patternFill>
      </fill>
    </dxf>
    <dxf>
      <font>
        <name val="Arial"/>
        <b val="1"/>
        <color rgb="00000000"/>
        <sz val="9"/>
      </font>
      <fill>
        <patternFill patternType="solid">
          <fgColor rgb="00DDEBF7"/>
        </patternFill>
      </fill>
    </dxf>
    <dxf>
      <font>
        <name val="Arial"/>
        <b val="1"/>
        <color rgb="00000000"/>
        <sz val="9"/>
      </font>
      <fill>
        <patternFill patternType="solid">
          <fgColor rgb="00E2EFDA"/>
        </patternFill>
      </fill>
    </dxf>
    <dxf>
      <font>
        <name val="Arial"/>
        <b val="1"/>
        <color rgb="00000000"/>
        <sz val="9"/>
      </font>
      <fill>
        <patternFill patternType="solid">
          <fgColor rgb="00FCE4D6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m</author>
  </authors>
  <commentList>
    <comment ref="I5" authorId="0" shapeId="0">
      <text>
        <t>1인 하루 근무시간 = 8시간 = 1.0MD. 한 담당자가 같은 날 여러 소재에 걸쳐 이 값을 넘기면 간트에서 빨간색으로 경고합니다.</t>
      </text>
    </comment>
    <comment ref="I13" authorId="0" shapeId="0">
      <text>
        <t>음력 기반(설날/부처님오신날/추석)은 매년 날짜가 바뀝니다. 정부 발표 공식 공휴일로 확인 후 수정하세요.</t>
      </text>
    </comment>
  </commentList>
</comments>
</file>

<file path=xl/comments/comment2.xml><?xml version="1.0" encoding="utf-8"?>
<comments xmlns="http://schemas.openxmlformats.org/spreadsheetml/2006/main">
  <authors>
    <author>m</author>
  </authors>
  <commentList>
    <comment ref="D9" authorId="0" shapeId="0">
      <text>
        <t>1월: 한 소재=직군별 줄. 날짜 칸에 그날 실제 MD를 직접 입력하세요. 시작일/완료일/합계MD는 자동 계산됩니다.</t>
      </text>
    </comment>
  </commentList>
</comments>
</file>

<file path=xl/comments/comment3.xml><?xml version="1.0" encoding="utf-8"?>
<comments xmlns="http://schemas.openxmlformats.org/spreadsheetml/2006/main">
  <authors>
    <author>m</author>
  </authors>
  <commentList>
    <comment ref="D9" authorId="0" shapeId="0">
      <text>
        <t>2월: 한 소재=직군별 줄. 날짜 칸에 그날 실제 MD를 직접 입력하세요. 시작일/완료일/합계MD는 자동 계산됩니다.</t>
      </text>
    </comment>
  </commentList>
</comments>
</file>

<file path=xl/comments/comment4.xml><?xml version="1.0" encoding="utf-8"?>
<comments xmlns="http://schemas.openxmlformats.org/spreadsheetml/2006/main">
  <authors>
    <author>m</author>
  </authors>
  <commentList>
    <comment ref="D9" authorId="0" shapeId="0">
      <text>
        <t>3월: 한 소재=직군별 줄. 날짜 칸에 그날 실제 MD를 직접 입력하세요. 시작일/완료일/합계MD는 자동 계산됩니다.</t>
      </text>
    </comment>
  </commentList>
</comments>
</file>

<file path=xl/comments/comment5.xml><?xml version="1.0" encoding="utf-8"?>
<comments xmlns="http://schemas.openxmlformats.org/spreadsheetml/2006/main">
  <authors>
    <author>m</author>
  </authors>
  <commentList>
    <comment ref="D9" authorId="0" shapeId="0">
      <text>
        <t>4월: 한 소재=직군별 줄. 날짜 칸에 그날 실제 MD를 직접 입력하세요. 시작일/완료일/합계MD는 자동 계산됩니다.</t>
      </text>
    </comment>
  </commentList>
</comments>
</file>

<file path=xl/comments/comment6.xml><?xml version="1.0" encoding="utf-8"?>
<comments xmlns="http://schemas.openxmlformats.org/spreadsheetml/2006/main">
  <authors>
    <author>m</author>
  </authors>
  <commentList>
    <comment ref="D9" authorId="0" shapeId="0">
      <text>
        <t>5월: 한 소재=직군별 줄. 날짜 칸에 그날 실제 MD를 직접 입력하세요. 시작일/완료일/합계MD는 자동 계산됩니다.</t>
      </text>
    </comment>
  </commentList>
</comments>
</file>

<file path=xl/comments/comment7.xml><?xml version="1.0" encoding="utf-8"?>
<comments xmlns="http://schemas.openxmlformats.org/spreadsheetml/2006/main">
  <authors>
    <author>m</author>
  </authors>
  <commentList>
    <comment ref="D9" authorId="0" shapeId="0">
      <text>
        <t>6월: 한 소재=직군별 줄. 날짜 칸에 그날 실제 MD를 직접 입력하세요. 시작일/완료일/합계MD는 자동 계산됩니다.</t>
      </text>
    </comment>
  </commentList>
</comments>
</file>

<file path=xl/comments/comment8.xml><?xml version="1.0" encoding="utf-8"?>
<comments xmlns="http://schemas.openxmlformats.org/spreadsheetml/2006/main">
  <authors>
    <author>m</author>
  </authors>
  <commentList>
    <comment ref="D9" authorId="0" shapeId="0">
      <text>
        <t>7월: 한 소재=직군별 줄. 날짜 칸에 그날 실제 MD를 직접 입력하세요. 시작일/완료일/합계MD는 자동 계산됩니다.</t>
      </text>
    </comment>
  </commentList>
</comments>
</file>

<file path=xl/comments/comment9.xml><?xml version="1.0" encoding="utf-8"?>
<comments xmlns="http://schemas.openxmlformats.org/spreadsheetml/2006/main">
  <authors>
    <author>m</author>
  </authors>
  <commentList>
    <comment ref="D9" authorId="0" shapeId="0">
      <text>
        <t>8월: 한 소재=직군별 줄. 날짜 칸에 그날 실제 MD를 직접 입력하세요. 시작일/완료일/합계MD는 자동 계산됩니다.</t>
      </text>
    </comment>
  </commentList>
</comments>
</file>

<file path=xl/comments/comment10.xml><?xml version="1.0" encoding="utf-8"?>
<comments xmlns="http://schemas.openxmlformats.org/spreadsheetml/2006/main">
  <authors>
    <author>m</author>
  </authors>
  <commentList>
    <comment ref="D9" authorId="0" shapeId="0">
      <text>
        <t>9월: 한 소재=직군별 줄. 날짜 칸에 그날 실제 MD를 직접 입력하세요. 시작일/완료일/합계MD는 자동 계산됩니다.</t>
      </text>
    </comment>
  </commentList>
</comments>
</file>

<file path=xl/comments/comment11.xml><?xml version="1.0" encoding="utf-8"?>
<comments xmlns="http://schemas.openxmlformats.org/spreadsheetml/2006/main">
  <authors>
    <author>m</author>
  </authors>
  <commentList>
    <comment ref="D9" authorId="0" shapeId="0">
      <text>
        <t>10월: 한 소재=직군별 줄. 날짜 칸에 그날 실제 MD를 직접 입력하세요. 시작일/완료일/합계MD는 자동 계산됩니다.</t>
      </text>
    </comment>
  </commentList>
</comments>
</file>

<file path=xl/comments/comment12.xml><?xml version="1.0" encoding="utf-8"?>
<comments xmlns="http://schemas.openxmlformats.org/spreadsheetml/2006/main">
  <authors>
    <author>m</author>
  </authors>
  <commentList>
    <comment ref="D9" authorId="0" shapeId="0">
      <text>
        <t>11월: 한 소재=직군별 줄. 날짜 칸에 그날 실제 MD를 직접 입력하세요. 시작일/완료일/합계MD는 자동 계산됩니다.</t>
      </text>
    </comment>
  </commentList>
</comments>
</file>

<file path=xl/comments/comment13.xml><?xml version="1.0" encoding="utf-8"?>
<comments xmlns="http://schemas.openxmlformats.org/spreadsheetml/2006/main">
  <authors>
    <author>m</author>
  </authors>
  <commentList>
    <comment ref="D9" authorId="0" shapeId="0">
      <text>
        <t>12월: 한 소재=직군별 줄. 날짜 칸에 그날 실제 MD를 직접 입력하세요. 시작일/완료일/합계MD는 자동 계산됩니다.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8" customWidth="1" min="3" max="3"/>
  </cols>
  <sheetData>
    <row r="2">
      <c r="B2" s="1" t="inlineStr">
        <is>
          <t>AI 파이프라인 통합 리소스/스케줄 관리 시트 v10</t>
        </is>
      </c>
    </row>
    <row r="3">
      <c r="B3" s="2" t="inlineStr">
        <is>
          <t>한 소재 = 직군별 줄(최대 3줄, 기획/이미지/영상) - 각 줄이 자기 날짜에 MD를 직접 입력</t>
        </is>
      </c>
    </row>
    <row r="5">
      <c r="B5" s="3" t="inlineStr">
        <is>
          <t>색 표시</t>
        </is>
      </c>
    </row>
    <row r="6">
      <c r="B6" s="4" t="inlineStr">
        <is>
          <t>파랑</t>
        </is>
      </c>
      <c r="C6" s="5" t="inlineStr">
        <is>
          <t>해당 직군 정원(TO)의 80~100% 채워진 상태</t>
        </is>
      </c>
    </row>
    <row r="7">
      <c r="B7" s="6" t="inlineStr">
        <is>
          <t>보라</t>
        </is>
      </c>
      <c r="C7" s="5" t="inlineStr">
        <is>
          <t>정원(TO) 초과 - 조율 필요</t>
        </is>
      </c>
    </row>
    <row r="8">
      <c r="B8" s="7" t="inlineStr">
        <is>
          <t>회색</t>
        </is>
      </c>
      <c r="C8" s="5" t="inlineStr">
        <is>
          <t>주말(토/일) 또는 대한민국 공휴일 - 실제 워킹데이 아님</t>
        </is>
      </c>
    </row>
    <row r="9">
      <c r="B9" s="8" t="inlineStr">
        <is>
          <t>빨강</t>
        </is>
      </c>
      <c r="C9" s="5" t="inlineStr">
        <is>
          <t>같은 담당자가 같은 날 여러 소재에 걸쳐 하루 8시간(1.0MD)을 초과 - 배정 조율 필요</t>
        </is>
      </c>
    </row>
    <row r="10">
      <c r="B10" s="9" t="inlineStr">
        <is>
          <t>1. 한 소재 = 직군별 줄</t>
        </is>
      </c>
      <c r="C10" s="10" t="n"/>
    </row>
    <row r="11">
      <c r="B11" s="11" t="inlineStr">
        <is>
          <t>구조</t>
        </is>
      </c>
      <c r="C11" s="5" t="inlineStr">
        <is>
          <t>소재명 하나에 관여하는 직군(기획/이미지/영상)마다 별도의 줄이 있습니다. 3직군 다 관여하면 3줄, 영상만 있으면 1줄. 소재명은 같은 텍스트로 반복 입력해서 같은 소재임을 표시합니다.</t>
        </is>
      </c>
    </row>
    <row r="12">
      <c r="B12" s="11" t="inlineStr">
        <is>
          <t>각 줄이 독립적</t>
        </is>
      </c>
      <c r="C12" s="5" t="inlineStr">
        <is>
          <t>기획 줄은 기획대로, 영상 줄은 영상대로 자기만의 담당자·날짜·MD를 가집니다. 기획은 8/5 하루만, 영상은 8/6~8/7 이틀만 - 이렇게 서로 다른 기간이 자연스럽게 표현됩니다.</t>
        </is>
      </c>
    </row>
    <row r="13">
      <c r="B13" s="11" t="inlineStr">
        <is>
          <t>수량</t>
        </is>
      </c>
      <c r="C13" s="5" t="inlineStr">
        <is>
          <t>영상 수/사이즈베리/다국어베리는 소재당 한 번만 입력(아무 줄에나, 중복 입력 금지 - 안 그러면 집계가 중복됩니다).</t>
        </is>
      </c>
    </row>
    <row r="15">
      <c r="B15" s="9" t="inlineStr">
        <is>
          <t>2. MD 입력 - 날짜 칸에 직접</t>
        </is>
      </c>
      <c r="C15" s="10" t="n"/>
    </row>
    <row r="16">
      <c r="B16" s="11" t="inlineStr">
        <is>
          <t>직접 입력</t>
        </is>
      </c>
      <c r="C16" s="5" t="inlineStr">
        <is>
          <t>오른쪽 날짜 칸에 그날 실제 투입 MD를 직접 입력합니다(예: 8/6에 1.0, 8/7에 1.0). 균등분산이 아니라 실제 값 그대로.</t>
        </is>
      </c>
    </row>
    <row r="17">
      <c r="B17" s="11" t="inlineStr">
        <is>
          <t>자동 계산</t>
        </is>
      </c>
      <c r="C17" s="5" t="inlineStr">
        <is>
          <t>시작일·완료일은 입력한 날짜 중 가장 이른 날/늦은 날로 자동 계산됩니다. 합계MD도 그 줄에 입력한 숫자를 모두 더한 값입니다.</t>
        </is>
      </c>
    </row>
    <row r="18">
      <c r="B18" s="11" t="inlineStr">
        <is>
          <t>목표완료일</t>
        </is>
      </c>
      <c r="C18" s="5" t="inlineStr">
        <is>
          <t>희망 마감일을 별도로 입력하면, 실제 완료일과 비교해 여유(지연 위험)를 표시합니다.</t>
        </is>
      </c>
    </row>
    <row r="19">
      <c r="B19" s="11" t="inlineStr">
        <is>
          <t>담당자 8시간 초과</t>
        </is>
      </c>
      <c r="C19" s="5" t="inlineStr">
        <is>
          <t>같은 담당자 이름으로 같은 날짜에 여러 소재에 걸쳐 입력한 MD를 다 더해서 마스터의 '담당자 1일 캐파(기본 1.0=8시간)'를 넘으면 그 날짜 칸이 빨간색으로 경고됩니다.</t>
        </is>
      </c>
    </row>
    <row r="21">
      <c r="B21" s="9" t="inlineStr">
        <is>
          <t>3. 팀별 색상 구간</t>
        </is>
      </c>
      <c r="C21" s="10" t="n"/>
    </row>
    <row r="22">
      <c r="B22" s="11" t="inlineStr">
        <is>
          <t>30행 구간</t>
        </is>
      </c>
      <c r="C22" s="5" t="inlineStr">
        <is>
          <t>각 월 탭 안에서 마케팅1~4팀 + 기타, 팀마다 30행씩 고정 구간. 한 소재가 여러 줄을 쓰므로 팀당 소재는 대략 10~30개 정도 들어갑니다. 넘으면 행 삽입.</t>
        </is>
      </c>
    </row>
    <row r="23">
      <c r="B23" s="11" t="inlineStr">
        <is>
          <t>고객팀 자동</t>
        </is>
      </c>
      <c r="C23" s="5" t="inlineStr">
        <is>
          <t>구간 안 행의 고객팀 칸은 자동 고정.</t>
        </is>
      </c>
    </row>
    <row r="25">
      <c r="B25" s="9" t="inlineStr">
        <is>
          <t>4. 워킹데이 (주말 + 대한민국 공휴일)</t>
        </is>
      </c>
      <c r="C25" s="10" t="n"/>
    </row>
    <row r="26">
      <c r="B26" s="11" t="inlineStr">
        <is>
          <t>회색 처리</t>
        </is>
      </c>
      <c r="C26" s="5" t="inlineStr">
        <is>
          <t>간트와 상단 TO 상태 모두 토/일 + 마스터의 대한민국 공휴일 목록에 해당하는 날짜는 회색 처리.</t>
        </is>
      </c>
    </row>
    <row r="27">
      <c r="B27" s="11" t="inlineStr">
        <is>
          <t>공휴일 수정</t>
        </is>
      </c>
      <c r="C27" s="5" t="inlineStr">
        <is>
          <t>마스터 시트 공휴일 목록(설날/추석 등 음력 기반 포함)은 참고용 - 정부 발표 기준 확인 후 수정.</t>
        </is>
      </c>
    </row>
    <row r="29">
      <c r="B29" s="9" t="inlineStr">
        <is>
          <t>5. 연간요약</t>
        </is>
      </c>
      <c r="C29" s="10" t="n"/>
    </row>
    <row r="30">
      <c r="B30" s="11" t="inlineStr">
        <is>
          <t>월별/누적</t>
        </is>
      </c>
      <c r="C30" s="5" t="inlineStr">
        <is>
          <t>12개 월 탭에서 직접 집계. 매월 누적, 상반기/하반기/연간 합계, 월별 가동률, 팀x유형, 타이틀별.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6" customWidth="1" min="7" max="7"/>
    <col width="4" customWidth="1" min="8" max="8"/>
    <col width="14" customWidth="1" min="9" max="9"/>
    <col width="14" customWidth="1" min="10" max="10"/>
  </cols>
  <sheetData>
    <row r="1">
      <c r="A1" s="12" t="inlineStr">
        <is>
          <t>마스터 / 기준정보</t>
        </is>
      </c>
    </row>
    <row r="2">
      <c r="A2" s="13" t="inlineStr">
        <is>
          <t>게임 타이틀 (25)</t>
        </is>
      </c>
      <c r="C2" s="13" t="inlineStr">
        <is>
          <t>고객팀</t>
        </is>
      </c>
      <c r="E2" s="13" t="inlineStr">
        <is>
          <t>직군</t>
        </is>
      </c>
      <c r="G2" s="13" t="inlineStr">
        <is>
          <t>상태</t>
        </is>
      </c>
      <c r="I2" s="14" t="inlineStr">
        <is>
          <t>운영 파라미터</t>
        </is>
      </c>
      <c r="J2" s="15" t="n"/>
    </row>
    <row r="3">
      <c r="A3" s="16" t="inlineStr">
        <is>
          <t>뱀피르</t>
        </is>
      </c>
      <c r="C3" s="16" t="inlineStr">
        <is>
          <t>마케팅1팀</t>
        </is>
      </c>
      <c r="E3" s="16" t="inlineStr">
        <is>
          <t>기획</t>
        </is>
      </c>
      <c r="G3" s="16" t="inlineStr">
        <is>
          <t>대기</t>
        </is>
      </c>
      <c r="I3" s="17" t="inlineStr">
        <is>
          <t>연도</t>
        </is>
      </c>
      <c r="J3" s="18" t="n">
        <v>2026</v>
      </c>
    </row>
    <row r="4">
      <c r="A4" s="16" t="inlineStr">
        <is>
          <t>RF 글로벌</t>
        </is>
      </c>
      <c r="C4" s="16" t="inlineStr">
        <is>
          <t>마케팅2팀</t>
        </is>
      </c>
      <c r="E4" s="16" t="inlineStr">
        <is>
          <t>이미지</t>
        </is>
      </c>
      <c r="G4" s="16" t="inlineStr">
        <is>
          <t>진행</t>
        </is>
      </c>
      <c r="I4" s="17" t="inlineStr">
        <is>
          <t>월 가동일수</t>
        </is>
      </c>
      <c r="J4" s="18" t="n">
        <v>20</v>
      </c>
    </row>
    <row r="5">
      <c r="A5" s="16" t="inlineStr">
        <is>
          <t>SOL 인챈트</t>
        </is>
      </c>
      <c r="C5" s="16" t="inlineStr">
        <is>
          <t>마케팅3팀</t>
        </is>
      </c>
      <c r="E5" s="16" t="inlineStr">
        <is>
          <t>영상</t>
        </is>
      </c>
      <c r="G5" s="16" t="inlineStr">
        <is>
          <t>검수</t>
        </is>
      </c>
      <c r="I5" s="17" t="inlineStr">
        <is>
          <t>담당자 1일 캐파(MD)</t>
        </is>
      </c>
      <c r="J5" s="19" t="n">
        <v>1</v>
      </c>
    </row>
    <row r="6">
      <c r="A6" s="16" t="inlineStr">
        <is>
          <t>스톤에이지펫월드</t>
        </is>
      </c>
      <c r="C6" s="16" t="inlineStr">
        <is>
          <t>마케팅4팀</t>
        </is>
      </c>
      <c r="G6" s="16" t="inlineStr">
        <is>
          <t>완료</t>
        </is>
      </c>
    </row>
    <row r="7">
      <c r="A7" s="16" t="inlineStr">
        <is>
          <t>칠대죄오리진</t>
        </is>
      </c>
      <c r="C7" s="16" t="inlineStr">
        <is>
          <t>기타</t>
        </is>
      </c>
      <c r="I7" s="14" t="inlineStr">
        <is>
          <t>직군 일 TO 정원</t>
        </is>
      </c>
      <c r="J7" s="15" t="n"/>
    </row>
    <row r="8">
      <c r="A8" s="16" t="inlineStr">
        <is>
          <t>세나리버스</t>
        </is>
      </c>
      <c r="I8" s="20" t="inlineStr">
        <is>
          <t>영상</t>
        </is>
      </c>
      <c r="J8" s="21" t="n">
        <v>6</v>
      </c>
    </row>
    <row r="9">
      <c r="A9" s="16" t="inlineStr">
        <is>
          <t>몬길</t>
        </is>
      </c>
      <c r="I9" s="20" t="inlineStr">
        <is>
          <t>이미지</t>
        </is>
      </c>
      <c r="J9" s="21" t="n">
        <v>8</v>
      </c>
    </row>
    <row r="10">
      <c r="A10" s="16" t="inlineStr">
        <is>
          <t>왕겜(GOT)</t>
        </is>
      </c>
      <c r="I10" s="20" t="inlineStr">
        <is>
          <t>기획</t>
        </is>
      </c>
      <c r="J10" s="21" t="n">
        <v>3</v>
      </c>
    </row>
    <row r="11">
      <c r="A11" s="16" t="inlineStr">
        <is>
          <t>몬스터길들이기</t>
        </is>
      </c>
    </row>
    <row r="12">
      <c r="A12" s="16" t="inlineStr">
        <is>
          <t>라이즈오브</t>
        </is>
      </c>
      <c r="I12" s="14" t="inlineStr">
        <is>
          <t>대한민국 공휴일 (참고 - 연도별 확인/수정 필요)</t>
        </is>
      </c>
      <c r="J12" s="15" t="n"/>
    </row>
    <row r="13">
      <c r="A13" s="22" t="inlineStr"/>
      <c r="I13" s="23" t="inlineStr">
        <is>
          <t>신정</t>
        </is>
      </c>
      <c r="J13" s="24">
        <f>DATE(2026,1,1)</f>
        <v/>
      </c>
    </row>
    <row r="14">
      <c r="A14" s="22" t="inlineStr"/>
      <c r="I14" s="23" t="inlineStr">
        <is>
          <t>설날연휴</t>
        </is>
      </c>
      <c r="J14" s="24">
        <f>DATE(2026,2,16)</f>
        <v/>
      </c>
    </row>
    <row r="15">
      <c r="A15" s="22" t="inlineStr"/>
      <c r="I15" s="23" t="inlineStr">
        <is>
          <t>설날</t>
        </is>
      </c>
      <c r="J15" s="24">
        <f>DATE(2026,2,17)</f>
        <v/>
      </c>
    </row>
    <row r="16">
      <c r="A16" s="22" t="inlineStr"/>
      <c r="I16" s="23" t="inlineStr">
        <is>
          <t>설날연휴</t>
        </is>
      </c>
      <c r="J16" s="24">
        <f>DATE(2026,2,18)</f>
        <v/>
      </c>
    </row>
    <row r="17">
      <c r="A17" s="22" t="inlineStr"/>
      <c r="I17" s="23" t="inlineStr">
        <is>
          <t>삼일절(대체)</t>
        </is>
      </c>
      <c r="J17" s="24">
        <f>DATE(2026,3,2)</f>
        <v/>
      </c>
    </row>
    <row r="18">
      <c r="A18" s="22" t="inlineStr"/>
      <c r="I18" s="23" t="inlineStr">
        <is>
          <t>어린이날</t>
        </is>
      </c>
      <c r="J18" s="24">
        <f>DATE(2026,5,5)</f>
        <v/>
      </c>
    </row>
    <row r="19">
      <c r="A19" s="22" t="inlineStr"/>
      <c r="I19" s="23" t="inlineStr">
        <is>
          <t>부처님오신날(음력,확인필요)</t>
        </is>
      </c>
      <c r="J19" s="24">
        <f>DATE(2026,5,24)</f>
        <v/>
      </c>
    </row>
    <row r="20">
      <c r="A20" s="22" t="inlineStr"/>
      <c r="I20" s="23" t="inlineStr">
        <is>
          <t>현충일</t>
        </is>
      </c>
      <c r="J20" s="24">
        <f>DATE(2026,6,6)</f>
        <v/>
      </c>
    </row>
    <row r="21">
      <c r="A21" s="22" t="inlineStr"/>
      <c r="I21" s="23" t="inlineStr">
        <is>
          <t>광복절</t>
        </is>
      </c>
      <c r="J21" s="24">
        <f>DATE(2026,8,15)</f>
        <v/>
      </c>
    </row>
    <row r="22">
      <c r="A22" s="22" t="inlineStr"/>
      <c r="I22" s="23" t="inlineStr">
        <is>
          <t>추석연휴(음력,확인필요)</t>
        </is>
      </c>
      <c r="J22" s="24">
        <f>DATE(2026,9,24)</f>
        <v/>
      </c>
    </row>
    <row r="23">
      <c r="A23" s="22" t="inlineStr"/>
      <c r="I23" s="23" t="inlineStr">
        <is>
          <t>추석(음력,확인필요)</t>
        </is>
      </c>
      <c r="J23" s="24">
        <f>DATE(2026,9,25)</f>
        <v/>
      </c>
    </row>
    <row r="24">
      <c r="A24" s="22" t="inlineStr"/>
      <c r="I24" s="23" t="inlineStr">
        <is>
          <t>추석연휴(음력,확인필요)</t>
        </is>
      </c>
      <c r="J24" s="24">
        <f>DATE(2026,9,26)</f>
        <v/>
      </c>
    </row>
    <row r="25">
      <c r="A25" s="22" t="inlineStr"/>
      <c r="I25" s="23" t="inlineStr">
        <is>
          <t>개천절</t>
        </is>
      </c>
      <c r="J25" s="24">
        <f>DATE(2026,10,3)</f>
        <v/>
      </c>
    </row>
    <row r="26">
      <c r="A26" s="22" t="inlineStr"/>
      <c r="I26" s="23" t="inlineStr">
        <is>
          <t>한글날</t>
        </is>
      </c>
      <c r="J26" s="24">
        <f>DATE(2026,10,9)</f>
        <v/>
      </c>
    </row>
    <row r="27">
      <c r="A27" s="22" t="inlineStr"/>
      <c r="I27" s="23" t="inlineStr">
        <is>
          <t>성탄절</t>
        </is>
      </c>
      <c r="J27" s="24">
        <f>DATE(2026,12,25)</f>
        <v/>
      </c>
    </row>
    <row r="30">
      <c r="A30" s="25" t="inlineStr">
        <is>
          <t>비나(VINA) 운영 시나리오 (참고)</t>
        </is>
      </c>
    </row>
    <row r="31">
      <c r="A31" s="26" t="inlineStr">
        <is>
          <t>방안 1</t>
        </is>
      </c>
      <c r="C31" s="27" t="inlineStr">
        <is>
          <t>기획+내부디자인+비나영상 - 비나 영상공수는 영상실 매출 귀속</t>
        </is>
      </c>
    </row>
    <row r="32">
      <c r="A32" s="26" t="inlineStr">
        <is>
          <t>방안 2</t>
        </is>
      </c>
      <c r="C32" s="27" t="inlineStr">
        <is>
          <t>비나=사이즈베리만 - 영상 베리는 디자인 흡수</t>
        </is>
      </c>
    </row>
    <row r="33">
      <c r="A33" s="26" t="inlineStr">
        <is>
          <t>방안 3</t>
        </is>
      </c>
      <c r="C33" s="27" t="inlineStr">
        <is>
          <t>비나 이미지TO 추가발주+추가비용</t>
        </is>
      </c>
    </row>
    <row r="34">
      <c r="A34" s="26" t="inlineStr">
        <is>
          <t>방안 4</t>
        </is>
      </c>
      <c r="C34" s="27" t="inlineStr">
        <is>
          <t>본사 프로세스 통합(이미지TO 추가X)</t>
        </is>
      </c>
    </row>
  </sheetData>
  <mergeCells count="7">
    <mergeCell ref="C34:J34"/>
    <mergeCell ref="I12:J12"/>
    <mergeCell ref="I7:J7"/>
    <mergeCell ref="I2:J2"/>
    <mergeCell ref="C32:J32"/>
    <mergeCell ref="C33:J33"/>
    <mergeCell ref="C31:J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8" customWidth="1" min="8" max="8"/>
    <col width="9" customWidth="1" min="9" max="9"/>
    <col width="9" customWidth="1" min="10" max="10"/>
    <col width="9" customWidth="1" min="11" max="11"/>
  </cols>
  <sheetData>
    <row r="2">
      <c r="B2" s="28" t="inlineStr">
        <is>
          <t>연간요약 - 월별 / 상하반기 / 매월 누적</t>
        </is>
      </c>
    </row>
    <row r="3">
      <c r="B3" s="29" t="inlineStr">
        <is>
          <t>각 월 탭에서 직접 집계. 입력은 해당 월 탭에서.</t>
        </is>
      </c>
    </row>
    <row r="5">
      <c r="B5" s="13" t="inlineStr">
        <is>
          <t>월</t>
        </is>
      </c>
      <c r="C5" s="13" t="inlineStr">
        <is>
          <t>영상MD</t>
        </is>
      </c>
      <c r="D5" s="13" t="inlineStr">
        <is>
          <t>이미지MD</t>
        </is>
      </c>
      <c r="E5" s="13" t="inlineStr">
        <is>
          <t>기획MD</t>
        </is>
      </c>
      <c r="F5" s="13" t="inlineStr">
        <is>
          <t>합계MD</t>
        </is>
      </c>
      <c r="G5" s="13" t="inlineStr">
        <is>
          <t>누적MD</t>
        </is>
      </c>
      <c r="H5" s="13" t="inlineStr">
        <is>
          <t>영상수</t>
        </is>
      </c>
      <c r="I5" s="13" t="inlineStr">
        <is>
          <t>사이즈베리</t>
        </is>
      </c>
      <c r="J5" s="13" t="inlineStr">
        <is>
          <t>다국어베리</t>
        </is>
      </c>
      <c r="K5" s="13" t="inlineStr">
        <is>
          <t>가동률</t>
        </is>
      </c>
    </row>
    <row r="6">
      <c r="B6" s="26" t="inlineStr">
        <is>
          <t>1월</t>
        </is>
      </c>
      <c r="C6" s="30">
        <f>SUMIF('1월'!$E$8:$E$162,"영상",'1월'!$K$8:$K$162)</f>
        <v/>
      </c>
      <c r="D6" s="30">
        <f>SUMIF('1월'!$E$8:$E$162,"이미지",'1월'!$K$8:$K$162)</f>
        <v/>
      </c>
      <c r="E6" s="30">
        <f>SUMIF('1월'!$E$8:$E$162,"기획",'1월'!$K$8:$K$162)</f>
        <v/>
      </c>
      <c r="F6" s="30">
        <f>SUM(C6:E6)</f>
        <v/>
      </c>
      <c r="G6" s="30">
        <f>SUM($F$6:F6)</f>
        <v/>
      </c>
      <c r="H6" s="30">
        <f>SUM('1월'!H8:H162)</f>
        <v/>
      </c>
      <c r="I6" s="30">
        <f>SUM('1월'!I8:I162)</f>
        <v/>
      </c>
      <c r="J6" s="30">
        <f>SUM('1월'!J8:J162)</f>
        <v/>
      </c>
      <c r="K6" s="31">
        <f>IFERROR(F6/(SUM('마스터'!$J$8:$J$10)*'마스터'!$J$4),0)</f>
        <v/>
      </c>
    </row>
    <row r="7">
      <c r="B7" s="26" t="inlineStr">
        <is>
          <t>2월</t>
        </is>
      </c>
      <c r="C7" s="30">
        <f>SUMIF('2월'!$E$8:$E$162,"영상",'2월'!$K$8:$K$162)</f>
        <v/>
      </c>
      <c r="D7" s="30">
        <f>SUMIF('2월'!$E$8:$E$162,"이미지",'2월'!$K$8:$K$162)</f>
        <v/>
      </c>
      <c r="E7" s="30">
        <f>SUMIF('2월'!$E$8:$E$162,"기획",'2월'!$K$8:$K$162)</f>
        <v/>
      </c>
      <c r="F7" s="30">
        <f>SUM(C7:E7)</f>
        <v/>
      </c>
      <c r="G7" s="30">
        <f>SUM($F$6:F7)</f>
        <v/>
      </c>
      <c r="H7" s="30">
        <f>SUM('2월'!H8:H162)</f>
        <v/>
      </c>
      <c r="I7" s="30">
        <f>SUM('2월'!I8:I162)</f>
        <v/>
      </c>
      <c r="J7" s="30">
        <f>SUM('2월'!J8:J162)</f>
        <v/>
      </c>
      <c r="K7" s="31">
        <f>IFERROR(F7/(SUM('마스터'!$J$8:$J$10)*'마스터'!$J$4),0)</f>
        <v/>
      </c>
    </row>
    <row r="8">
      <c r="B8" s="26" t="inlineStr">
        <is>
          <t>3월</t>
        </is>
      </c>
      <c r="C8" s="30">
        <f>SUMIF('3월'!$E$8:$E$162,"영상",'3월'!$K$8:$K$162)</f>
        <v/>
      </c>
      <c r="D8" s="30">
        <f>SUMIF('3월'!$E$8:$E$162,"이미지",'3월'!$K$8:$K$162)</f>
        <v/>
      </c>
      <c r="E8" s="30">
        <f>SUMIF('3월'!$E$8:$E$162,"기획",'3월'!$K$8:$K$162)</f>
        <v/>
      </c>
      <c r="F8" s="30">
        <f>SUM(C8:E8)</f>
        <v/>
      </c>
      <c r="G8" s="30">
        <f>SUM($F$6:F8)</f>
        <v/>
      </c>
      <c r="H8" s="30">
        <f>SUM('3월'!H8:H162)</f>
        <v/>
      </c>
      <c r="I8" s="30">
        <f>SUM('3월'!I8:I162)</f>
        <v/>
      </c>
      <c r="J8" s="30">
        <f>SUM('3월'!J8:J162)</f>
        <v/>
      </c>
      <c r="K8" s="31">
        <f>IFERROR(F8/(SUM('마스터'!$J$8:$J$10)*'마스터'!$J$4),0)</f>
        <v/>
      </c>
    </row>
    <row r="9">
      <c r="B9" s="26" t="inlineStr">
        <is>
          <t>4월</t>
        </is>
      </c>
      <c r="C9" s="30">
        <f>SUMIF('4월'!$E$8:$E$162,"영상",'4월'!$K$8:$K$162)</f>
        <v/>
      </c>
      <c r="D9" s="30">
        <f>SUMIF('4월'!$E$8:$E$162,"이미지",'4월'!$K$8:$K$162)</f>
        <v/>
      </c>
      <c r="E9" s="30">
        <f>SUMIF('4월'!$E$8:$E$162,"기획",'4월'!$K$8:$K$162)</f>
        <v/>
      </c>
      <c r="F9" s="30">
        <f>SUM(C9:E9)</f>
        <v/>
      </c>
      <c r="G9" s="30">
        <f>SUM($F$6:F9)</f>
        <v/>
      </c>
      <c r="H9" s="30">
        <f>SUM('4월'!H8:H162)</f>
        <v/>
      </c>
      <c r="I9" s="30">
        <f>SUM('4월'!I8:I162)</f>
        <v/>
      </c>
      <c r="J9" s="30">
        <f>SUM('4월'!J8:J162)</f>
        <v/>
      </c>
      <c r="K9" s="31">
        <f>IFERROR(F9/(SUM('마스터'!$J$8:$J$10)*'마스터'!$J$4),0)</f>
        <v/>
      </c>
    </row>
    <row r="10">
      <c r="B10" s="26" t="inlineStr">
        <is>
          <t>5월</t>
        </is>
      </c>
      <c r="C10" s="30">
        <f>SUMIF('5월'!$E$8:$E$162,"영상",'5월'!$K$8:$K$162)</f>
        <v/>
      </c>
      <c r="D10" s="30">
        <f>SUMIF('5월'!$E$8:$E$162,"이미지",'5월'!$K$8:$K$162)</f>
        <v/>
      </c>
      <c r="E10" s="30">
        <f>SUMIF('5월'!$E$8:$E$162,"기획",'5월'!$K$8:$K$162)</f>
        <v/>
      </c>
      <c r="F10" s="30">
        <f>SUM(C10:E10)</f>
        <v/>
      </c>
      <c r="G10" s="30">
        <f>SUM($F$6:F10)</f>
        <v/>
      </c>
      <c r="H10" s="30">
        <f>SUM('5월'!H8:H162)</f>
        <v/>
      </c>
      <c r="I10" s="30">
        <f>SUM('5월'!I8:I162)</f>
        <v/>
      </c>
      <c r="J10" s="30">
        <f>SUM('5월'!J8:J162)</f>
        <v/>
      </c>
      <c r="K10" s="31">
        <f>IFERROR(F10/(SUM('마스터'!$J$8:$J$10)*'마스터'!$J$4),0)</f>
        <v/>
      </c>
    </row>
    <row r="11">
      <c r="B11" s="26" t="inlineStr">
        <is>
          <t>6월</t>
        </is>
      </c>
      <c r="C11" s="30">
        <f>SUMIF('6월'!$E$8:$E$162,"영상",'6월'!$K$8:$K$162)</f>
        <v/>
      </c>
      <c r="D11" s="30">
        <f>SUMIF('6월'!$E$8:$E$162,"이미지",'6월'!$K$8:$K$162)</f>
        <v/>
      </c>
      <c r="E11" s="30">
        <f>SUMIF('6월'!$E$8:$E$162,"기획",'6월'!$K$8:$K$162)</f>
        <v/>
      </c>
      <c r="F11" s="30">
        <f>SUM(C11:E11)</f>
        <v/>
      </c>
      <c r="G11" s="30">
        <f>SUM($F$6:F11)</f>
        <v/>
      </c>
      <c r="H11" s="30">
        <f>SUM('6월'!H8:H162)</f>
        <v/>
      </c>
      <c r="I11" s="30">
        <f>SUM('6월'!I8:I162)</f>
        <v/>
      </c>
      <c r="J11" s="30">
        <f>SUM('6월'!J8:J162)</f>
        <v/>
      </c>
      <c r="K11" s="31">
        <f>IFERROR(F11/(SUM('마스터'!$J$8:$J$10)*'마스터'!$J$4),0)</f>
        <v/>
      </c>
    </row>
    <row r="12">
      <c r="B12" s="26" t="inlineStr">
        <is>
          <t>7월</t>
        </is>
      </c>
      <c r="C12" s="30">
        <f>SUMIF('7월'!$E$8:$E$162,"영상",'7월'!$K$8:$K$162)</f>
        <v/>
      </c>
      <c r="D12" s="30">
        <f>SUMIF('7월'!$E$8:$E$162,"이미지",'7월'!$K$8:$K$162)</f>
        <v/>
      </c>
      <c r="E12" s="30">
        <f>SUMIF('7월'!$E$8:$E$162,"기획",'7월'!$K$8:$K$162)</f>
        <v/>
      </c>
      <c r="F12" s="30">
        <f>SUM(C12:E12)</f>
        <v/>
      </c>
      <c r="G12" s="30">
        <f>SUM($F$6:F12)</f>
        <v/>
      </c>
      <c r="H12" s="30">
        <f>SUM('7월'!H8:H162)</f>
        <v/>
      </c>
      <c r="I12" s="30">
        <f>SUM('7월'!I8:I162)</f>
        <v/>
      </c>
      <c r="J12" s="30">
        <f>SUM('7월'!J8:J162)</f>
        <v/>
      </c>
      <c r="K12" s="31">
        <f>IFERROR(F12/(SUM('마스터'!$J$8:$J$10)*'마스터'!$J$4),0)</f>
        <v/>
      </c>
    </row>
    <row r="13">
      <c r="B13" s="26" t="inlineStr">
        <is>
          <t>8월</t>
        </is>
      </c>
      <c r="C13" s="30">
        <f>SUMIF('8월'!$E$8:$E$162,"영상",'8월'!$K$8:$K$162)</f>
        <v/>
      </c>
      <c r="D13" s="30">
        <f>SUMIF('8월'!$E$8:$E$162,"이미지",'8월'!$K$8:$K$162)</f>
        <v/>
      </c>
      <c r="E13" s="30">
        <f>SUMIF('8월'!$E$8:$E$162,"기획",'8월'!$K$8:$K$162)</f>
        <v/>
      </c>
      <c r="F13" s="30">
        <f>SUM(C13:E13)</f>
        <v/>
      </c>
      <c r="G13" s="30">
        <f>SUM($F$6:F13)</f>
        <v/>
      </c>
      <c r="H13" s="30">
        <f>SUM('8월'!H8:H162)</f>
        <v/>
      </c>
      <c r="I13" s="30">
        <f>SUM('8월'!I8:I162)</f>
        <v/>
      </c>
      <c r="J13" s="30">
        <f>SUM('8월'!J8:J162)</f>
        <v/>
      </c>
      <c r="K13" s="31">
        <f>IFERROR(F13/(SUM('마스터'!$J$8:$J$10)*'마스터'!$J$4),0)</f>
        <v/>
      </c>
    </row>
    <row r="14">
      <c r="B14" s="26" t="inlineStr">
        <is>
          <t>9월</t>
        </is>
      </c>
      <c r="C14" s="30">
        <f>SUMIF('9월'!$E$8:$E$162,"영상",'9월'!$K$8:$K$162)</f>
        <v/>
      </c>
      <c r="D14" s="30">
        <f>SUMIF('9월'!$E$8:$E$162,"이미지",'9월'!$K$8:$K$162)</f>
        <v/>
      </c>
      <c r="E14" s="30">
        <f>SUMIF('9월'!$E$8:$E$162,"기획",'9월'!$K$8:$K$162)</f>
        <v/>
      </c>
      <c r="F14" s="30">
        <f>SUM(C14:E14)</f>
        <v/>
      </c>
      <c r="G14" s="30">
        <f>SUM($F$6:F14)</f>
        <v/>
      </c>
      <c r="H14" s="30">
        <f>SUM('9월'!H8:H162)</f>
        <v/>
      </c>
      <c r="I14" s="30">
        <f>SUM('9월'!I8:I162)</f>
        <v/>
      </c>
      <c r="J14" s="30">
        <f>SUM('9월'!J8:J162)</f>
        <v/>
      </c>
      <c r="K14" s="31">
        <f>IFERROR(F14/(SUM('마스터'!$J$8:$J$10)*'마스터'!$J$4),0)</f>
        <v/>
      </c>
    </row>
    <row r="15">
      <c r="B15" s="26" t="inlineStr">
        <is>
          <t>10월</t>
        </is>
      </c>
      <c r="C15" s="30">
        <f>SUMIF('10월'!$E$8:$E$162,"영상",'10월'!$K$8:$K$162)</f>
        <v/>
      </c>
      <c r="D15" s="30">
        <f>SUMIF('10월'!$E$8:$E$162,"이미지",'10월'!$K$8:$K$162)</f>
        <v/>
      </c>
      <c r="E15" s="30">
        <f>SUMIF('10월'!$E$8:$E$162,"기획",'10월'!$K$8:$K$162)</f>
        <v/>
      </c>
      <c r="F15" s="30">
        <f>SUM(C15:E15)</f>
        <v/>
      </c>
      <c r="G15" s="30">
        <f>SUM($F$6:F15)</f>
        <v/>
      </c>
      <c r="H15" s="30">
        <f>SUM('10월'!H8:H162)</f>
        <v/>
      </c>
      <c r="I15" s="30">
        <f>SUM('10월'!I8:I162)</f>
        <v/>
      </c>
      <c r="J15" s="30">
        <f>SUM('10월'!J8:J162)</f>
        <v/>
      </c>
      <c r="K15" s="31">
        <f>IFERROR(F15/(SUM('마스터'!$J$8:$J$10)*'마스터'!$J$4),0)</f>
        <v/>
      </c>
    </row>
    <row r="16">
      <c r="B16" s="26" t="inlineStr">
        <is>
          <t>11월</t>
        </is>
      </c>
      <c r="C16" s="30">
        <f>SUMIF('11월'!$E$8:$E$162,"영상",'11월'!$K$8:$K$162)</f>
        <v/>
      </c>
      <c r="D16" s="30">
        <f>SUMIF('11월'!$E$8:$E$162,"이미지",'11월'!$K$8:$K$162)</f>
        <v/>
      </c>
      <c r="E16" s="30">
        <f>SUMIF('11월'!$E$8:$E$162,"기획",'11월'!$K$8:$K$162)</f>
        <v/>
      </c>
      <c r="F16" s="30">
        <f>SUM(C16:E16)</f>
        <v/>
      </c>
      <c r="G16" s="30">
        <f>SUM($F$6:F16)</f>
        <v/>
      </c>
      <c r="H16" s="30">
        <f>SUM('11월'!H8:H162)</f>
        <v/>
      </c>
      <c r="I16" s="30">
        <f>SUM('11월'!I8:I162)</f>
        <v/>
      </c>
      <c r="J16" s="30">
        <f>SUM('11월'!J8:J162)</f>
        <v/>
      </c>
      <c r="K16" s="31">
        <f>IFERROR(F16/(SUM('마스터'!$J$8:$J$10)*'마스터'!$J$4),0)</f>
        <v/>
      </c>
    </row>
    <row r="17">
      <c r="B17" s="26" t="inlineStr">
        <is>
          <t>12월</t>
        </is>
      </c>
      <c r="C17" s="30">
        <f>SUMIF('12월'!$E$8:$E$162,"영상",'12월'!$K$8:$K$162)</f>
        <v/>
      </c>
      <c r="D17" s="30">
        <f>SUMIF('12월'!$E$8:$E$162,"이미지",'12월'!$K$8:$K$162)</f>
        <v/>
      </c>
      <c r="E17" s="30">
        <f>SUMIF('12월'!$E$8:$E$162,"기획",'12월'!$K$8:$K$162)</f>
        <v/>
      </c>
      <c r="F17" s="30">
        <f>SUM(C17:E17)</f>
        <v/>
      </c>
      <c r="G17" s="30">
        <f>SUM($F$6:F17)</f>
        <v/>
      </c>
      <c r="H17" s="30">
        <f>SUM('12월'!H8:H162)</f>
        <v/>
      </c>
      <c r="I17" s="30">
        <f>SUM('12월'!I8:I162)</f>
        <v/>
      </c>
      <c r="J17" s="30">
        <f>SUM('12월'!J8:J162)</f>
        <v/>
      </c>
      <c r="K17" s="31">
        <f>IFERROR(F17/(SUM('마스터'!$J$8:$J$10)*'마스터'!$J$4),0)</f>
        <v/>
      </c>
    </row>
    <row r="18">
      <c r="B18" s="32" t="inlineStr">
        <is>
          <t>상반기(1-6)</t>
        </is>
      </c>
      <c r="C18" s="33">
        <f>SUM(C6:C11)</f>
        <v/>
      </c>
      <c r="D18" s="33">
        <f>SUM(D6:D11)</f>
        <v/>
      </c>
      <c r="E18" s="33">
        <f>SUM(E6:E11)</f>
        <v/>
      </c>
      <c r="F18" s="33">
        <f>SUM(F6:F11)</f>
        <v/>
      </c>
      <c r="G18" s="34" t="inlineStr"/>
      <c r="H18" s="33">
        <f>SUM(H6:H11)</f>
        <v/>
      </c>
      <c r="I18" s="33">
        <f>SUM(I6:I11)</f>
        <v/>
      </c>
      <c r="J18" s="33">
        <f>SUM(J6:J11)</f>
        <v/>
      </c>
      <c r="K18" s="35">
        <f>IFERROR(F18/(SUM('마스터'!$J$8:$J$10)*'마스터'!$J$4*(11-6+1)),0)</f>
        <v/>
      </c>
    </row>
    <row r="19">
      <c r="B19" s="32" t="inlineStr">
        <is>
          <t>하반기(7-12)</t>
        </is>
      </c>
      <c r="C19" s="33">
        <f>SUM(C12:C17)</f>
        <v/>
      </c>
      <c r="D19" s="33">
        <f>SUM(D12:D17)</f>
        <v/>
      </c>
      <c r="E19" s="33">
        <f>SUM(E12:E17)</f>
        <v/>
      </c>
      <c r="F19" s="33">
        <f>SUM(F12:F17)</f>
        <v/>
      </c>
      <c r="G19" s="34" t="inlineStr"/>
      <c r="H19" s="33">
        <f>SUM(H12:H17)</f>
        <v/>
      </c>
      <c r="I19" s="33">
        <f>SUM(I12:I17)</f>
        <v/>
      </c>
      <c r="J19" s="33">
        <f>SUM(J12:J17)</f>
        <v/>
      </c>
      <c r="K19" s="35">
        <f>IFERROR(F19/(SUM('마스터'!$J$8:$J$10)*'마스터'!$J$4*(17-12+1)),0)</f>
        <v/>
      </c>
    </row>
    <row r="20">
      <c r="B20" s="32" t="inlineStr">
        <is>
          <t>연간 합계</t>
        </is>
      </c>
      <c r="C20" s="33">
        <f>SUM(C6:C17)</f>
        <v/>
      </c>
      <c r="D20" s="33">
        <f>SUM(D6:D17)</f>
        <v/>
      </c>
      <c r="E20" s="33">
        <f>SUM(E6:E17)</f>
        <v/>
      </c>
      <c r="F20" s="33">
        <f>SUM(F6:F17)</f>
        <v/>
      </c>
      <c r="G20" s="34" t="inlineStr"/>
      <c r="H20" s="33">
        <f>SUM(H6:H17)</f>
        <v/>
      </c>
      <c r="I20" s="33">
        <f>SUM(I6:I17)</f>
        <v/>
      </c>
      <c r="J20" s="33">
        <f>SUM(J6:J17)</f>
        <v/>
      </c>
      <c r="K20" s="35">
        <f>IFERROR(F20/(SUM('마스터'!$J$8:$J$10)*'마스터'!$J$4*(17-6+1)),0)</f>
        <v/>
      </c>
    </row>
    <row r="23">
      <c r="B23" s="25" t="inlineStr">
        <is>
          <t>고객팀 x 직군 (연간 건수)</t>
        </is>
      </c>
      <c r="H23" s="25" t="inlineStr">
        <is>
          <t>게임타이틀별 (연간 MD)</t>
        </is>
      </c>
    </row>
    <row r="24">
      <c r="B24" s="36" t="inlineStr">
        <is>
          <t>팀\직군</t>
        </is>
      </c>
      <c r="C24" s="36" t="inlineStr">
        <is>
          <t>기획</t>
        </is>
      </c>
      <c r="D24" s="36" t="inlineStr">
        <is>
          <t>이미지</t>
        </is>
      </c>
      <c r="E24" s="36" t="inlineStr">
        <is>
          <t>영상</t>
        </is>
      </c>
      <c r="H24" s="36" t="inlineStr">
        <is>
          <t>타이틀</t>
        </is>
      </c>
      <c r="I24" s="36" t="inlineStr">
        <is>
          <t>건수</t>
        </is>
      </c>
      <c r="J24" s="36" t="inlineStr">
        <is>
          <t>MD</t>
        </is>
      </c>
    </row>
    <row r="25">
      <c r="B25" s="37" t="inlineStr">
        <is>
          <t>마케팅1팀</t>
        </is>
      </c>
      <c r="C25" s="38">
        <f>COUNTIFS('1월'!$C$8:$C$162,$B25,'1월'!$E$8:$E$162,C$24)+COUNTIFS('2월'!$C$8:$C$162,$B25,'2월'!$E$8:$E$162,C$24)+COUNTIFS('3월'!$C$8:$C$162,$B25,'3월'!$E$8:$E$162,C$24)+COUNTIFS('4월'!$C$8:$C$162,$B25,'4월'!$E$8:$E$162,C$24)+COUNTIFS('5월'!$C$8:$C$162,$B25,'5월'!$E$8:$E$162,C$24)+COUNTIFS('6월'!$C$8:$C$162,$B25,'6월'!$E$8:$E$162,C$24)+COUNTIFS('7월'!$C$8:$C$162,$B25,'7월'!$E$8:$E$162,C$24)+COUNTIFS('8월'!$C$8:$C$162,$B25,'8월'!$E$8:$E$162,C$24)+COUNTIFS('9월'!$C$8:$C$162,$B25,'9월'!$E$8:$E$162,C$24)+COUNTIFS('10월'!$C$8:$C$162,$B25,'10월'!$E$8:$E$162,C$24)+COUNTIFS('11월'!$C$8:$C$162,$B25,'11월'!$E$8:$E$162,C$24)+COUNTIFS('12월'!$C$8:$C$162,$B25,'12월'!$E$8:$E$162,C$24)</f>
        <v/>
      </c>
      <c r="D25" s="38">
        <f>COUNTIFS('1월'!$C$8:$C$162,$B25,'1월'!$E$8:$E$162,D$24)+COUNTIFS('2월'!$C$8:$C$162,$B25,'2월'!$E$8:$E$162,D$24)+COUNTIFS('3월'!$C$8:$C$162,$B25,'3월'!$E$8:$E$162,D$24)+COUNTIFS('4월'!$C$8:$C$162,$B25,'4월'!$E$8:$E$162,D$24)+COUNTIFS('5월'!$C$8:$C$162,$B25,'5월'!$E$8:$E$162,D$24)+COUNTIFS('6월'!$C$8:$C$162,$B25,'6월'!$E$8:$E$162,D$24)+COUNTIFS('7월'!$C$8:$C$162,$B25,'7월'!$E$8:$E$162,D$24)+COUNTIFS('8월'!$C$8:$C$162,$B25,'8월'!$E$8:$E$162,D$24)+COUNTIFS('9월'!$C$8:$C$162,$B25,'9월'!$E$8:$E$162,D$24)+COUNTIFS('10월'!$C$8:$C$162,$B25,'10월'!$E$8:$E$162,D$24)+COUNTIFS('11월'!$C$8:$C$162,$B25,'11월'!$E$8:$E$162,D$24)+COUNTIFS('12월'!$C$8:$C$162,$B25,'12월'!$E$8:$E$162,D$24)</f>
        <v/>
      </c>
      <c r="E25" s="38">
        <f>COUNTIFS('1월'!$C$8:$C$162,$B25,'1월'!$E$8:$E$162,E$24)+COUNTIFS('2월'!$C$8:$C$162,$B25,'2월'!$E$8:$E$162,E$24)+COUNTIFS('3월'!$C$8:$C$162,$B25,'3월'!$E$8:$E$162,E$24)+COUNTIFS('4월'!$C$8:$C$162,$B25,'4월'!$E$8:$E$162,E$24)+COUNTIFS('5월'!$C$8:$C$162,$B25,'5월'!$E$8:$E$162,E$24)+COUNTIFS('6월'!$C$8:$C$162,$B25,'6월'!$E$8:$E$162,E$24)+COUNTIFS('7월'!$C$8:$C$162,$B25,'7월'!$E$8:$E$162,E$24)+COUNTIFS('8월'!$C$8:$C$162,$B25,'8월'!$E$8:$E$162,E$24)+COUNTIFS('9월'!$C$8:$C$162,$B25,'9월'!$E$8:$E$162,E$24)+COUNTIFS('10월'!$C$8:$C$162,$B25,'10월'!$E$8:$E$162,E$24)+COUNTIFS('11월'!$C$8:$C$162,$B25,'11월'!$E$8:$E$162,E$24)+COUNTIFS('12월'!$C$8:$C$162,$B25,'12월'!$E$8:$E$162,E$24)</f>
        <v/>
      </c>
      <c r="H25" s="37" t="inlineStr">
        <is>
          <t>뱀피르</t>
        </is>
      </c>
      <c r="I25" s="38">
        <f>COUNTIF('1월'!$B$8:$B$162,$H25)+COUNTIF('2월'!$B$8:$B$162,$H25)+COUNTIF('3월'!$B$8:$B$162,$H25)+COUNTIF('4월'!$B$8:$B$162,$H25)+COUNTIF('5월'!$B$8:$B$162,$H25)+COUNTIF('6월'!$B$8:$B$162,$H25)+COUNTIF('7월'!$B$8:$B$162,$H25)+COUNTIF('8월'!$B$8:$B$162,$H25)+COUNTIF('9월'!$B$8:$B$162,$H25)+COUNTIF('10월'!$B$8:$B$162,$H25)+COUNTIF('11월'!$B$8:$B$162,$H25)+COUNTIF('12월'!$B$8:$B$162,$H25)</f>
        <v/>
      </c>
      <c r="J25" s="39">
        <f>SUMIF('1월'!$B$8:$B$162,$H25,'1월'!$K$8:$K$162)+SUMIF('2월'!$B$8:$B$162,$H25,'2월'!$K$8:$K$162)+SUMIF('3월'!$B$8:$B$162,$H25,'3월'!$K$8:$K$162)+SUMIF('4월'!$B$8:$B$162,$H25,'4월'!$K$8:$K$162)+SUMIF('5월'!$B$8:$B$162,$H25,'5월'!$K$8:$K$162)+SUMIF('6월'!$B$8:$B$162,$H25,'6월'!$K$8:$K$162)+SUMIF('7월'!$B$8:$B$162,$H25,'7월'!$K$8:$K$162)+SUMIF('8월'!$B$8:$B$162,$H25,'8월'!$K$8:$K$162)+SUMIF('9월'!$B$8:$B$162,$H25,'9월'!$K$8:$K$162)+SUMIF('10월'!$B$8:$B$162,$H25,'10월'!$K$8:$K$162)+SUMIF('11월'!$B$8:$B$162,$H25,'11월'!$K$8:$K$162)+SUMIF('12월'!$B$8:$B$162,$H25,'12월'!$K$8:$K$162)</f>
        <v/>
      </c>
    </row>
    <row r="26">
      <c r="B26" s="37" t="inlineStr">
        <is>
          <t>마케팅2팀</t>
        </is>
      </c>
      <c r="C26" s="38">
        <f>COUNTIFS('1월'!$C$8:$C$162,$B26,'1월'!$E$8:$E$162,C$24)+COUNTIFS('2월'!$C$8:$C$162,$B26,'2월'!$E$8:$E$162,C$24)+COUNTIFS('3월'!$C$8:$C$162,$B26,'3월'!$E$8:$E$162,C$24)+COUNTIFS('4월'!$C$8:$C$162,$B26,'4월'!$E$8:$E$162,C$24)+COUNTIFS('5월'!$C$8:$C$162,$B26,'5월'!$E$8:$E$162,C$24)+COUNTIFS('6월'!$C$8:$C$162,$B26,'6월'!$E$8:$E$162,C$24)+COUNTIFS('7월'!$C$8:$C$162,$B26,'7월'!$E$8:$E$162,C$24)+COUNTIFS('8월'!$C$8:$C$162,$B26,'8월'!$E$8:$E$162,C$24)+COUNTIFS('9월'!$C$8:$C$162,$B26,'9월'!$E$8:$E$162,C$24)+COUNTIFS('10월'!$C$8:$C$162,$B26,'10월'!$E$8:$E$162,C$24)+COUNTIFS('11월'!$C$8:$C$162,$B26,'11월'!$E$8:$E$162,C$24)+COUNTIFS('12월'!$C$8:$C$162,$B26,'12월'!$E$8:$E$162,C$24)</f>
        <v/>
      </c>
      <c r="D26" s="38">
        <f>COUNTIFS('1월'!$C$8:$C$162,$B26,'1월'!$E$8:$E$162,D$24)+COUNTIFS('2월'!$C$8:$C$162,$B26,'2월'!$E$8:$E$162,D$24)+COUNTIFS('3월'!$C$8:$C$162,$B26,'3월'!$E$8:$E$162,D$24)+COUNTIFS('4월'!$C$8:$C$162,$B26,'4월'!$E$8:$E$162,D$24)+COUNTIFS('5월'!$C$8:$C$162,$B26,'5월'!$E$8:$E$162,D$24)+COUNTIFS('6월'!$C$8:$C$162,$B26,'6월'!$E$8:$E$162,D$24)+COUNTIFS('7월'!$C$8:$C$162,$B26,'7월'!$E$8:$E$162,D$24)+COUNTIFS('8월'!$C$8:$C$162,$B26,'8월'!$E$8:$E$162,D$24)+COUNTIFS('9월'!$C$8:$C$162,$B26,'9월'!$E$8:$E$162,D$24)+COUNTIFS('10월'!$C$8:$C$162,$B26,'10월'!$E$8:$E$162,D$24)+COUNTIFS('11월'!$C$8:$C$162,$B26,'11월'!$E$8:$E$162,D$24)+COUNTIFS('12월'!$C$8:$C$162,$B26,'12월'!$E$8:$E$162,D$24)</f>
        <v/>
      </c>
      <c r="E26" s="38">
        <f>COUNTIFS('1월'!$C$8:$C$162,$B26,'1월'!$E$8:$E$162,E$24)+COUNTIFS('2월'!$C$8:$C$162,$B26,'2월'!$E$8:$E$162,E$24)+COUNTIFS('3월'!$C$8:$C$162,$B26,'3월'!$E$8:$E$162,E$24)+COUNTIFS('4월'!$C$8:$C$162,$B26,'4월'!$E$8:$E$162,E$24)+COUNTIFS('5월'!$C$8:$C$162,$B26,'5월'!$E$8:$E$162,E$24)+COUNTIFS('6월'!$C$8:$C$162,$B26,'6월'!$E$8:$E$162,E$24)+COUNTIFS('7월'!$C$8:$C$162,$B26,'7월'!$E$8:$E$162,E$24)+COUNTIFS('8월'!$C$8:$C$162,$B26,'8월'!$E$8:$E$162,E$24)+COUNTIFS('9월'!$C$8:$C$162,$B26,'9월'!$E$8:$E$162,E$24)+COUNTIFS('10월'!$C$8:$C$162,$B26,'10월'!$E$8:$E$162,E$24)+COUNTIFS('11월'!$C$8:$C$162,$B26,'11월'!$E$8:$E$162,E$24)+COUNTIFS('12월'!$C$8:$C$162,$B26,'12월'!$E$8:$E$162,E$24)</f>
        <v/>
      </c>
      <c r="H26" s="37" t="inlineStr">
        <is>
          <t>RF 글로벌</t>
        </is>
      </c>
      <c r="I26" s="38">
        <f>COUNTIF('1월'!$B$8:$B$162,$H26)+COUNTIF('2월'!$B$8:$B$162,$H26)+COUNTIF('3월'!$B$8:$B$162,$H26)+COUNTIF('4월'!$B$8:$B$162,$H26)+COUNTIF('5월'!$B$8:$B$162,$H26)+COUNTIF('6월'!$B$8:$B$162,$H26)+COUNTIF('7월'!$B$8:$B$162,$H26)+COUNTIF('8월'!$B$8:$B$162,$H26)+COUNTIF('9월'!$B$8:$B$162,$H26)+COUNTIF('10월'!$B$8:$B$162,$H26)+COUNTIF('11월'!$B$8:$B$162,$H26)+COUNTIF('12월'!$B$8:$B$162,$H26)</f>
        <v/>
      </c>
      <c r="J26" s="39">
        <f>SUMIF('1월'!$B$8:$B$162,$H26,'1월'!$K$8:$K$162)+SUMIF('2월'!$B$8:$B$162,$H26,'2월'!$K$8:$K$162)+SUMIF('3월'!$B$8:$B$162,$H26,'3월'!$K$8:$K$162)+SUMIF('4월'!$B$8:$B$162,$H26,'4월'!$K$8:$K$162)+SUMIF('5월'!$B$8:$B$162,$H26,'5월'!$K$8:$K$162)+SUMIF('6월'!$B$8:$B$162,$H26,'6월'!$K$8:$K$162)+SUMIF('7월'!$B$8:$B$162,$H26,'7월'!$K$8:$K$162)+SUMIF('8월'!$B$8:$B$162,$H26,'8월'!$K$8:$K$162)+SUMIF('9월'!$B$8:$B$162,$H26,'9월'!$K$8:$K$162)+SUMIF('10월'!$B$8:$B$162,$H26,'10월'!$K$8:$K$162)+SUMIF('11월'!$B$8:$B$162,$H26,'11월'!$K$8:$K$162)+SUMIF('12월'!$B$8:$B$162,$H26,'12월'!$K$8:$K$162)</f>
        <v/>
      </c>
    </row>
    <row r="27">
      <c r="B27" s="37" t="inlineStr">
        <is>
          <t>마케팅3팀</t>
        </is>
      </c>
      <c r="C27" s="38">
        <f>COUNTIFS('1월'!$C$8:$C$162,$B27,'1월'!$E$8:$E$162,C$24)+COUNTIFS('2월'!$C$8:$C$162,$B27,'2월'!$E$8:$E$162,C$24)+COUNTIFS('3월'!$C$8:$C$162,$B27,'3월'!$E$8:$E$162,C$24)+COUNTIFS('4월'!$C$8:$C$162,$B27,'4월'!$E$8:$E$162,C$24)+COUNTIFS('5월'!$C$8:$C$162,$B27,'5월'!$E$8:$E$162,C$24)+COUNTIFS('6월'!$C$8:$C$162,$B27,'6월'!$E$8:$E$162,C$24)+COUNTIFS('7월'!$C$8:$C$162,$B27,'7월'!$E$8:$E$162,C$24)+COUNTIFS('8월'!$C$8:$C$162,$B27,'8월'!$E$8:$E$162,C$24)+COUNTIFS('9월'!$C$8:$C$162,$B27,'9월'!$E$8:$E$162,C$24)+COUNTIFS('10월'!$C$8:$C$162,$B27,'10월'!$E$8:$E$162,C$24)+COUNTIFS('11월'!$C$8:$C$162,$B27,'11월'!$E$8:$E$162,C$24)+COUNTIFS('12월'!$C$8:$C$162,$B27,'12월'!$E$8:$E$162,C$24)</f>
        <v/>
      </c>
      <c r="D27" s="38">
        <f>COUNTIFS('1월'!$C$8:$C$162,$B27,'1월'!$E$8:$E$162,D$24)+COUNTIFS('2월'!$C$8:$C$162,$B27,'2월'!$E$8:$E$162,D$24)+COUNTIFS('3월'!$C$8:$C$162,$B27,'3월'!$E$8:$E$162,D$24)+COUNTIFS('4월'!$C$8:$C$162,$B27,'4월'!$E$8:$E$162,D$24)+COUNTIFS('5월'!$C$8:$C$162,$B27,'5월'!$E$8:$E$162,D$24)+COUNTIFS('6월'!$C$8:$C$162,$B27,'6월'!$E$8:$E$162,D$24)+COUNTIFS('7월'!$C$8:$C$162,$B27,'7월'!$E$8:$E$162,D$24)+COUNTIFS('8월'!$C$8:$C$162,$B27,'8월'!$E$8:$E$162,D$24)+COUNTIFS('9월'!$C$8:$C$162,$B27,'9월'!$E$8:$E$162,D$24)+COUNTIFS('10월'!$C$8:$C$162,$B27,'10월'!$E$8:$E$162,D$24)+COUNTIFS('11월'!$C$8:$C$162,$B27,'11월'!$E$8:$E$162,D$24)+COUNTIFS('12월'!$C$8:$C$162,$B27,'12월'!$E$8:$E$162,D$24)</f>
        <v/>
      </c>
      <c r="E27" s="38">
        <f>COUNTIFS('1월'!$C$8:$C$162,$B27,'1월'!$E$8:$E$162,E$24)+COUNTIFS('2월'!$C$8:$C$162,$B27,'2월'!$E$8:$E$162,E$24)+COUNTIFS('3월'!$C$8:$C$162,$B27,'3월'!$E$8:$E$162,E$24)+COUNTIFS('4월'!$C$8:$C$162,$B27,'4월'!$E$8:$E$162,E$24)+COUNTIFS('5월'!$C$8:$C$162,$B27,'5월'!$E$8:$E$162,E$24)+COUNTIFS('6월'!$C$8:$C$162,$B27,'6월'!$E$8:$E$162,E$24)+COUNTIFS('7월'!$C$8:$C$162,$B27,'7월'!$E$8:$E$162,E$24)+COUNTIFS('8월'!$C$8:$C$162,$B27,'8월'!$E$8:$E$162,E$24)+COUNTIFS('9월'!$C$8:$C$162,$B27,'9월'!$E$8:$E$162,E$24)+COUNTIFS('10월'!$C$8:$C$162,$B27,'10월'!$E$8:$E$162,E$24)+COUNTIFS('11월'!$C$8:$C$162,$B27,'11월'!$E$8:$E$162,E$24)+COUNTIFS('12월'!$C$8:$C$162,$B27,'12월'!$E$8:$E$162,E$24)</f>
        <v/>
      </c>
      <c r="H27" s="37" t="inlineStr">
        <is>
          <t>SOL 인챈트</t>
        </is>
      </c>
      <c r="I27" s="38">
        <f>COUNTIF('1월'!$B$8:$B$162,$H27)+COUNTIF('2월'!$B$8:$B$162,$H27)+COUNTIF('3월'!$B$8:$B$162,$H27)+COUNTIF('4월'!$B$8:$B$162,$H27)+COUNTIF('5월'!$B$8:$B$162,$H27)+COUNTIF('6월'!$B$8:$B$162,$H27)+COUNTIF('7월'!$B$8:$B$162,$H27)+COUNTIF('8월'!$B$8:$B$162,$H27)+COUNTIF('9월'!$B$8:$B$162,$H27)+COUNTIF('10월'!$B$8:$B$162,$H27)+COUNTIF('11월'!$B$8:$B$162,$H27)+COUNTIF('12월'!$B$8:$B$162,$H27)</f>
        <v/>
      </c>
      <c r="J27" s="39">
        <f>SUMIF('1월'!$B$8:$B$162,$H27,'1월'!$K$8:$K$162)+SUMIF('2월'!$B$8:$B$162,$H27,'2월'!$K$8:$K$162)+SUMIF('3월'!$B$8:$B$162,$H27,'3월'!$K$8:$K$162)+SUMIF('4월'!$B$8:$B$162,$H27,'4월'!$K$8:$K$162)+SUMIF('5월'!$B$8:$B$162,$H27,'5월'!$K$8:$K$162)+SUMIF('6월'!$B$8:$B$162,$H27,'6월'!$K$8:$K$162)+SUMIF('7월'!$B$8:$B$162,$H27,'7월'!$K$8:$K$162)+SUMIF('8월'!$B$8:$B$162,$H27,'8월'!$K$8:$K$162)+SUMIF('9월'!$B$8:$B$162,$H27,'9월'!$K$8:$K$162)+SUMIF('10월'!$B$8:$B$162,$H27,'10월'!$K$8:$K$162)+SUMIF('11월'!$B$8:$B$162,$H27,'11월'!$K$8:$K$162)+SUMIF('12월'!$B$8:$B$162,$H27,'12월'!$K$8:$K$162)</f>
        <v/>
      </c>
    </row>
    <row r="28">
      <c r="B28" s="37" t="inlineStr">
        <is>
          <t>마케팅4팀</t>
        </is>
      </c>
      <c r="C28" s="38">
        <f>COUNTIFS('1월'!$C$8:$C$162,$B28,'1월'!$E$8:$E$162,C$24)+COUNTIFS('2월'!$C$8:$C$162,$B28,'2월'!$E$8:$E$162,C$24)+COUNTIFS('3월'!$C$8:$C$162,$B28,'3월'!$E$8:$E$162,C$24)+COUNTIFS('4월'!$C$8:$C$162,$B28,'4월'!$E$8:$E$162,C$24)+COUNTIFS('5월'!$C$8:$C$162,$B28,'5월'!$E$8:$E$162,C$24)+COUNTIFS('6월'!$C$8:$C$162,$B28,'6월'!$E$8:$E$162,C$24)+COUNTIFS('7월'!$C$8:$C$162,$B28,'7월'!$E$8:$E$162,C$24)+COUNTIFS('8월'!$C$8:$C$162,$B28,'8월'!$E$8:$E$162,C$24)+COUNTIFS('9월'!$C$8:$C$162,$B28,'9월'!$E$8:$E$162,C$24)+COUNTIFS('10월'!$C$8:$C$162,$B28,'10월'!$E$8:$E$162,C$24)+COUNTIFS('11월'!$C$8:$C$162,$B28,'11월'!$E$8:$E$162,C$24)+COUNTIFS('12월'!$C$8:$C$162,$B28,'12월'!$E$8:$E$162,C$24)</f>
        <v/>
      </c>
      <c r="D28" s="38">
        <f>COUNTIFS('1월'!$C$8:$C$162,$B28,'1월'!$E$8:$E$162,D$24)+COUNTIFS('2월'!$C$8:$C$162,$B28,'2월'!$E$8:$E$162,D$24)+COUNTIFS('3월'!$C$8:$C$162,$B28,'3월'!$E$8:$E$162,D$24)+COUNTIFS('4월'!$C$8:$C$162,$B28,'4월'!$E$8:$E$162,D$24)+COUNTIFS('5월'!$C$8:$C$162,$B28,'5월'!$E$8:$E$162,D$24)+COUNTIFS('6월'!$C$8:$C$162,$B28,'6월'!$E$8:$E$162,D$24)+COUNTIFS('7월'!$C$8:$C$162,$B28,'7월'!$E$8:$E$162,D$24)+COUNTIFS('8월'!$C$8:$C$162,$B28,'8월'!$E$8:$E$162,D$24)+COUNTIFS('9월'!$C$8:$C$162,$B28,'9월'!$E$8:$E$162,D$24)+COUNTIFS('10월'!$C$8:$C$162,$B28,'10월'!$E$8:$E$162,D$24)+COUNTIFS('11월'!$C$8:$C$162,$B28,'11월'!$E$8:$E$162,D$24)+COUNTIFS('12월'!$C$8:$C$162,$B28,'12월'!$E$8:$E$162,D$24)</f>
        <v/>
      </c>
      <c r="E28" s="38">
        <f>COUNTIFS('1월'!$C$8:$C$162,$B28,'1월'!$E$8:$E$162,E$24)+COUNTIFS('2월'!$C$8:$C$162,$B28,'2월'!$E$8:$E$162,E$24)+COUNTIFS('3월'!$C$8:$C$162,$B28,'3월'!$E$8:$E$162,E$24)+COUNTIFS('4월'!$C$8:$C$162,$B28,'4월'!$E$8:$E$162,E$24)+COUNTIFS('5월'!$C$8:$C$162,$B28,'5월'!$E$8:$E$162,E$24)+COUNTIFS('6월'!$C$8:$C$162,$B28,'6월'!$E$8:$E$162,E$24)+COUNTIFS('7월'!$C$8:$C$162,$B28,'7월'!$E$8:$E$162,E$24)+COUNTIFS('8월'!$C$8:$C$162,$B28,'8월'!$E$8:$E$162,E$24)+COUNTIFS('9월'!$C$8:$C$162,$B28,'9월'!$E$8:$E$162,E$24)+COUNTIFS('10월'!$C$8:$C$162,$B28,'10월'!$E$8:$E$162,E$24)+COUNTIFS('11월'!$C$8:$C$162,$B28,'11월'!$E$8:$E$162,E$24)+COUNTIFS('12월'!$C$8:$C$162,$B28,'12월'!$E$8:$E$162,E$24)</f>
        <v/>
      </c>
      <c r="H28" s="37" t="inlineStr">
        <is>
          <t>스톤에이지펫월드</t>
        </is>
      </c>
      <c r="I28" s="38">
        <f>COUNTIF('1월'!$B$8:$B$162,$H28)+COUNTIF('2월'!$B$8:$B$162,$H28)+COUNTIF('3월'!$B$8:$B$162,$H28)+COUNTIF('4월'!$B$8:$B$162,$H28)+COUNTIF('5월'!$B$8:$B$162,$H28)+COUNTIF('6월'!$B$8:$B$162,$H28)+COUNTIF('7월'!$B$8:$B$162,$H28)+COUNTIF('8월'!$B$8:$B$162,$H28)+COUNTIF('9월'!$B$8:$B$162,$H28)+COUNTIF('10월'!$B$8:$B$162,$H28)+COUNTIF('11월'!$B$8:$B$162,$H28)+COUNTIF('12월'!$B$8:$B$162,$H28)</f>
        <v/>
      </c>
      <c r="J28" s="39">
        <f>SUMIF('1월'!$B$8:$B$162,$H28,'1월'!$K$8:$K$162)+SUMIF('2월'!$B$8:$B$162,$H28,'2월'!$K$8:$K$162)+SUMIF('3월'!$B$8:$B$162,$H28,'3월'!$K$8:$K$162)+SUMIF('4월'!$B$8:$B$162,$H28,'4월'!$K$8:$K$162)+SUMIF('5월'!$B$8:$B$162,$H28,'5월'!$K$8:$K$162)+SUMIF('6월'!$B$8:$B$162,$H28,'6월'!$K$8:$K$162)+SUMIF('7월'!$B$8:$B$162,$H28,'7월'!$K$8:$K$162)+SUMIF('8월'!$B$8:$B$162,$H28,'8월'!$K$8:$K$162)+SUMIF('9월'!$B$8:$B$162,$H28,'9월'!$K$8:$K$162)+SUMIF('10월'!$B$8:$B$162,$H28,'10월'!$K$8:$K$162)+SUMIF('11월'!$B$8:$B$162,$H28,'11월'!$K$8:$K$162)+SUMIF('12월'!$B$8:$B$162,$H28,'12월'!$K$8:$K$162)</f>
        <v/>
      </c>
    </row>
    <row r="29">
      <c r="B29" s="37" t="inlineStr">
        <is>
          <t>기타</t>
        </is>
      </c>
      <c r="C29" s="38">
        <f>COUNTIFS('1월'!$C$8:$C$162,$B29,'1월'!$E$8:$E$162,C$24)+COUNTIFS('2월'!$C$8:$C$162,$B29,'2월'!$E$8:$E$162,C$24)+COUNTIFS('3월'!$C$8:$C$162,$B29,'3월'!$E$8:$E$162,C$24)+COUNTIFS('4월'!$C$8:$C$162,$B29,'4월'!$E$8:$E$162,C$24)+COUNTIFS('5월'!$C$8:$C$162,$B29,'5월'!$E$8:$E$162,C$24)+COUNTIFS('6월'!$C$8:$C$162,$B29,'6월'!$E$8:$E$162,C$24)+COUNTIFS('7월'!$C$8:$C$162,$B29,'7월'!$E$8:$E$162,C$24)+COUNTIFS('8월'!$C$8:$C$162,$B29,'8월'!$E$8:$E$162,C$24)+COUNTIFS('9월'!$C$8:$C$162,$B29,'9월'!$E$8:$E$162,C$24)+COUNTIFS('10월'!$C$8:$C$162,$B29,'10월'!$E$8:$E$162,C$24)+COUNTIFS('11월'!$C$8:$C$162,$B29,'11월'!$E$8:$E$162,C$24)+COUNTIFS('12월'!$C$8:$C$162,$B29,'12월'!$E$8:$E$162,C$24)</f>
        <v/>
      </c>
      <c r="D29" s="38">
        <f>COUNTIFS('1월'!$C$8:$C$162,$B29,'1월'!$E$8:$E$162,D$24)+COUNTIFS('2월'!$C$8:$C$162,$B29,'2월'!$E$8:$E$162,D$24)+COUNTIFS('3월'!$C$8:$C$162,$B29,'3월'!$E$8:$E$162,D$24)+COUNTIFS('4월'!$C$8:$C$162,$B29,'4월'!$E$8:$E$162,D$24)+COUNTIFS('5월'!$C$8:$C$162,$B29,'5월'!$E$8:$E$162,D$24)+COUNTIFS('6월'!$C$8:$C$162,$B29,'6월'!$E$8:$E$162,D$24)+COUNTIFS('7월'!$C$8:$C$162,$B29,'7월'!$E$8:$E$162,D$24)+COUNTIFS('8월'!$C$8:$C$162,$B29,'8월'!$E$8:$E$162,D$24)+COUNTIFS('9월'!$C$8:$C$162,$B29,'9월'!$E$8:$E$162,D$24)+COUNTIFS('10월'!$C$8:$C$162,$B29,'10월'!$E$8:$E$162,D$24)+COUNTIFS('11월'!$C$8:$C$162,$B29,'11월'!$E$8:$E$162,D$24)+COUNTIFS('12월'!$C$8:$C$162,$B29,'12월'!$E$8:$E$162,D$24)</f>
        <v/>
      </c>
      <c r="E29" s="38">
        <f>COUNTIFS('1월'!$C$8:$C$162,$B29,'1월'!$E$8:$E$162,E$24)+COUNTIFS('2월'!$C$8:$C$162,$B29,'2월'!$E$8:$E$162,E$24)+COUNTIFS('3월'!$C$8:$C$162,$B29,'3월'!$E$8:$E$162,E$24)+COUNTIFS('4월'!$C$8:$C$162,$B29,'4월'!$E$8:$E$162,E$24)+COUNTIFS('5월'!$C$8:$C$162,$B29,'5월'!$E$8:$E$162,E$24)+COUNTIFS('6월'!$C$8:$C$162,$B29,'6월'!$E$8:$E$162,E$24)+COUNTIFS('7월'!$C$8:$C$162,$B29,'7월'!$E$8:$E$162,E$24)+COUNTIFS('8월'!$C$8:$C$162,$B29,'8월'!$E$8:$E$162,E$24)+COUNTIFS('9월'!$C$8:$C$162,$B29,'9월'!$E$8:$E$162,E$24)+COUNTIFS('10월'!$C$8:$C$162,$B29,'10월'!$E$8:$E$162,E$24)+COUNTIFS('11월'!$C$8:$C$162,$B29,'11월'!$E$8:$E$162,E$24)+COUNTIFS('12월'!$C$8:$C$162,$B29,'12월'!$E$8:$E$162,E$24)</f>
        <v/>
      </c>
      <c r="H29" s="37" t="inlineStr">
        <is>
          <t>칠대죄오리진</t>
        </is>
      </c>
      <c r="I29" s="38">
        <f>COUNTIF('1월'!$B$8:$B$162,$H29)+COUNTIF('2월'!$B$8:$B$162,$H29)+COUNTIF('3월'!$B$8:$B$162,$H29)+COUNTIF('4월'!$B$8:$B$162,$H29)+COUNTIF('5월'!$B$8:$B$162,$H29)+COUNTIF('6월'!$B$8:$B$162,$H29)+COUNTIF('7월'!$B$8:$B$162,$H29)+COUNTIF('8월'!$B$8:$B$162,$H29)+COUNTIF('9월'!$B$8:$B$162,$H29)+COUNTIF('10월'!$B$8:$B$162,$H29)+COUNTIF('11월'!$B$8:$B$162,$H29)+COUNTIF('12월'!$B$8:$B$162,$H29)</f>
        <v/>
      </c>
      <c r="J29" s="39">
        <f>SUMIF('1월'!$B$8:$B$162,$H29,'1월'!$K$8:$K$162)+SUMIF('2월'!$B$8:$B$162,$H29,'2월'!$K$8:$K$162)+SUMIF('3월'!$B$8:$B$162,$H29,'3월'!$K$8:$K$162)+SUMIF('4월'!$B$8:$B$162,$H29,'4월'!$K$8:$K$162)+SUMIF('5월'!$B$8:$B$162,$H29,'5월'!$K$8:$K$162)+SUMIF('6월'!$B$8:$B$162,$H29,'6월'!$K$8:$K$162)+SUMIF('7월'!$B$8:$B$162,$H29,'7월'!$K$8:$K$162)+SUMIF('8월'!$B$8:$B$162,$H29,'8월'!$K$8:$K$162)+SUMIF('9월'!$B$8:$B$162,$H29,'9월'!$K$8:$K$162)+SUMIF('10월'!$B$8:$B$162,$H29,'10월'!$K$8:$K$162)+SUMIF('11월'!$B$8:$B$162,$H29,'11월'!$K$8:$K$162)+SUMIF('12월'!$B$8:$B$162,$H29,'12월'!$K$8:$K$162)</f>
        <v/>
      </c>
    </row>
    <row r="30">
      <c r="H30" s="37" t="inlineStr">
        <is>
          <t>세나리버스</t>
        </is>
      </c>
      <c r="I30" s="38">
        <f>COUNTIF('1월'!$B$8:$B$162,$H30)+COUNTIF('2월'!$B$8:$B$162,$H30)+COUNTIF('3월'!$B$8:$B$162,$H30)+COUNTIF('4월'!$B$8:$B$162,$H30)+COUNTIF('5월'!$B$8:$B$162,$H30)+COUNTIF('6월'!$B$8:$B$162,$H30)+COUNTIF('7월'!$B$8:$B$162,$H30)+COUNTIF('8월'!$B$8:$B$162,$H30)+COUNTIF('9월'!$B$8:$B$162,$H30)+COUNTIF('10월'!$B$8:$B$162,$H30)+COUNTIF('11월'!$B$8:$B$162,$H30)+COUNTIF('12월'!$B$8:$B$162,$H30)</f>
        <v/>
      </c>
      <c r="J30" s="39">
        <f>SUMIF('1월'!$B$8:$B$162,$H30,'1월'!$K$8:$K$162)+SUMIF('2월'!$B$8:$B$162,$H30,'2월'!$K$8:$K$162)+SUMIF('3월'!$B$8:$B$162,$H30,'3월'!$K$8:$K$162)+SUMIF('4월'!$B$8:$B$162,$H30,'4월'!$K$8:$K$162)+SUMIF('5월'!$B$8:$B$162,$H30,'5월'!$K$8:$K$162)+SUMIF('6월'!$B$8:$B$162,$H30,'6월'!$K$8:$K$162)+SUMIF('7월'!$B$8:$B$162,$H30,'7월'!$K$8:$K$162)+SUMIF('8월'!$B$8:$B$162,$H30,'8월'!$K$8:$K$162)+SUMIF('9월'!$B$8:$B$162,$H30,'9월'!$K$8:$K$162)+SUMIF('10월'!$B$8:$B$162,$H30,'10월'!$K$8:$K$162)+SUMIF('11월'!$B$8:$B$162,$H30,'11월'!$K$8:$K$162)+SUMIF('12월'!$B$8:$B$162,$H30,'12월'!$K$8:$K$162)</f>
        <v/>
      </c>
    </row>
    <row r="31">
      <c r="H31" s="37" t="inlineStr">
        <is>
          <t>몬길</t>
        </is>
      </c>
      <c r="I31" s="38">
        <f>COUNTIF('1월'!$B$8:$B$162,$H31)+COUNTIF('2월'!$B$8:$B$162,$H31)+COUNTIF('3월'!$B$8:$B$162,$H31)+COUNTIF('4월'!$B$8:$B$162,$H31)+COUNTIF('5월'!$B$8:$B$162,$H31)+COUNTIF('6월'!$B$8:$B$162,$H31)+COUNTIF('7월'!$B$8:$B$162,$H31)+COUNTIF('8월'!$B$8:$B$162,$H31)+COUNTIF('9월'!$B$8:$B$162,$H31)+COUNTIF('10월'!$B$8:$B$162,$H31)+COUNTIF('11월'!$B$8:$B$162,$H31)+COUNTIF('12월'!$B$8:$B$162,$H31)</f>
        <v/>
      </c>
      <c r="J31" s="39">
        <f>SUMIF('1월'!$B$8:$B$162,$H31,'1월'!$K$8:$K$162)+SUMIF('2월'!$B$8:$B$162,$H31,'2월'!$K$8:$K$162)+SUMIF('3월'!$B$8:$B$162,$H31,'3월'!$K$8:$K$162)+SUMIF('4월'!$B$8:$B$162,$H31,'4월'!$K$8:$K$162)+SUMIF('5월'!$B$8:$B$162,$H31,'5월'!$K$8:$K$162)+SUMIF('6월'!$B$8:$B$162,$H31,'6월'!$K$8:$K$162)+SUMIF('7월'!$B$8:$B$162,$H31,'7월'!$K$8:$K$162)+SUMIF('8월'!$B$8:$B$162,$H31,'8월'!$K$8:$K$162)+SUMIF('9월'!$B$8:$B$162,$H31,'9월'!$K$8:$K$162)+SUMIF('10월'!$B$8:$B$162,$H31,'10월'!$K$8:$K$162)+SUMIF('11월'!$B$8:$B$162,$H31,'11월'!$K$8:$K$162)+SUMIF('12월'!$B$8:$B$162,$H31,'12월'!$K$8:$K$162)</f>
        <v/>
      </c>
    </row>
    <row r="32">
      <c r="H32" s="37" t="inlineStr">
        <is>
          <t>왕겜(GOT)</t>
        </is>
      </c>
      <c r="I32" s="38">
        <f>COUNTIF('1월'!$B$8:$B$162,$H32)+COUNTIF('2월'!$B$8:$B$162,$H32)+COUNTIF('3월'!$B$8:$B$162,$H32)+COUNTIF('4월'!$B$8:$B$162,$H32)+COUNTIF('5월'!$B$8:$B$162,$H32)+COUNTIF('6월'!$B$8:$B$162,$H32)+COUNTIF('7월'!$B$8:$B$162,$H32)+COUNTIF('8월'!$B$8:$B$162,$H32)+COUNTIF('9월'!$B$8:$B$162,$H32)+COUNTIF('10월'!$B$8:$B$162,$H32)+COUNTIF('11월'!$B$8:$B$162,$H32)+COUNTIF('12월'!$B$8:$B$162,$H32)</f>
        <v/>
      </c>
      <c r="J32" s="39">
        <f>SUMIF('1월'!$B$8:$B$162,$H32,'1월'!$K$8:$K$162)+SUMIF('2월'!$B$8:$B$162,$H32,'2월'!$K$8:$K$162)+SUMIF('3월'!$B$8:$B$162,$H32,'3월'!$K$8:$K$162)+SUMIF('4월'!$B$8:$B$162,$H32,'4월'!$K$8:$K$162)+SUMIF('5월'!$B$8:$B$162,$H32,'5월'!$K$8:$K$162)+SUMIF('6월'!$B$8:$B$162,$H32,'6월'!$K$8:$K$162)+SUMIF('7월'!$B$8:$B$162,$H32,'7월'!$K$8:$K$162)+SUMIF('8월'!$B$8:$B$162,$H32,'8월'!$K$8:$K$162)+SUMIF('9월'!$B$8:$B$162,$H32,'9월'!$K$8:$K$162)+SUMIF('10월'!$B$8:$B$162,$H32,'10월'!$K$8:$K$162)+SUMIF('11월'!$B$8:$B$162,$H32,'11월'!$K$8:$K$162)+SUMIF('12월'!$B$8:$B$162,$H32,'12월'!$K$8:$K$162)</f>
        <v/>
      </c>
    </row>
    <row r="33">
      <c r="H33" s="37" t="inlineStr">
        <is>
          <t>몬스터길들이기</t>
        </is>
      </c>
      <c r="I33" s="38">
        <f>COUNTIF('1월'!$B$8:$B$162,$H33)+COUNTIF('2월'!$B$8:$B$162,$H33)+COUNTIF('3월'!$B$8:$B$162,$H33)+COUNTIF('4월'!$B$8:$B$162,$H33)+COUNTIF('5월'!$B$8:$B$162,$H33)+COUNTIF('6월'!$B$8:$B$162,$H33)+COUNTIF('7월'!$B$8:$B$162,$H33)+COUNTIF('8월'!$B$8:$B$162,$H33)+COUNTIF('9월'!$B$8:$B$162,$H33)+COUNTIF('10월'!$B$8:$B$162,$H33)+COUNTIF('11월'!$B$8:$B$162,$H33)+COUNTIF('12월'!$B$8:$B$162,$H33)</f>
        <v/>
      </c>
      <c r="J33" s="39">
        <f>SUMIF('1월'!$B$8:$B$162,$H33,'1월'!$K$8:$K$162)+SUMIF('2월'!$B$8:$B$162,$H33,'2월'!$K$8:$K$162)+SUMIF('3월'!$B$8:$B$162,$H33,'3월'!$K$8:$K$162)+SUMIF('4월'!$B$8:$B$162,$H33,'4월'!$K$8:$K$162)+SUMIF('5월'!$B$8:$B$162,$H33,'5월'!$K$8:$K$162)+SUMIF('6월'!$B$8:$B$162,$H33,'6월'!$K$8:$K$162)+SUMIF('7월'!$B$8:$B$162,$H33,'7월'!$K$8:$K$162)+SUMIF('8월'!$B$8:$B$162,$H33,'8월'!$K$8:$K$162)+SUMIF('9월'!$B$8:$B$162,$H33,'9월'!$K$8:$K$162)+SUMIF('10월'!$B$8:$B$162,$H33,'10월'!$K$8:$K$162)+SUMIF('11월'!$B$8:$B$162,$H33,'11월'!$K$8:$K$162)+SUMIF('12월'!$B$8:$B$162,$H33,'12월'!$K$8:$K$162)</f>
        <v/>
      </c>
    </row>
    <row r="34">
      <c r="H34" s="37" t="inlineStr">
        <is>
          <t>라이즈오브</t>
        </is>
      </c>
      <c r="I34" s="38">
        <f>COUNTIF('1월'!$B$8:$B$162,$H34)+COUNTIF('2월'!$B$8:$B$162,$H34)+COUNTIF('3월'!$B$8:$B$162,$H34)+COUNTIF('4월'!$B$8:$B$162,$H34)+COUNTIF('5월'!$B$8:$B$162,$H34)+COUNTIF('6월'!$B$8:$B$162,$H34)+COUNTIF('7월'!$B$8:$B$162,$H34)+COUNTIF('8월'!$B$8:$B$162,$H34)+COUNTIF('9월'!$B$8:$B$162,$H34)+COUNTIF('10월'!$B$8:$B$162,$H34)+COUNTIF('11월'!$B$8:$B$162,$H34)+COUNTIF('12월'!$B$8:$B$162,$H34)</f>
        <v/>
      </c>
      <c r="J34" s="39">
        <f>SUMIF('1월'!$B$8:$B$162,$H34,'1월'!$K$8:$K$162)+SUMIF('2월'!$B$8:$B$162,$H34,'2월'!$K$8:$K$162)+SUMIF('3월'!$B$8:$B$162,$H34,'3월'!$K$8:$K$162)+SUMIF('4월'!$B$8:$B$162,$H34,'4월'!$K$8:$K$162)+SUMIF('5월'!$B$8:$B$162,$H34,'5월'!$K$8:$K$162)+SUMIF('6월'!$B$8:$B$162,$H34,'6월'!$K$8:$K$162)+SUMIF('7월'!$B$8:$B$162,$H34,'7월'!$K$8:$K$162)+SUMIF('8월'!$B$8:$B$162,$H34,'8월'!$K$8:$K$162)+SUMIF('9월'!$B$8:$B$162,$H34,'9월'!$K$8:$K$162)+SUMIF('10월'!$B$8:$B$162,$H34,'10월'!$K$8:$K$162)+SUMIF('11월'!$B$8:$B$162,$H34,'11월'!$K$8:$K$162)+SUMIF('12월'!$B$8:$B$162,$H34,'12월'!$K$8:$K$162)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1월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1월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DATE('마스터'!$J$3,1,1)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2월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2월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DATE('마스터'!$J$3,2,1)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3월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3월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DATE('마스터'!$J$3,3,1)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4월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4월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DATE('마스터'!$J$3,4,1)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5월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5월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DATE('마스터'!$J$3,5,1)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6월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6월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DATE('마스터'!$J$3,6,1)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7월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7월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DATE('마스터'!$J$3,7,1)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inlineStr">
        <is>
          <t>뱀피르</t>
        </is>
      </c>
      <c r="C9" s="53" t="inlineStr">
        <is>
          <t>마케팅1팀</t>
        </is>
      </c>
      <c r="D9" s="52" t="inlineStr">
        <is>
          <t>VAM_200024_보스KV</t>
        </is>
      </c>
      <c r="E9" s="54" t="inlineStr">
        <is>
          <t>이미지</t>
        </is>
      </c>
      <c r="F9" s="52" t="inlineStr">
        <is>
          <t>구유진</t>
        </is>
      </c>
      <c r="G9" s="55">
        <f>DATE(2026,7,7)</f>
        <v/>
      </c>
      <c r="H9" s="54" t="n">
        <v>0</v>
      </c>
      <c r="I9" s="54" t="n">
        <v>0</v>
      </c>
      <c r="J9" s="54" t="n">
        <v>0</v>
      </c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inlineStr">
        <is>
          <t>완료</t>
        </is>
      </c>
      <c r="P9" s="61" t="inlineStr">
        <is>
          <t>Freepik</t>
        </is>
      </c>
      <c r="U9" s="62" t="n"/>
      <c r="V9" s="62" t="n"/>
      <c r="W9" s="62" t="n"/>
      <c r="X9" s="62" t="n"/>
      <c r="Y9" s="62" t="n"/>
      <c r="Z9" s="62" t="n">
        <v>0.6</v>
      </c>
      <c r="AA9" s="62" t="n">
        <v>0.4</v>
      </c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8월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8월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DATE('마스터'!$J$3,8,1)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inlineStr">
        <is>
          <t>세나리버스</t>
        </is>
      </c>
      <c r="C40" s="65" t="inlineStr">
        <is>
          <t>마케팅2팀</t>
        </is>
      </c>
      <c r="D40" s="52" t="inlineStr">
        <is>
          <t>TSKGB_엔드카드</t>
        </is>
      </c>
      <c r="E40" s="54" t="inlineStr">
        <is>
          <t>영상</t>
        </is>
      </c>
      <c r="F40" s="52" t="inlineStr">
        <is>
          <t>강민우</t>
        </is>
      </c>
      <c r="G40" s="55">
        <f>DATE(2026,8,6)</f>
        <v/>
      </c>
      <c r="H40" s="54" t="n">
        <v>1</v>
      </c>
      <c r="I40" s="54" t="n">
        <v>1</v>
      </c>
      <c r="J40" s="54" t="n">
        <v>0</v>
      </c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inlineStr">
        <is>
          <t>검수</t>
        </is>
      </c>
      <c r="P40" s="61" t="inlineStr">
        <is>
          <t>Seedance</t>
        </is>
      </c>
      <c r="U40" s="62" t="n"/>
      <c r="V40" s="62" t="n"/>
      <c r="W40" s="62" t="n"/>
      <c r="X40" s="62" t="n">
        <v>1</v>
      </c>
      <c r="Y40" s="62" t="n">
        <v>1</v>
      </c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inlineStr">
        <is>
          <t>SOL 인챈트</t>
        </is>
      </c>
      <c r="C71" s="68" t="inlineStr">
        <is>
          <t>마케팅3팀</t>
        </is>
      </c>
      <c r="D71" s="52" t="inlineStr">
        <is>
          <t>SOL_000120_카운트다운</t>
        </is>
      </c>
      <c r="E71" s="54" t="inlineStr">
        <is>
          <t>기획</t>
        </is>
      </c>
      <c r="F71" s="52" t="inlineStr">
        <is>
          <t>최한은</t>
        </is>
      </c>
      <c r="G71" s="55">
        <f>DATE(2026,8,5)</f>
        <v/>
      </c>
      <c r="H71" s="54" t="n">
        <v>0</v>
      </c>
      <c r="I71" s="54" t="n">
        <v>0</v>
      </c>
      <c r="J71" s="54" t="n">
        <v>0</v>
      </c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inlineStr">
        <is>
          <t>완료</t>
        </is>
      </c>
      <c r="P71" s="61" t="inlineStr">
        <is>
          <t>Chatgpt</t>
        </is>
      </c>
      <c r="U71" s="62" t="n"/>
      <c r="V71" s="62" t="n"/>
      <c r="W71" s="62" t="n"/>
      <c r="X71" s="62" t="n"/>
      <c r="Y71" s="62" t="n">
        <v>0.3</v>
      </c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inlineStr">
        <is>
          <t>SOL 인챈트</t>
        </is>
      </c>
      <c r="C72" s="68" t="inlineStr">
        <is>
          <t>마케팅3팀</t>
        </is>
      </c>
      <c r="D72" s="52" t="inlineStr">
        <is>
          <t>SOL_000120_카운트다운</t>
        </is>
      </c>
      <c r="E72" s="54" t="inlineStr">
        <is>
          <t>이미지</t>
        </is>
      </c>
      <c r="F72" s="52" t="inlineStr">
        <is>
          <t>김민성</t>
        </is>
      </c>
      <c r="G72" s="55">
        <f>DATE(2026,8,5)</f>
        <v/>
      </c>
      <c r="H72" s="54" t="n">
        <v>0</v>
      </c>
      <c r="I72" s="54" t="n">
        <v>0</v>
      </c>
      <c r="J72" s="54" t="n">
        <v>0</v>
      </c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inlineStr">
        <is>
          <t>완료</t>
        </is>
      </c>
      <c r="P72" s="61" t="inlineStr">
        <is>
          <t>Freepik</t>
        </is>
      </c>
      <c r="U72" s="62" t="n"/>
      <c r="V72" s="62" t="n"/>
      <c r="W72" s="62" t="n"/>
      <c r="X72" s="62" t="n"/>
      <c r="Y72" s="62" t="n">
        <v>1.5</v>
      </c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inlineStr">
        <is>
          <t>SOL 인챈트</t>
        </is>
      </c>
      <c r="C73" s="68" t="inlineStr">
        <is>
          <t>마케팅3팀</t>
        </is>
      </c>
      <c r="D73" s="52" t="inlineStr">
        <is>
          <t>SOL_000120_카운트다운</t>
        </is>
      </c>
      <c r="E73" s="54" t="inlineStr">
        <is>
          <t>영상</t>
        </is>
      </c>
      <c r="F73" s="52" t="inlineStr">
        <is>
          <t>강승일</t>
        </is>
      </c>
      <c r="G73" s="55">
        <f>DATE(2026,8,7)</f>
        <v/>
      </c>
      <c r="H73" s="54" t="n">
        <v>1</v>
      </c>
      <c r="I73" s="54" t="n">
        <v>0</v>
      </c>
      <c r="J73" s="54" t="n">
        <v>0</v>
      </c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inlineStr">
        <is>
          <t>진행</t>
        </is>
      </c>
      <c r="P73" s="61" t="inlineStr">
        <is>
          <t>Kling</t>
        </is>
      </c>
      <c r="U73" s="62" t="n"/>
      <c r="V73" s="62" t="n"/>
      <c r="W73" s="62" t="n"/>
      <c r="X73" s="62" t="n"/>
      <c r="Y73" s="62" t="n"/>
      <c r="Z73" s="62" t="n">
        <v>1</v>
      </c>
      <c r="AA73" s="62" t="n">
        <v>1</v>
      </c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inlineStr">
        <is>
          <t>칠대죄오리진</t>
        </is>
      </c>
      <c r="C102" s="71" t="inlineStr">
        <is>
          <t>마케팅4팀</t>
        </is>
      </c>
      <c r="D102" s="52" t="inlineStr">
        <is>
          <t>7DSOR_스토리트레일러</t>
        </is>
      </c>
      <c r="E102" s="54" t="inlineStr">
        <is>
          <t>기획</t>
        </is>
      </c>
      <c r="F102" s="52" t="inlineStr">
        <is>
          <t>박태원</t>
        </is>
      </c>
      <c r="G102" s="55">
        <f>DATE(2026,8,5)</f>
        <v/>
      </c>
      <c r="H102" s="54" t="n">
        <v>0</v>
      </c>
      <c r="I102" s="54" t="n">
        <v>0</v>
      </c>
      <c r="J102" s="54" t="n">
        <v>0</v>
      </c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inlineStr">
        <is>
          <t>완료</t>
        </is>
      </c>
      <c r="P102" s="61" t="inlineStr">
        <is>
          <t>GPT</t>
        </is>
      </c>
      <c r="U102" s="62" t="n"/>
      <c r="V102" s="62" t="n"/>
      <c r="W102" s="62" t="n"/>
      <c r="X102" s="62" t="n"/>
      <c r="Y102" s="62" t="n">
        <v>0.5</v>
      </c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inlineStr">
        <is>
          <t>칠대죄오리진</t>
        </is>
      </c>
      <c r="C103" s="71" t="inlineStr">
        <is>
          <t>마케팅4팀</t>
        </is>
      </c>
      <c r="D103" s="52" t="inlineStr">
        <is>
          <t>7DSOR_스토리트레일러</t>
        </is>
      </c>
      <c r="E103" s="54" t="inlineStr">
        <is>
          <t>이미지</t>
        </is>
      </c>
      <c r="F103" s="52" t="inlineStr">
        <is>
          <t>양재혁</t>
        </is>
      </c>
      <c r="G103" s="55">
        <f>DATE(2026,8,5)</f>
        <v/>
      </c>
      <c r="H103" s="54" t="n">
        <v>1</v>
      </c>
      <c r="I103" s="54" t="n">
        <v>2</v>
      </c>
      <c r="J103" s="54" t="n">
        <v>1</v>
      </c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inlineStr">
        <is>
          <t>진행</t>
        </is>
      </c>
      <c r="P103" s="61" t="inlineStr">
        <is>
          <t>GPT</t>
        </is>
      </c>
      <c r="U103" s="62" t="n"/>
      <c r="V103" s="62" t="n"/>
      <c r="W103" s="62" t="n"/>
      <c r="X103" s="62" t="n"/>
      <c r="Y103" s="62" t="n">
        <v>1</v>
      </c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inlineStr">
        <is>
          <t>칠대죄오리진</t>
        </is>
      </c>
      <c r="C104" s="71" t="inlineStr">
        <is>
          <t>마케팅4팀</t>
        </is>
      </c>
      <c r="D104" s="52" t="inlineStr">
        <is>
          <t>7DSOR_스토리트레일러</t>
        </is>
      </c>
      <c r="E104" s="54" t="inlineStr">
        <is>
          <t>영상</t>
        </is>
      </c>
      <c r="F104" s="52" t="inlineStr">
        <is>
          <t>이지현</t>
        </is>
      </c>
      <c r="G104" s="55">
        <f>DATE(2026,8,12)</f>
        <v/>
      </c>
      <c r="H104" s="54" t="n">
        <v>0</v>
      </c>
      <c r="I104" s="54" t="n">
        <v>0</v>
      </c>
      <c r="J104" s="54" t="n">
        <v>0</v>
      </c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inlineStr">
        <is>
          <t>대기</t>
        </is>
      </c>
      <c r="P104" s="61" t="inlineStr">
        <is>
          <t>Kling</t>
        </is>
      </c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>
        <v>1.5</v>
      </c>
      <c r="AF104" s="62" t="n">
        <v>1</v>
      </c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9월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9월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DATE('마스터'!$J$3,9,1)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inlineStr">
        <is>
          <t>몬길</t>
        </is>
      </c>
      <c r="C9" s="53" t="inlineStr">
        <is>
          <t>마케팅1팀</t>
        </is>
      </c>
      <c r="D9" s="52" t="inlineStr">
        <is>
          <t>MONSTER_썸머</t>
        </is>
      </c>
      <c r="E9" s="54" t="inlineStr">
        <is>
          <t>영상</t>
        </is>
      </c>
      <c r="F9" s="52" t="inlineStr">
        <is>
          <t>이지현</t>
        </is>
      </c>
      <c r="G9" s="55">
        <f>DATE(2026,9,5)</f>
        <v/>
      </c>
      <c r="H9" s="54" t="n">
        <v>2</v>
      </c>
      <c r="I9" s="54" t="n">
        <v>0</v>
      </c>
      <c r="J9" s="54" t="n">
        <v>1</v>
      </c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inlineStr">
        <is>
          <t>대기</t>
        </is>
      </c>
      <c r="P9" s="61" t="inlineStr">
        <is>
          <t>Kling</t>
        </is>
      </c>
      <c r="U9" s="62" t="n"/>
      <c r="V9" s="62" t="n"/>
      <c r="W9" s="62" t="n">
        <v>1.5</v>
      </c>
      <c r="X9" s="62" t="n">
        <v>1.5</v>
      </c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10월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10월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DATE('마스터'!$J$3,10,1)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11월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11월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DATE('마스터'!$J$3,11,1)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8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12월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12월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목표
완료일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DATE('마스터'!$J$3,12,1)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2026-07-29T01:34:35Z</dcterms:created>
  <dcterms:modified xsi:type="dcterms:W3CDTF">2026-07-29T01:34:41Z</dcterms:modified>
</cp:coreProperties>
</file>