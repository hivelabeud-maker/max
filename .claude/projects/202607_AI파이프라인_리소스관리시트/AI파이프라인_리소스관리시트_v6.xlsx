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통합관리" sheetId="3" state="visible" r:id="rId3"/>
    <sheet name="연간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m/d"/>
    <numFmt numFmtId="166" formatCode="0.0;;"/>
    <numFmt numFmtId="167" formatCode="m/d(ddd)"/>
    <numFmt numFmtId="168" formatCode="0.00;;"/>
    <numFmt numFmtId="169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4B0082"/>
      <sz val="10"/>
    </font>
    <font>
      <name val="Arial"/>
      <b val="1"/>
      <color rgb="00C0504D"/>
      <sz val="12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833C00"/>
      <sz val="8"/>
    </font>
    <font>
      <name val="Arial"/>
      <b val="1"/>
      <color rgb="00375623"/>
      <sz val="8"/>
    </font>
    <font>
      <name val="Arial"/>
      <b val="1"/>
      <color rgb="001F4E79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b val="1"/>
      <color rgb="00000000"/>
      <sz val="7"/>
    </font>
    <font>
      <name val="Arial"/>
      <color rgb="001F4E79"/>
      <sz val="9"/>
    </font>
    <font>
      <name val="Arial"/>
      <color rgb="00000000"/>
      <sz val="7"/>
    </font>
    <font>
      <name val="Arial"/>
      <b val="1"/>
      <color rgb="001F4E79"/>
      <sz val="15"/>
    </font>
    <font>
      <name val="Arial"/>
      <color rgb="00808080"/>
      <sz val="9"/>
    </font>
  </fonts>
  <fills count="14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CC99FF"/>
      </patternFill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7F7F7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7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6" borderId="1" applyAlignment="1" pivotButton="0" quotePrefix="0" xfId="0">
      <alignment horizontal="left" vertical="center"/>
    </xf>
    <xf numFmtId="0" fontId="10" fillId="0" borderId="0" pivotButton="0" quotePrefix="0" xfId="0"/>
    <xf numFmtId="1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3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0" fillId="4" borderId="1" pivotButton="0" quotePrefix="0" xfId="0"/>
    <xf numFmtId="166" fontId="21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167" fontId="22" fillId="6" borderId="1" applyAlignment="1" pivotButton="0" quotePrefix="0" xfId="0">
      <alignment horizontal="center" vertical="center"/>
    </xf>
    <xf numFmtId="2" fontId="22" fillId="6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8" fontId="23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2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2" fontId="10" fillId="7" borderId="1" applyAlignment="1" pivotButton="0" quotePrefix="0" xfId="0">
      <alignment horizontal="center" vertical="center"/>
    </xf>
    <xf numFmtId="0" fontId="0" fillId="7" borderId="1" pivotButton="0" quotePrefix="0" xfId="0"/>
    <xf numFmtId="169" fontId="10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2" fontId="1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Arial"/>
        <b val="1"/>
        <color rgb="004B0082"/>
        <sz val="7"/>
      </font>
      <fill>
        <patternFill patternType="solid">
          <fgColor rgb="00CC99FF"/>
        </patternFill>
      </fill>
    </dxf>
    <dxf>
      <font>
        <name val="Arial"/>
        <b val="1"/>
        <color rgb="001F4E79"/>
        <sz val="7"/>
      </font>
      <fill>
        <patternFill patternType="solid">
          <fgColor rgb="009DC3E6"/>
        </patternFill>
      </fill>
    </dxf>
    <dxf>
      <fill>
        <patternFill patternType="solid">
          <fgColor rgb="00F2F2F2"/>
        </patternFill>
      </fill>
    </dxf>
    <dxf>
      <font>
        <name val="Arial"/>
        <color rgb="00000000"/>
        <sz val="7"/>
      </font>
      <fill>
        <patternFill patternType="solid">
          <fgColor rgb="00FCE4D6"/>
        </patternFill>
      </fill>
    </dxf>
    <dxf>
      <font>
        <name val="Arial"/>
        <color rgb="00000000"/>
        <sz val="7"/>
      </font>
      <fill>
        <patternFill patternType="solid">
          <fgColor rgb="00E2EFDA"/>
        </patternFill>
      </fill>
    </dxf>
    <dxf>
      <font>
        <name val="Arial"/>
        <color rgb="00000000"/>
        <sz val="7"/>
      </font>
      <fill>
        <patternFill patternType="solid">
          <fgColor rgb="00DDEBF7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</author>
  </authors>
  <commentList>
    <comment ref="F8" authorId="0" shapeId="0">
      <text>
        <t>한 행=한 업무명(영상 기준). 요청일만 넣으면 월/주차 자동. 상단 조회월 드롭다운으로 간트 달 전환.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8" customWidth="1" min="3" max="3"/>
  </cols>
  <sheetData>
    <row r="2">
      <c r="B2" s="1" t="inlineStr">
        <is>
          <t>AI 파이프라인 통합 리소스/스케줄 관리 시트 v6 (연간)</t>
        </is>
      </c>
    </row>
    <row r="3">
      <c r="B3" s="2" t="inlineStr">
        <is>
          <t>입력은 통합관리 한 곳 - 연간요약/간트/직군 TO 상태 자동. 조회 월 드롭다운으로 일별 상세 전환.</t>
        </is>
      </c>
    </row>
    <row r="5">
      <c r="B5" s="3" t="inlineStr">
        <is>
          <t>색 표시 (텍스트 라벨 병행)</t>
        </is>
      </c>
    </row>
    <row r="6">
      <c r="B6" s="4" t="inlineStr">
        <is>
          <t>파랑</t>
        </is>
      </c>
      <c r="C6" s="5" t="inlineStr">
        <is>
          <t>해당 직군 정원(TO)의 80~100% 채워진 상태</t>
        </is>
      </c>
    </row>
    <row r="7">
      <c r="B7" s="6" t="inlineStr">
        <is>
          <t>보라</t>
        </is>
      </c>
      <c r="C7" s="5" t="inlineStr">
        <is>
          <t>정원(TO) 초과 - 조율 필요</t>
        </is>
      </c>
    </row>
    <row r="9">
      <c r="B9" s="7" t="inlineStr">
        <is>
          <t>1. 입력은 통합관리 한 곳</t>
        </is>
      </c>
      <c r="C9" s="8" t="n"/>
    </row>
    <row r="10">
      <c r="B10" s="9" t="inlineStr">
        <is>
          <t>행 = 한 업무명</t>
        </is>
      </c>
      <c r="C10" s="5" t="inlineStr">
        <is>
          <t>영상 파이프라인 기준. 영상/이미지/기획(SB)이 각각 담당+MD 칸으로 붙음. 붙는 직군만 기입, 나머지 비움. 요청일만 넣으면 월/주차 자동.</t>
        </is>
      </c>
    </row>
    <row r="11">
      <c r="B11" s="9" t="inlineStr">
        <is>
          <t>요청일 위치</t>
        </is>
      </c>
      <c r="C11" s="5" t="inlineStr">
        <is>
          <t>요청일은 소재명 바로 오른쪽. 소재명+요청일은 스크롤해도 고정.</t>
        </is>
      </c>
    </row>
    <row r="12">
      <c r="B12" s="9" t="inlineStr">
        <is>
          <t>수량</t>
        </is>
      </c>
      <c r="C12" s="5" t="inlineStr">
        <is>
          <t>영상 수 / 사이즈베리 수 / 다국어베리 수 3개 분리.</t>
        </is>
      </c>
    </row>
    <row r="14">
      <c r="B14" s="7" t="inlineStr">
        <is>
          <t>2. 연간 확인 (연간요약 시트)</t>
        </is>
      </c>
      <c r="C14" s="8" t="n"/>
    </row>
    <row r="15">
      <c r="B15" s="9" t="inlineStr">
        <is>
          <t>월별/누적</t>
        </is>
      </c>
      <c r="C15" s="5" t="inlineStr">
        <is>
          <t>1~12월 직군 MD와 수량이 자동 집계. 매월 누적(1월부터 running) 열, 상반기(1~6)/하반기(7~12) 소계, 연간 합계.</t>
        </is>
      </c>
    </row>
    <row r="16">
      <c r="B16" s="9" t="inlineStr">
        <is>
          <t>가동률</t>
        </is>
      </c>
      <c r="C16" s="5" t="inlineStr">
        <is>
          <t>월별 합계 MD / 월 전체 정원 - 어느 달에 몰렸는지 확인.</t>
        </is>
      </c>
    </row>
    <row r="18">
      <c r="B18" s="7" t="inlineStr">
        <is>
          <t>3. 일별 직군 TO 과부하 (통합관리)</t>
        </is>
      </c>
      <c r="C18" s="8" t="n"/>
    </row>
    <row r="19">
      <c r="B19" s="9" t="inlineStr">
        <is>
          <t>조회 월</t>
        </is>
      </c>
      <c r="C19" s="5" t="inlineStr">
        <is>
          <t>통합관리 상단 조회 월(1~12) 드롭다운을 바꾸면 간트와 상단 TO 상태가 그 달 1~말일 일별로 전환.</t>
        </is>
      </c>
    </row>
    <row r="20">
      <c r="B20" s="9" t="inlineStr">
        <is>
          <t>상단 4줄</t>
        </is>
      </c>
      <c r="C20" s="5" t="inlineStr">
        <is>
          <t>날짜 위 전체/영상/이미지/기획 TO 줄. 각 날짜 셀 = 그날 그 직군 총 MD. 정원 대비 파랑(참)/보라(오버). 소재 셀이 섞여도 직군 컬럼으로 분리 집계.</t>
        </is>
      </c>
    </row>
    <row r="21">
      <c r="B21" s="9" t="inlineStr">
        <is>
          <t>간트</t>
        </is>
      </c>
      <c r="C21" s="5" t="inlineStr">
        <is>
          <t>각 소재 셀에 합계MD를 요청~예상완료 영업일에 균등 분산(숫자). 주말 음영.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2" customWidth="1" min="7" max="7"/>
    <col width="4" customWidth="1" min="8" max="8"/>
    <col width="14" customWidth="1" min="9" max="9"/>
    <col width="14" customWidth="1" min="10" max="10"/>
  </cols>
  <sheetData>
    <row r="1">
      <c r="A1" s="10" t="inlineStr">
        <is>
          <t>마스터 / 기준정보</t>
        </is>
      </c>
    </row>
    <row r="2">
      <c r="A2" s="11" t="inlineStr">
        <is>
          <t>게임 타이틀 (25)</t>
        </is>
      </c>
      <c r="C2" s="11" t="inlineStr">
        <is>
          <t>고객팀</t>
        </is>
      </c>
      <c r="E2" s="11" t="inlineStr">
        <is>
          <t>유형</t>
        </is>
      </c>
      <c r="G2" s="11" t="inlineStr">
        <is>
          <t>상태</t>
        </is>
      </c>
      <c r="I2" s="12" t="inlineStr">
        <is>
          <t>운영 파라미터</t>
        </is>
      </c>
      <c r="J2" s="13" t="n"/>
    </row>
    <row r="3">
      <c r="A3" s="14" t="inlineStr">
        <is>
          <t>뱀피르</t>
        </is>
      </c>
      <c r="C3" s="14" t="inlineStr">
        <is>
          <t>마케팅1팀</t>
        </is>
      </c>
      <c r="E3" s="14" t="inlineStr">
        <is>
          <t>영상</t>
        </is>
      </c>
      <c r="G3" s="14" t="inlineStr">
        <is>
          <t>대기</t>
        </is>
      </c>
      <c r="I3" s="15" t="inlineStr">
        <is>
          <t>연도</t>
        </is>
      </c>
      <c r="J3" s="16" t="n">
        <v>2026</v>
      </c>
    </row>
    <row r="4">
      <c r="A4" s="14" t="inlineStr">
        <is>
          <t>RF 글로벌</t>
        </is>
      </c>
      <c r="C4" s="14" t="inlineStr">
        <is>
          <t>마케팅2팀</t>
        </is>
      </c>
      <c r="E4" s="14" t="inlineStr">
        <is>
          <t>영상+이미지</t>
        </is>
      </c>
      <c r="G4" s="14" t="inlineStr">
        <is>
          <t>진행</t>
        </is>
      </c>
      <c r="I4" s="15" t="inlineStr">
        <is>
          <t>조회 월</t>
        </is>
      </c>
      <c r="J4" s="16" t="n">
        <v>8</v>
      </c>
    </row>
    <row r="5">
      <c r="A5" s="14" t="inlineStr">
        <is>
          <t>SOL 인챈트</t>
        </is>
      </c>
      <c r="C5" s="14" t="inlineStr">
        <is>
          <t>마케팅3팀</t>
        </is>
      </c>
      <c r="E5" s="14" t="inlineStr">
        <is>
          <t>이미지</t>
        </is>
      </c>
      <c r="G5" s="14" t="inlineStr">
        <is>
          <t>검수</t>
        </is>
      </c>
      <c r="I5" s="15" t="inlineStr">
        <is>
          <t>월 가동일수</t>
        </is>
      </c>
      <c r="J5" s="16" t="n">
        <v>20</v>
      </c>
    </row>
    <row r="6">
      <c r="A6" s="14" t="inlineStr">
        <is>
          <t>스톤에이지펫월드</t>
        </is>
      </c>
      <c r="C6" s="14" t="inlineStr">
        <is>
          <t>마케팅4팀</t>
        </is>
      </c>
      <c r="E6" s="14" t="inlineStr">
        <is>
          <t>베리</t>
        </is>
      </c>
      <c r="G6" s="14" t="inlineStr">
        <is>
          <t>완료</t>
        </is>
      </c>
      <c r="I6" s="15" t="inlineStr">
        <is>
          <t>1일=MD</t>
        </is>
      </c>
      <c r="J6" s="17" t="n">
        <v>1</v>
      </c>
    </row>
    <row r="7">
      <c r="A7" s="14" t="inlineStr">
        <is>
          <t>칠대죄오리진</t>
        </is>
      </c>
      <c r="C7" s="14" t="inlineStr">
        <is>
          <t>기타</t>
        </is>
      </c>
      <c r="E7" s="14" t="inlineStr">
        <is>
          <t>기획</t>
        </is>
      </c>
    </row>
    <row r="8">
      <c r="A8" s="14" t="inlineStr">
        <is>
          <t>세나리버스</t>
        </is>
      </c>
      <c r="E8" s="14" t="inlineStr">
        <is>
          <t>기타</t>
        </is>
      </c>
      <c r="I8" s="12" t="inlineStr">
        <is>
          <t>직군 일 TO 정원</t>
        </is>
      </c>
      <c r="J8" s="13" t="n"/>
    </row>
    <row r="9">
      <c r="A9" s="14" t="inlineStr">
        <is>
          <t>몬길</t>
        </is>
      </c>
      <c r="I9" s="18" t="inlineStr">
        <is>
          <t>영상</t>
        </is>
      </c>
      <c r="J9" s="19" t="n">
        <v>6</v>
      </c>
    </row>
    <row r="10">
      <c r="A10" s="14" t="inlineStr">
        <is>
          <t>왕겜(GOT)</t>
        </is>
      </c>
      <c r="I10" s="18" t="inlineStr">
        <is>
          <t>이미지</t>
        </is>
      </c>
      <c r="J10" s="19" t="n">
        <v>8</v>
      </c>
    </row>
    <row r="11">
      <c r="A11" s="14" t="inlineStr">
        <is>
          <t>몬스터길들이기</t>
        </is>
      </c>
      <c r="I11" s="18" t="inlineStr">
        <is>
          <t>기획</t>
        </is>
      </c>
      <c r="J11" s="19" t="n">
        <v>3</v>
      </c>
    </row>
    <row r="12">
      <c r="A12" s="14" t="inlineStr">
        <is>
          <t>라이즈오브</t>
        </is>
      </c>
    </row>
    <row r="13">
      <c r="A13" s="20" t="inlineStr"/>
    </row>
    <row r="14">
      <c r="A14" s="20" t="inlineStr"/>
    </row>
    <row r="15">
      <c r="A15" s="20" t="inlineStr"/>
    </row>
    <row r="16">
      <c r="A16" s="20" t="inlineStr"/>
    </row>
    <row r="17">
      <c r="A17" s="20" t="inlineStr"/>
    </row>
    <row r="18">
      <c r="A18" s="20" t="inlineStr"/>
    </row>
    <row r="19">
      <c r="A19" s="20" t="inlineStr"/>
    </row>
    <row r="20">
      <c r="A20" s="20" t="inlineStr"/>
    </row>
    <row r="21">
      <c r="A21" s="20" t="inlineStr"/>
    </row>
    <row r="22">
      <c r="A22" s="20" t="inlineStr"/>
    </row>
    <row r="23">
      <c r="A23" s="20" t="inlineStr"/>
    </row>
    <row r="24">
      <c r="A24" s="20" t="inlineStr"/>
    </row>
    <row r="25">
      <c r="A25" s="20" t="inlineStr"/>
    </row>
    <row r="26">
      <c r="A26" s="20" t="inlineStr"/>
    </row>
    <row r="27">
      <c r="A27" s="20" t="inlineStr"/>
    </row>
    <row r="30">
      <c r="A30" s="21" t="inlineStr">
        <is>
          <t>비나(VINA) 운영 시나리오</t>
        </is>
      </c>
    </row>
    <row r="31">
      <c r="A31" s="22" t="inlineStr">
        <is>
          <t>방안 1</t>
        </is>
      </c>
      <c r="C31" s="23" t="inlineStr">
        <is>
          <t>기획+내부디자인+비나영상 - 비나 영상공수는 영상실 매출 귀속</t>
        </is>
      </c>
    </row>
    <row r="32">
      <c r="A32" s="22" t="inlineStr">
        <is>
          <t>방안 2</t>
        </is>
      </c>
      <c r="C32" s="23" t="inlineStr">
        <is>
          <t>비나=사이즈베리만 - 영상 베리는 디자인 흡수</t>
        </is>
      </c>
    </row>
    <row r="33">
      <c r="A33" s="22" t="inlineStr">
        <is>
          <t>방안 3</t>
        </is>
      </c>
      <c r="C33" s="23" t="inlineStr">
        <is>
          <t>비나 이미지TO 추가발주+추가비용</t>
        </is>
      </c>
    </row>
    <row r="34">
      <c r="A34" s="22" t="inlineStr">
        <is>
          <t>방안 4</t>
        </is>
      </c>
      <c r="C34" s="23" t="inlineStr">
        <is>
          <t>본사 프로세스 통합(이미지TO 추가X)</t>
        </is>
      </c>
    </row>
  </sheetData>
  <mergeCells count="6">
    <mergeCell ref="C34:J34"/>
    <mergeCell ref="C33:J33"/>
    <mergeCell ref="I2:J2"/>
    <mergeCell ref="C32:J32"/>
    <mergeCell ref="I8:J8"/>
    <mergeCell ref="C31:J31"/>
  </mergeCells>
  <dataValidations count="1">
    <dataValidation sqref="J4" showDropDown="0" showInputMessage="0" showErrorMessage="0" allowBlank="0" type="list">
      <formula1>"1,2,3,4,5,6,7,8,9,10,11,12"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12" customWidth="1" min="3" max="3"/>
    <col width="8" customWidth="1" min="4" max="4"/>
    <col width="8" customWidth="1" min="5" max="5"/>
    <col width="22" customWidth="1" min="6" max="6"/>
    <col width="8" customWidth="1" min="7" max="7"/>
    <col width="8" customWidth="1" min="8" max="8"/>
    <col width="5" customWidth="1" min="9" max="9"/>
    <col width="5" customWidth="1" min="10" max="10"/>
    <col width="5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6" customWidth="1" min="18" max="18"/>
    <col width="7" customWidth="1" min="19" max="19"/>
    <col width="5" customWidth="1" min="20" max="20"/>
    <col width="7" customWidth="1" min="21" max="21"/>
    <col width="6" customWidth="1" min="22" max="22"/>
    <col width="8" customWidth="1" min="23" max="23"/>
    <col width="6" customWidth="1" min="24" max="24"/>
    <col width="13" customWidth="1" min="25" max="25"/>
    <col width="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</cols>
  <sheetData>
    <row r="1">
      <c r="A1" s="24" t="inlineStr">
        <is>
          <t>업무 정보 (소재명 / 요청일)</t>
        </is>
      </c>
      <c r="I1" s="25" t="inlineStr">
        <is>
          <t>수량</t>
        </is>
      </c>
      <c r="L1" s="26" t="inlineStr">
        <is>
          <t>영상 (본체)</t>
        </is>
      </c>
      <c r="N1" s="27" t="inlineStr">
        <is>
          <t>이미지</t>
        </is>
      </c>
      <c r="P1" s="28" t="inlineStr">
        <is>
          <t>기획(SB)</t>
        </is>
      </c>
      <c r="R1" s="29" t="inlineStr">
        <is>
          <t>집계 / 일정 / 자동</t>
        </is>
      </c>
      <c r="AA1" s="12" t="inlineStr">
        <is>
          <t>간트 (조회 월 일별 / MD 숫자 분산 / 주말 음영)  상단 4줄=일자별 직군 TO 상태</t>
        </is>
      </c>
    </row>
    <row r="2">
      <c r="A2" s="30" t="inlineStr">
        <is>
          <t>No</t>
        </is>
      </c>
      <c r="B2" s="30" t="inlineStr">
        <is>
          <t>월</t>
        </is>
      </c>
      <c r="C2" s="30" t="inlineStr">
        <is>
          <t>게임 타이틀명</t>
        </is>
      </c>
      <c r="D2" s="30" t="inlineStr">
        <is>
          <t>고객팀</t>
        </is>
      </c>
      <c r="E2" s="30" t="inlineStr">
        <is>
          <t>유형</t>
        </is>
      </c>
      <c r="F2" s="30" t="inlineStr">
        <is>
          <t>소재명(업무명)</t>
        </is>
      </c>
      <c r="G2" s="30" t="inlineStr">
        <is>
          <t>요청일</t>
        </is>
      </c>
      <c r="H2" s="30" t="inlineStr">
        <is>
          <t>완료일</t>
        </is>
      </c>
      <c r="I2" s="30" t="inlineStr">
        <is>
          <t>영상
수</t>
        </is>
      </c>
      <c r="J2" s="30" t="inlineStr">
        <is>
          <t>사이즈
베리</t>
        </is>
      </c>
      <c r="K2" s="30" t="inlineStr">
        <is>
          <t>다국어
베리</t>
        </is>
      </c>
      <c r="L2" s="31" t="inlineStr">
        <is>
          <t>영상
담당</t>
        </is>
      </c>
      <c r="M2" s="31" t="inlineStr">
        <is>
          <t>영상
MD</t>
        </is>
      </c>
      <c r="N2" s="32" t="inlineStr">
        <is>
          <t>이미지
담당</t>
        </is>
      </c>
      <c r="O2" s="32" t="inlineStr">
        <is>
          <t>이미지
MD</t>
        </is>
      </c>
      <c r="P2" s="33" t="inlineStr">
        <is>
          <t>기획
담당</t>
        </is>
      </c>
      <c r="Q2" s="33" t="inlineStr">
        <is>
          <t>기획
MD</t>
        </is>
      </c>
      <c r="R2" s="30" t="inlineStr">
        <is>
          <t>합계
MD</t>
        </is>
      </c>
      <c r="S2" s="30" t="inlineStr">
        <is>
          <t>투입
직군</t>
        </is>
      </c>
      <c r="T2" s="30" t="inlineStr">
        <is>
          <t>주차</t>
        </is>
      </c>
      <c r="U2" s="30" t="inlineStr">
        <is>
          <t>상태</t>
        </is>
      </c>
      <c r="V2" s="30" t="inlineStr">
        <is>
          <t>소요일</t>
        </is>
      </c>
      <c r="W2" s="30" t="inlineStr">
        <is>
          <t>예상완료</t>
        </is>
      </c>
      <c r="X2" s="30" t="inlineStr">
        <is>
          <t>여유</t>
        </is>
      </c>
      <c r="Y2" s="30" t="inlineStr">
        <is>
          <t>비고</t>
        </is>
      </c>
      <c r="AA2" s="34">
        <f>DATE('마스터'!$J$3,'마스터'!$J$4,1)</f>
        <v/>
      </c>
      <c r="AB2" s="34">
        <f>AA2+1</f>
        <v/>
      </c>
      <c r="AC2" s="34">
        <f>AB2+1</f>
        <v/>
      </c>
      <c r="AD2" s="34">
        <f>AC2+1</f>
        <v/>
      </c>
      <c r="AE2" s="34">
        <f>AD2+1</f>
        <v/>
      </c>
      <c r="AF2" s="34">
        <f>AE2+1</f>
        <v/>
      </c>
      <c r="AG2" s="34">
        <f>AF2+1</f>
        <v/>
      </c>
      <c r="AH2" s="34">
        <f>AG2+1</f>
        <v/>
      </c>
      <c r="AI2" s="34">
        <f>AH2+1</f>
        <v/>
      </c>
      <c r="AJ2" s="34">
        <f>AI2+1</f>
        <v/>
      </c>
      <c r="AK2" s="34">
        <f>AJ2+1</f>
        <v/>
      </c>
      <c r="AL2" s="34">
        <f>AK2+1</f>
        <v/>
      </c>
      <c r="AM2" s="34">
        <f>AL2+1</f>
        <v/>
      </c>
      <c r="AN2" s="34">
        <f>AM2+1</f>
        <v/>
      </c>
      <c r="AO2" s="34">
        <f>AN2+1</f>
        <v/>
      </c>
      <c r="AP2" s="34">
        <f>AO2+1</f>
        <v/>
      </c>
      <c r="AQ2" s="34">
        <f>AP2+1</f>
        <v/>
      </c>
      <c r="AR2" s="34">
        <f>AQ2+1</f>
        <v/>
      </c>
      <c r="AS2" s="34">
        <f>AR2+1</f>
        <v/>
      </c>
      <c r="AT2" s="34">
        <f>AS2+1</f>
        <v/>
      </c>
      <c r="AU2" s="34">
        <f>AT2+1</f>
        <v/>
      </c>
      <c r="AV2" s="34">
        <f>AU2+1</f>
        <v/>
      </c>
      <c r="AW2" s="34">
        <f>AV2+1</f>
        <v/>
      </c>
      <c r="AX2" s="34">
        <f>AW2+1</f>
        <v/>
      </c>
      <c r="AY2" s="34">
        <f>AX2+1</f>
        <v/>
      </c>
      <c r="AZ2" s="34">
        <f>AY2+1</f>
        <v/>
      </c>
      <c r="BA2" s="34">
        <f>AZ2+1</f>
        <v/>
      </c>
      <c r="BB2" s="34">
        <f>BA2+1</f>
        <v/>
      </c>
      <c r="BC2" s="34">
        <f>BB2+1</f>
        <v/>
      </c>
      <c r="BD2" s="34">
        <f>BC2+1</f>
        <v/>
      </c>
      <c r="BE2" s="34">
        <f>BD2+1</f>
        <v/>
      </c>
    </row>
    <row r="3">
      <c r="A3" s="35" t="inlineStr">
        <is>
          <t>전체 TO (조회월 일자별 부하)</t>
        </is>
      </c>
      <c r="G3" s="36" t="inlineStr">
        <is>
          <t>정원</t>
        </is>
      </c>
      <c r="H3" s="37">
        <f>SUM('마스터'!$J$9:$J$11)</f>
        <v/>
      </c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AA3" s="39">
        <f>SUMPRODUCT(($G$8:$G$57&lt;&gt;"")*($G$8:$G$57&lt;=AA$2)*($W$8:$W$57&gt;=AA$2)*(WEEKDAY(AA$2,2)&lt;6)*($M$8:$M$57+$O$8:$O$57+$Q$8:$Q$57)/($V$8:$V$57+($V$8:$V$57=0)))</f>
        <v/>
      </c>
      <c r="AB3" s="39">
        <f>SUMPRODUCT(($G$8:$G$57&lt;&gt;"")*($G$8:$G$57&lt;=AB$2)*($W$8:$W$57&gt;=AB$2)*(WEEKDAY(AB$2,2)&lt;6)*($M$8:$M$57+$O$8:$O$57+$Q$8:$Q$57)/($V$8:$V$57+($V$8:$V$57=0)))</f>
        <v/>
      </c>
      <c r="AC3" s="39">
        <f>SUMPRODUCT(($G$8:$G$57&lt;&gt;"")*($G$8:$G$57&lt;=AC$2)*($W$8:$W$57&gt;=AC$2)*(WEEKDAY(AC$2,2)&lt;6)*($M$8:$M$57+$O$8:$O$57+$Q$8:$Q$57)/($V$8:$V$57+($V$8:$V$57=0)))</f>
        <v/>
      </c>
      <c r="AD3" s="39">
        <f>SUMPRODUCT(($G$8:$G$57&lt;&gt;"")*($G$8:$G$57&lt;=AD$2)*($W$8:$W$57&gt;=AD$2)*(WEEKDAY(AD$2,2)&lt;6)*($M$8:$M$57+$O$8:$O$57+$Q$8:$Q$57)/($V$8:$V$57+($V$8:$V$57=0)))</f>
        <v/>
      </c>
      <c r="AE3" s="39">
        <f>SUMPRODUCT(($G$8:$G$57&lt;&gt;"")*($G$8:$G$57&lt;=AE$2)*($W$8:$W$57&gt;=AE$2)*(WEEKDAY(AE$2,2)&lt;6)*($M$8:$M$57+$O$8:$O$57+$Q$8:$Q$57)/($V$8:$V$57+($V$8:$V$57=0)))</f>
        <v/>
      </c>
      <c r="AF3" s="39">
        <f>SUMPRODUCT(($G$8:$G$57&lt;&gt;"")*($G$8:$G$57&lt;=AF$2)*($W$8:$W$57&gt;=AF$2)*(WEEKDAY(AF$2,2)&lt;6)*($M$8:$M$57+$O$8:$O$57+$Q$8:$Q$57)/($V$8:$V$57+($V$8:$V$57=0)))</f>
        <v/>
      </c>
      <c r="AG3" s="39">
        <f>SUMPRODUCT(($G$8:$G$57&lt;&gt;"")*($G$8:$G$57&lt;=AG$2)*($W$8:$W$57&gt;=AG$2)*(WEEKDAY(AG$2,2)&lt;6)*($M$8:$M$57+$O$8:$O$57+$Q$8:$Q$57)/($V$8:$V$57+($V$8:$V$57=0)))</f>
        <v/>
      </c>
      <c r="AH3" s="39">
        <f>SUMPRODUCT(($G$8:$G$57&lt;&gt;"")*($G$8:$G$57&lt;=AH$2)*($W$8:$W$57&gt;=AH$2)*(WEEKDAY(AH$2,2)&lt;6)*($M$8:$M$57+$O$8:$O$57+$Q$8:$Q$57)/($V$8:$V$57+($V$8:$V$57=0)))</f>
        <v/>
      </c>
      <c r="AI3" s="39">
        <f>SUMPRODUCT(($G$8:$G$57&lt;&gt;"")*($G$8:$G$57&lt;=AI$2)*($W$8:$W$57&gt;=AI$2)*(WEEKDAY(AI$2,2)&lt;6)*($M$8:$M$57+$O$8:$O$57+$Q$8:$Q$57)/($V$8:$V$57+($V$8:$V$57=0)))</f>
        <v/>
      </c>
      <c r="AJ3" s="39">
        <f>SUMPRODUCT(($G$8:$G$57&lt;&gt;"")*($G$8:$G$57&lt;=AJ$2)*($W$8:$W$57&gt;=AJ$2)*(WEEKDAY(AJ$2,2)&lt;6)*($M$8:$M$57+$O$8:$O$57+$Q$8:$Q$57)/($V$8:$V$57+($V$8:$V$57=0)))</f>
        <v/>
      </c>
      <c r="AK3" s="39">
        <f>SUMPRODUCT(($G$8:$G$57&lt;&gt;"")*($G$8:$G$57&lt;=AK$2)*($W$8:$W$57&gt;=AK$2)*(WEEKDAY(AK$2,2)&lt;6)*($M$8:$M$57+$O$8:$O$57+$Q$8:$Q$57)/($V$8:$V$57+($V$8:$V$57=0)))</f>
        <v/>
      </c>
      <c r="AL3" s="39">
        <f>SUMPRODUCT(($G$8:$G$57&lt;&gt;"")*($G$8:$G$57&lt;=AL$2)*($W$8:$W$57&gt;=AL$2)*(WEEKDAY(AL$2,2)&lt;6)*($M$8:$M$57+$O$8:$O$57+$Q$8:$Q$57)/($V$8:$V$57+($V$8:$V$57=0)))</f>
        <v/>
      </c>
      <c r="AM3" s="39">
        <f>SUMPRODUCT(($G$8:$G$57&lt;&gt;"")*($G$8:$G$57&lt;=AM$2)*($W$8:$W$57&gt;=AM$2)*(WEEKDAY(AM$2,2)&lt;6)*($M$8:$M$57+$O$8:$O$57+$Q$8:$Q$57)/($V$8:$V$57+($V$8:$V$57=0)))</f>
        <v/>
      </c>
      <c r="AN3" s="39">
        <f>SUMPRODUCT(($G$8:$G$57&lt;&gt;"")*($G$8:$G$57&lt;=AN$2)*($W$8:$W$57&gt;=AN$2)*(WEEKDAY(AN$2,2)&lt;6)*($M$8:$M$57+$O$8:$O$57+$Q$8:$Q$57)/($V$8:$V$57+($V$8:$V$57=0)))</f>
        <v/>
      </c>
      <c r="AO3" s="39">
        <f>SUMPRODUCT(($G$8:$G$57&lt;&gt;"")*($G$8:$G$57&lt;=AO$2)*($W$8:$W$57&gt;=AO$2)*(WEEKDAY(AO$2,2)&lt;6)*($M$8:$M$57+$O$8:$O$57+$Q$8:$Q$57)/($V$8:$V$57+($V$8:$V$57=0)))</f>
        <v/>
      </c>
      <c r="AP3" s="39">
        <f>SUMPRODUCT(($G$8:$G$57&lt;&gt;"")*($G$8:$G$57&lt;=AP$2)*($W$8:$W$57&gt;=AP$2)*(WEEKDAY(AP$2,2)&lt;6)*($M$8:$M$57+$O$8:$O$57+$Q$8:$Q$57)/($V$8:$V$57+($V$8:$V$57=0)))</f>
        <v/>
      </c>
      <c r="AQ3" s="39">
        <f>SUMPRODUCT(($G$8:$G$57&lt;&gt;"")*($G$8:$G$57&lt;=AQ$2)*($W$8:$W$57&gt;=AQ$2)*(WEEKDAY(AQ$2,2)&lt;6)*($M$8:$M$57+$O$8:$O$57+$Q$8:$Q$57)/($V$8:$V$57+($V$8:$V$57=0)))</f>
        <v/>
      </c>
      <c r="AR3" s="39">
        <f>SUMPRODUCT(($G$8:$G$57&lt;&gt;"")*($G$8:$G$57&lt;=AR$2)*($W$8:$W$57&gt;=AR$2)*(WEEKDAY(AR$2,2)&lt;6)*($M$8:$M$57+$O$8:$O$57+$Q$8:$Q$57)/($V$8:$V$57+($V$8:$V$57=0)))</f>
        <v/>
      </c>
      <c r="AS3" s="39">
        <f>SUMPRODUCT(($G$8:$G$57&lt;&gt;"")*($G$8:$G$57&lt;=AS$2)*($W$8:$W$57&gt;=AS$2)*(WEEKDAY(AS$2,2)&lt;6)*($M$8:$M$57+$O$8:$O$57+$Q$8:$Q$57)/($V$8:$V$57+($V$8:$V$57=0)))</f>
        <v/>
      </c>
      <c r="AT3" s="39">
        <f>SUMPRODUCT(($G$8:$G$57&lt;&gt;"")*($G$8:$G$57&lt;=AT$2)*($W$8:$W$57&gt;=AT$2)*(WEEKDAY(AT$2,2)&lt;6)*($M$8:$M$57+$O$8:$O$57+$Q$8:$Q$57)/($V$8:$V$57+($V$8:$V$57=0)))</f>
        <v/>
      </c>
      <c r="AU3" s="39">
        <f>SUMPRODUCT(($G$8:$G$57&lt;&gt;"")*($G$8:$G$57&lt;=AU$2)*($W$8:$W$57&gt;=AU$2)*(WEEKDAY(AU$2,2)&lt;6)*($M$8:$M$57+$O$8:$O$57+$Q$8:$Q$57)/($V$8:$V$57+($V$8:$V$57=0)))</f>
        <v/>
      </c>
      <c r="AV3" s="39">
        <f>SUMPRODUCT(($G$8:$G$57&lt;&gt;"")*($G$8:$G$57&lt;=AV$2)*($W$8:$W$57&gt;=AV$2)*(WEEKDAY(AV$2,2)&lt;6)*($M$8:$M$57+$O$8:$O$57+$Q$8:$Q$57)/($V$8:$V$57+($V$8:$V$57=0)))</f>
        <v/>
      </c>
      <c r="AW3" s="39">
        <f>SUMPRODUCT(($G$8:$G$57&lt;&gt;"")*($G$8:$G$57&lt;=AW$2)*($W$8:$W$57&gt;=AW$2)*(WEEKDAY(AW$2,2)&lt;6)*($M$8:$M$57+$O$8:$O$57+$Q$8:$Q$57)/($V$8:$V$57+($V$8:$V$57=0)))</f>
        <v/>
      </c>
      <c r="AX3" s="39">
        <f>SUMPRODUCT(($G$8:$G$57&lt;&gt;"")*($G$8:$G$57&lt;=AX$2)*($W$8:$W$57&gt;=AX$2)*(WEEKDAY(AX$2,2)&lt;6)*($M$8:$M$57+$O$8:$O$57+$Q$8:$Q$57)/($V$8:$V$57+($V$8:$V$57=0)))</f>
        <v/>
      </c>
      <c r="AY3" s="39">
        <f>SUMPRODUCT(($G$8:$G$57&lt;&gt;"")*($G$8:$G$57&lt;=AY$2)*($W$8:$W$57&gt;=AY$2)*(WEEKDAY(AY$2,2)&lt;6)*($M$8:$M$57+$O$8:$O$57+$Q$8:$Q$57)/($V$8:$V$57+($V$8:$V$57=0)))</f>
        <v/>
      </c>
      <c r="AZ3" s="39">
        <f>SUMPRODUCT(($G$8:$G$57&lt;&gt;"")*($G$8:$G$57&lt;=AZ$2)*($W$8:$W$57&gt;=AZ$2)*(WEEKDAY(AZ$2,2)&lt;6)*($M$8:$M$57+$O$8:$O$57+$Q$8:$Q$57)/($V$8:$V$57+($V$8:$V$57=0)))</f>
        <v/>
      </c>
      <c r="BA3" s="39">
        <f>SUMPRODUCT(($G$8:$G$57&lt;&gt;"")*($G$8:$G$57&lt;=BA$2)*($W$8:$W$57&gt;=BA$2)*(WEEKDAY(BA$2,2)&lt;6)*($M$8:$M$57+$O$8:$O$57+$Q$8:$Q$57)/($V$8:$V$57+($V$8:$V$57=0)))</f>
        <v/>
      </c>
      <c r="BB3" s="39">
        <f>SUMPRODUCT(($G$8:$G$57&lt;&gt;"")*($G$8:$G$57&lt;=BB$2)*($W$8:$W$57&gt;=BB$2)*(WEEKDAY(BB$2,2)&lt;6)*($M$8:$M$57+$O$8:$O$57+$Q$8:$Q$57)/($V$8:$V$57+($V$8:$V$57=0)))</f>
        <v/>
      </c>
      <c r="BC3" s="39">
        <f>SUMPRODUCT(($G$8:$G$57&lt;&gt;"")*($G$8:$G$57&lt;=BC$2)*($W$8:$W$57&gt;=BC$2)*(WEEKDAY(BC$2,2)&lt;6)*($M$8:$M$57+$O$8:$O$57+$Q$8:$Q$57)/($V$8:$V$57+($V$8:$V$57=0)))</f>
        <v/>
      </c>
      <c r="BD3" s="39">
        <f>SUMPRODUCT(($G$8:$G$57&lt;&gt;"")*($G$8:$G$57&lt;=BD$2)*($W$8:$W$57&gt;=BD$2)*(WEEKDAY(BD$2,2)&lt;6)*($M$8:$M$57+$O$8:$O$57+$Q$8:$Q$57)/($V$8:$V$57+($V$8:$V$57=0)))</f>
        <v/>
      </c>
      <c r="BE3" s="39">
        <f>SUMPRODUCT(($G$8:$G$57&lt;&gt;"")*($G$8:$G$57&lt;=BE$2)*($W$8:$W$57&gt;=BE$2)*(WEEKDAY(BE$2,2)&lt;6)*($M$8:$M$57+$O$8:$O$57+$Q$8:$Q$57)/($V$8:$V$57+($V$8:$V$57=0)))</f>
        <v/>
      </c>
    </row>
    <row r="4">
      <c r="A4" s="35" t="inlineStr">
        <is>
          <t>영상 TO</t>
        </is>
      </c>
      <c r="G4" s="36" t="inlineStr">
        <is>
          <t>정원</t>
        </is>
      </c>
      <c r="H4" s="37">
        <f>'마스터'!$J$9</f>
        <v/>
      </c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AA4" s="39">
        <f>SUMPRODUCT(($G$8:$G$57&lt;&gt;"")*($G$8:$G$57&lt;=AA$2)*($W$8:$W$57&gt;=AA$2)*(WEEKDAY(AA$2,2)&lt;6)*($M$8:$M$57)/($V$8:$V$57+($V$8:$V$57=0)))</f>
        <v/>
      </c>
      <c r="AB4" s="39">
        <f>SUMPRODUCT(($G$8:$G$57&lt;&gt;"")*($G$8:$G$57&lt;=AB$2)*($W$8:$W$57&gt;=AB$2)*(WEEKDAY(AB$2,2)&lt;6)*($M$8:$M$57)/($V$8:$V$57+($V$8:$V$57=0)))</f>
        <v/>
      </c>
      <c r="AC4" s="39">
        <f>SUMPRODUCT(($G$8:$G$57&lt;&gt;"")*($G$8:$G$57&lt;=AC$2)*($W$8:$W$57&gt;=AC$2)*(WEEKDAY(AC$2,2)&lt;6)*($M$8:$M$57)/($V$8:$V$57+($V$8:$V$57=0)))</f>
        <v/>
      </c>
      <c r="AD4" s="39">
        <f>SUMPRODUCT(($G$8:$G$57&lt;&gt;"")*($G$8:$G$57&lt;=AD$2)*($W$8:$W$57&gt;=AD$2)*(WEEKDAY(AD$2,2)&lt;6)*($M$8:$M$57)/($V$8:$V$57+($V$8:$V$57=0)))</f>
        <v/>
      </c>
      <c r="AE4" s="39">
        <f>SUMPRODUCT(($G$8:$G$57&lt;&gt;"")*($G$8:$G$57&lt;=AE$2)*($W$8:$W$57&gt;=AE$2)*(WEEKDAY(AE$2,2)&lt;6)*($M$8:$M$57)/($V$8:$V$57+($V$8:$V$57=0)))</f>
        <v/>
      </c>
      <c r="AF4" s="39">
        <f>SUMPRODUCT(($G$8:$G$57&lt;&gt;"")*($G$8:$G$57&lt;=AF$2)*($W$8:$W$57&gt;=AF$2)*(WEEKDAY(AF$2,2)&lt;6)*($M$8:$M$57)/($V$8:$V$57+($V$8:$V$57=0)))</f>
        <v/>
      </c>
      <c r="AG4" s="39">
        <f>SUMPRODUCT(($G$8:$G$57&lt;&gt;"")*($G$8:$G$57&lt;=AG$2)*($W$8:$W$57&gt;=AG$2)*(WEEKDAY(AG$2,2)&lt;6)*($M$8:$M$57)/($V$8:$V$57+($V$8:$V$57=0)))</f>
        <v/>
      </c>
      <c r="AH4" s="39">
        <f>SUMPRODUCT(($G$8:$G$57&lt;&gt;"")*($G$8:$G$57&lt;=AH$2)*($W$8:$W$57&gt;=AH$2)*(WEEKDAY(AH$2,2)&lt;6)*($M$8:$M$57)/($V$8:$V$57+($V$8:$V$57=0)))</f>
        <v/>
      </c>
      <c r="AI4" s="39">
        <f>SUMPRODUCT(($G$8:$G$57&lt;&gt;"")*($G$8:$G$57&lt;=AI$2)*($W$8:$W$57&gt;=AI$2)*(WEEKDAY(AI$2,2)&lt;6)*($M$8:$M$57)/($V$8:$V$57+($V$8:$V$57=0)))</f>
        <v/>
      </c>
      <c r="AJ4" s="39">
        <f>SUMPRODUCT(($G$8:$G$57&lt;&gt;"")*($G$8:$G$57&lt;=AJ$2)*($W$8:$W$57&gt;=AJ$2)*(WEEKDAY(AJ$2,2)&lt;6)*($M$8:$M$57)/($V$8:$V$57+($V$8:$V$57=0)))</f>
        <v/>
      </c>
      <c r="AK4" s="39">
        <f>SUMPRODUCT(($G$8:$G$57&lt;&gt;"")*($G$8:$G$57&lt;=AK$2)*($W$8:$W$57&gt;=AK$2)*(WEEKDAY(AK$2,2)&lt;6)*($M$8:$M$57)/($V$8:$V$57+($V$8:$V$57=0)))</f>
        <v/>
      </c>
      <c r="AL4" s="39">
        <f>SUMPRODUCT(($G$8:$G$57&lt;&gt;"")*($G$8:$G$57&lt;=AL$2)*($W$8:$W$57&gt;=AL$2)*(WEEKDAY(AL$2,2)&lt;6)*($M$8:$M$57)/($V$8:$V$57+($V$8:$V$57=0)))</f>
        <v/>
      </c>
      <c r="AM4" s="39">
        <f>SUMPRODUCT(($G$8:$G$57&lt;&gt;"")*($G$8:$G$57&lt;=AM$2)*($W$8:$W$57&gt;=AM$2)*(WEEKDAY(AM$2,2)&lt;6)*($M$8:$M$57)/($V$8:$V$57+($V$8:$V$57=0)))</f>
        <v/>
      </c>
      <c r="AN4" s="39">
        <f>SUMPRODUCT(($G$8:$G$57&lt;&gt;"")*($G$8:$G$57&lt;=AN$2)*($W$8:$W$57&gt;=AN$2)*(WEEKDAY(AN$2,2)&lt;6)*($M$8:$M$57)/($V$8:$V$57+($V$8:$V$57=0)))</f>
        <v/>
      </c>
      <c r="AO4" s="39">
        <f>SUMPRODUCT(($G$8:$G$57&lt;&gt;"")*($G$8:$G$57&lt;=AO$2)*($W$8:$W$57&gt;=AO$2)*(WEEKDAY(AO$2,2)&lt;6)*($M$8:$M$57)/($V$8:$V$57+($V$8:$V$57=0)))</f>
        <v/>
      </c>
      <c r="AP4" s="39">
        <f>SUMPRODUCT(($G$8:$G$57&lt;&gt;"")*($G$8:$G$57&lt;=AP$2)*($W$8:$W$57&gt;=AP$2)*(WEEKDAY(AP$2,2)&lt;6)*($M$8:$M$57)/($V$8:$V$57+($V$8:$V$57=0)))</f>
        <v/>
      </c>
      <c r="AQ4" s="39">
        <f>SUMPRODUCT(($G$8:$G$57&lt;&gt;"")*($G$8:$G$57&lt;=AQ$2)*($W$8:$W$57&gt;=AQ$2)*(WEEKDAY(AQ$2,2)&lt;6)*($M$8:$M$57)/($V$8:$V$57+($V$8:$V$57=0)))</f>
        <v/>
      </c>
      <c r="AR4" s="39">
        <f>SUMPRODUCT(($G$8:$G$57&lt;&gt;"")*($G$8:$G$57&lt;=AR$2)*($W$8:$W$57&gt;=AR$2)*(WEEKDAY(AR$2,2)&lt;6)*($M$8:$M$57)/($V$8:$V$57+($V$8:$V$57=0)))</f>
        <v/>
      </c>
      <c r="AS4" s="39">
        <f>SUMPRODUCT(($G$8:$G$57&lt;&gt;"")*($G$8:$G$57&lt;=AS$2)*($W$8:$W$57&gt;=AS$2)*(WEEKDAY(AS$2,2)&lt;6)*($M$8:$M$57)/($V$8:$V$57+($V$8:$V$57=0)))</f>
        <v/>
      </c>
      <c r="AT4" s="39">
        <f>SUMPRODUCT(($G$8:$G$57&lt;&gt;"")*($G$8:$G$57&lt;=AT$2)*($W$8:$W$57&gt;=AT$2)*(WEEKDAY(AT$2,2)&lt;6)*($M$8:$M$57)/($V$8:$V$57+($V$8:$V$57=0)))</f>
        <v/>
      </c>
      <c r="AU4" s="39">
        <f>SUMPRODUCT(($G$8:$G$57&lt;&gt;"")*($G$8:$G$57&lt;=AU$2)*($W$8:$W$57&gt;=AU$2)*(WEEKDAY(AU$2,2)&lt;6)*($M$8:$M$57)/($V$8:$V$57+($V$8:$V$57=0)))</f>
        <v/>
      </c>
      <c r="AV4" s="39">
        <f>SUMPRODUCT(($G$8:$G$57&lt;&gt;"")*($G$8:$G$57&lt;=AV$2)*($W$8:$W$57&gt;=AV$2)*(WEEKDAY(AV$2,2)&lt;6)*($M$8:$M$57)/($V$8:$V$57+($V$8:$V$57=0)))</f>
        <v/>
      </c>
      <c r="AW4" s="39">
        <f>SUMPRODUCT(($G$8:$G$57&lt;&gt;"")*($G$8:$G$57&lt;=AW$2)*($W$8:$W$57&gt;=AW$2)*(WEEKDAY(AW$2,2)&lt;6)*($M$8:$M$57)/($V$8:$V$57+($V$8:$V$57=0)))</f>
        <v/>
      </c>
      <c r="AX4" s="39">
        <f>SUMPRODUCT(($G$8:$G$57&lt;&gt;"")*($G$8:$G$57&lt;=AX$2)*($W$8:$W$57&gt;=AX$2)*(WEEKDAY(AX$2,2)&lt;6)*($M$8:$M$57)/($V$8:$V$57+($V$8:$V$57=0)))</f>
        <v/>
      </c>
      <c r="AY4" s="39">
        <f>SUMPRODUCT(($G$8:$G$57&lt;&gt;"")*($G$8:$G$57&lt;=AY$2)*($W$8:$W$57&gt;=AY$2)*(WEEKDAY(AY$2,2)&lt;6)*($M$8:$M$57)/($V$8:$V$57+($V$8:$V$57=0)))</f>
        <v/>
      </c>
      <c r="AZ4" s="39">
        <f>SUMPRODUCT(($G$8:$G$57&lt;&gt;"")*($G$8:$G$57&lt;=AZ$2)*($W$8:$W$57&gt;=AZ$2)*(WEEKDAY(AZ$2,2)&lt;6)*($M$8:$M$57)/($V$8:$V$57+($V$8:$V$57=0)))</f>
        <v/>
      </c>
      <c r="BA4" s="39">
        <f>SUMPRODUCT(($G$8:$G$57&lt;&gt;"")*($G$8:$G$57&lt;=BA$2)*($W$8:$W$57&gt;=BA$2)*(WEEKDAY(BA$2,2)&lt;6)*($M$8:$M$57)/($V$8:$V$57+($V$8:$V$57=0)))</f>
        <v/>
      </c>
      <c r="BB4" s="39">
        <f>SUMPRODUCT(($G$8:$G$57&lt;&gt;"")*($G$8:$G$57&lt;=BB$2)*($W$8:$W$57&gt;=BB$2)*(WEEKDAY(BB$2,2)&lt;6)*($M$8:$M$57)/($V$8:$V$57+($V$8:$V$57=0)))</f>
        <v/>
      </c>
      <c r="BC4" s="39">
        <f>SUMPRODUCT(($G$8:$G$57&lt;&gt;"")*($G$8:$G$57&lt;=BC$2)*($W$8:$W$57&gt;=BC$2)*(WEEKDAY(BC$2,2)&lt;6)*($M$8:$M$57)/($V$8:$V$57+($V$8:$V$57=0)))</f>
        <v/>
      </c>
      <c r="BD4" s="39">
        <f>SUMPRODUCT(($G$8:$G$57&lt;&gt;"")*($G$8:$G$57&lt;=BD$2)*($W$8:$W$57&gt;=BD$2)*(WEEKDAY(BD$2,2)&lt;6)*($M$8:$M$57)/($V$8:$V$57+($V$8:$V$57=0)))</f>
        <v/>
      </c>
      <c r="BE4" s="39">
        <f>SUMPRODUCT(($G$8:$G$57&lt;&gt;"")*($G$8:$G$57&lt;=BE$2)*($W$8:$W$57&gt;=BE$2)*(WEEKDAY(BE$2,2)&lt;6)*($M$8:$M$57)/($V$8:$V$57+($V$8:$V$57=0)))</f>
        <v/>
      </c>
    </row>
    <row r="5">
      <c r="A5" s="35" t="inlineStr">
        <is>
          <t>이미지 TO</t>
        </is>
      </c>
      <c r="G5" s="36" t="inlineStr">
        <is>
          <t>정원</t>
        </is>
      </c>
      <c r="H5" s="37">
        <f>'마스터'!$J$10</f>
        <v/>
      </c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AA5" s="39">
        <f>SUMPRODUCT(($G$8:$G$57&lt;&gt;"")*($G$8:$G$57&lt;=AA$2)*($W$8:$W$57&gt;=AA$2)*(WEEKDAY(AA$2,2)&lt;6)*($O$8:$O$57)/($V$8:$V$57+($V$8:$V$57=0)))</f>
        <v/>
      </c>
      <c r="AB5" s="39">
        <f>SUMPRODUCT(($G$8:$G$57&lt;&gt;"")*($G$8:$G$57&lt;=AB$2)*($W$8:$W$57&gt;=AB$2)*(WEEKDAY(AB$2,2)&lt;6)*($O$8:$O$57)/($V$8:$V$57+($V$8:$V$57=0)))</f>
        <v/>
      </c>
      <c r="AC5" s="39">
        <f>SUMPRODUCT(($G$8:$G$57&lt;&gt;"")*($G$8:$G$57&lt;=AC$2)*($W$8:$W$57&gt;=AC$2)*(WEEKDAY(AC$2,2)&lt;6)*($O$8:$O$57)/($V$8:$V$57+($V$8:$V$57=0)))</f>
        <v/>
      </c>
      <c r="AD5" s="39">
        <f>SUMPRODUCT(($G$8:$G$57&lt;&gt;"")*($G$8:$G$57&lt;=AD$2)*($W$8:$W$57&gt;=AD$2)*(WEEKDAY(AD$2,2)&lt;6)*($O$8:$O$57)/($V$8:$V$57+($V$8:$V$57=0)))</f>
        <v/>
      </c>
      <c r="AE5" s="39">
        <f>SUMPRODUCT(($G$8:$G$57&lt;&gt;"")*($G$8:$G$57&lt;=AE$2)*($W$8:$W$57&gt;=AE$2)*(WEEKDAY(AE$2,2)&lt;6)*($O$8:$O$57)/($V$8:$V$57+($V$8:$V$57=0)))</f>
        <v/>
      </c>
      <c r="AF5" s="39">
        <f>SUMPRODUCT(($G$8:$G$57&lt;&gt;"")*($G$8:$G$57&lt;=AF$2)*($W$8:$W$57&gt;=AF$2)*(WEEKDAY(AF$2,2)&lt;6)*($O$8:$O$57)/($V$8:$V$57+($V$8:$V$57=0)))</f>
        <v/>
      </c>
      <c r="AG5" s="39">
        <f>SUMPRODUCT(($G$8:$G$57&lt;&gt;"")*($G$8:$G$57&lt;=AG$2)*($W$8:$W$57&gt;=AG$2)*(WEEKDAY(AG$2,2)&lt;6)*($O$8:$O$57)/($V$8:$V$57+($V$8:$V$57=0)))</f>
        <v/>
      </c>
      <c r="AH5" s="39">
        <f>SUMPRODUCT(($G$8:$G$57&lt;&gt;"")*($G$8:$G$57&lt;=AH$2)*($W$8:$W$57&gt;=AH$2)*(WEEKDAY(AH$2,2)&lt;6)*($O$8:$O$57)/($V$8:$V$57+($V$8:$V$57=0)))</f>
        <v/>
      </c>
      <c r="AI5" s="39">
        <f>SUMPRODUCT(($G$8:$G$57&lt;&gt;"")*($G$8:$G$57&lt;=AI$2)*($W$8:$W$57&gt;=AI$2)*(WEEKDAY(AI$2,2)&lt;6)*($O$8:$O$57)/($V$8:$V$57+($V$8:$V$57=0)))</f>
        <v/>
      </c>
      <c r="AJ5" s="39">
        <f>SUMPRODUCT(($G$8:$G$57&lt;&gt;"")*($G$8:$G$57&lt;=AJ$2)*($W$8:$W$57&gt;=AJ$2)*(WEEKDAY(AJ$2,2)&lt;6)*($O$8:$O$57)/($V$8:$V$57+($V$8:$V$57=0)))</f>
        <v/>
      </c>
      <c r="AK5" s="39">
        <f>SUMPRODUCT(($G$8:$G$57&lt;&gt;"")*($G$8:$G$57&lt;=AK$2)*($W$8:$W$57&gt;=AK$2)*(WEEKDAY(AK$2,2)&lt;6)*($O$8:$O$57)/($V$8:$V$57+($V$8:$V$57=0)))</f>
        <v/>
      </c>
      <c r="AL5" s="39">
        <f>SUMPRODUCT(($G$8:$G$57&lt;&gt;"")*($G$8:$G$57&lt;=AL$2)*($W$8:$W$57&gt;=AL$2)*(WEEKDAY(AL$2,2)&lt;6)*($O$8:$O$57)/($V$8:$V$57+($V$8:$V$57=0)))</f>
        <v/>
      </c>
      <c r="AM5" s="39">
        <f>SUMPRODUCT(($G$8:$G$57&lt;&gt;"")*($G$8:$G$57&lt;=AM$2)*($W$8:$W$57&gt;=AM$2)*(WEEKDAY(AM$2,2)&lt;6)*($O$8:$O$57)/($V$8:$V$57+($V$8:$V$57=0)))</f>
        <v/>
      </c>
      <c r="AN5" s="39">
        <f>SUMPRODUCT(($G$8:$G$57&lt;&gt;"")*($G$8:$G$57&lt;=AN$2)*($W$8:$W$57&gt;=AN$2)*(WEEKDAY(AN$2,2)&lt;6)*($O$8:$O$57)/($V$8:$V$57+($V$8:$V$57=0)))</f>
        <v/>
      </c>
      <c r="AO5" s="39">
        <f>SUMPRODUCT(($G$8:$G$57&lt;&gt;"")*($G$8:$G$57&lt;=AO$2)*($W$8:$W$57&gt;=AO$2)*(WEEKDAY(AO$2,2)&lt;6)*($O$8:$O$57)/($V$8:$V$57+($V$8:$V$57=0)))</f>
        <v/>
      </c>
      <c r="AP5" s="39">
        <f>SUMPRODUCT(($G$8:$G$57&lt;&gt;"")*($G$8:$G$57&lt;=AP$2)*($W$8:$W$57&gt;=AP$2)*(WEEKDAY(AP$2,2)&lt;6)*($O$8:$O$57)/($V$8:$V$57+($V$8:$V$57=0)))</f>
        <v/>
      </c>
      <c r="AQ5" s="39">
        <f>SUMPRODUCT(($G$8:$G$57&lt;&gt;"")*($G$8:$G$57&lt;=AQ$2)*($W$8:$W$57&gt;=AQ$2)*(WEEKDAY(AQ$2,2)&lt;6)*($O$8:$O$57)/($V$8:$V$57+($V$8:$V$57=0)))</f>
        <v/>
      </c>
      <c r="AR5" s="39">
        <f>SUMPRODUCT(($G$8:$G$57&lt;&gt;"")*($G$8:$G$57&lt;=AR$2)*($W$8:$W$57&gt;=AR$2)*(WEEKDAY(AR$2,2)&lt;6)*($O$8:$O$57)/($V$8:$V$57+($V$8:$V$57=0)))</f>
        <v/>
      </c>
      <c r="AS5" s="39">
        <f>SUMPRODUCT(($G$8:$G$57&lt;&gt;"")*($G$8:$G$57&lt;=AS$2)*($W$8:$W$57&gt;=AS$2)*(WEEKDAY(AS$2,2)&lt;6)*($O$8:$O$57)/($V$8:$V$57+($V$8:$V$57=0)))</f>
        <v/>
      </c>
      <c r="AT5" s="39">
        <f>SUMPRODUCT(($G$8:$G$57&lt;&gt;"")*($G$8:$G$57&lt;=AT$2)*($W$8:$W$57&gt;=AT$2)*(WEEKDAY(AT$2,2)&lt;6)*($O$8:$O$57)/($V$8:$V$57+($V$8:$V$57=0)))</f>
        <v/>
      </c>
      <c r="AU5" s="39">
        <f>SUMPRODUCT(($G$8:$G$57&lt;&gt;"")*($G$8:$G$57&lt;=AU$2)*($W$8:$W$57&gt;=AU$2)*(WEEKDAY(AU$2,2)&lt;6)*($O$8:$O$57)/($V$8:$V$57+($V$8:$V$57=0)))</f>
        <v/>
      </c>
      <c r="AV5" s="39">
        <f>SUMPRODUCT(($G$8:$G$57&lt;&gt;"")*($G$8:$G$57&lt;=AV$2)*($W$8:$W$57&gt;=AV$2)*(WEEKDAY(AV$2,2)&lt;6)*($O$8:$O$57)/($V$8:$V$57+($V$8:$V$57=0)))</f>
        <v/>
      </c>
      <c r="AW5" s="39">
        <f>SUMPRODUCT(($G$8:$G$57&lt;&gt;"")*($G$8:$G$57&lt;=AW$2)*($W$8:$W$57&gt;=AW$2)*(WEEKDAY(AW$2,2)&lt;6)*($O$8:$O$57)/($V$8:$V$57+($V$8:$V$57=0)))</f>
        <v/>
      </c>
      <c r="AX5" s="39">
        <f>SUMPRODUCT(($G$8:$G$57&lt;&gt;"")*($G$8:$G$57&lt;=AX$2)*($W$8:$W$57&gt;=AX$2)*(WEEKDAY(AX$2,2)&lt;6)*($O$8:$O$57)/($V$8:$V$57+($V$8:$V$57=0)))</f>
        <v/>
      </c>
      <c r="AY5" s="39">
        <f>SUMPRODUCT(($G$8:$G$57&lt;&gt;"")*($G$8:$G$57&lt;=AY$2)*($W$8:$W$57&gt;=AY$2)*(WEEKDAY(AY$2,2)&lt;6)*($O$8:$O$57)/($V$8:$V$57+($V$8:$V$57=0)))</f>
        <v/>
      </c>
      <c r="AZ5" s="39">
        <f>SUMPRODUCT(($G$8:$G$57&lt;&gt;"")*($G$8:$G$57&lt;=AZ$2)*($W$8:$W$57&gt;=AZ$2)*(WEEKDAY(AZ$2,2)&lt;6)*($O$8:$O$57)/($V$8:$V$57+($V$8:$V$57=0)))</f>
        <v/>
      </c>
      <c r="BA5" s="39">
        <f>SUMPRODUCT(($G$8:$G$57&lt;&gt;"")*($G$8:$G$57&lt;=BA$2)*($W$8:$W$57&gt;=BA$2)*(WEEKDAY(BA$2,2)&lt;6)*($O$8:$O$57)/($V$8:$V$57+($V$8:$V$57=0)))</f>
        <v/>
      </c>
      <c r="BB5" s="39">
        <f>SUMPRODUCT(($G$8:$G$57&lt;&gt;"")*($G$8:$G$57&lt;=BB$2)*($W$8:$W$57&gt;=BB$2)*(WEEKDAY(BB$2,2)&lt;6)*($O$8:$O$57)/($V$8:$V$57+($V$8:$V$57=0)))</f>
        <v/>
      </c>
      <c r="BC5" s="39">
        <f>SUMPRODUCT(($G$8:$G$57&lt;&gt;"")*($G$8:$G$57&lt;=BC$2)*($W$8:$W$57&gt;=BC$2)*(WEEKDAY(BC$2,2)&lt;6)*($O$8:$O$57)/($V$8:$V$57+($V$8:$V$57=0)))</f>
        <v/>
      </c>
      <c r="BD5" s="39">
        <f>SUMPRODUCT(($G$8:$G$57&lt;&gt;"")*($G$8:$G$57&lt;=BD$2)*($W$8:$W$57&gt;=BD$2)*(WEEKDAY(BD$2,2)&lt;6)*($O$8:$O$57)/($V$8:$V$57+($V$8:$V$57=0)))</f>
        <v/>
      </c>
      <c r="BE5" s="39">
        <f>SUMPRODUCT(($G$8:$G$57&lt;&gt;"")*($G$8:$G$57&lt;=BE$2)*($W$8:$W$57&gt;=BE$2)*(WEEKDAY(BE$2,2)&lt;6)*($O$8:$O$57)/($V$8:$V$57+($V$8:$V$57=0)))</f>
        <v/>
      </c>
    </row>
    <row r="6">
      <c r="A6" s="35" t="inlineStr">
        <is>
          <t>기획 TO</t>
        </is>
      </c>
      <c r="G6" s="36" t="inlineStr">
        <is>
          <t>정원</t>
        </is>
      </c>
      <c r="H6" s="37">
        <f>'마스터'!$J$11</f>
        <v/>
      </c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AA6" s="39">
        <f>SUMPRODUCT(($G$8:$G$57&lt;&gt;"")*($G$8:$G$57&lt;=AA$2)*($W$8:$W$57&gt;=AA$2)*(WEEKDAY(AA$2,2)&lt;6)*($Q$8:$Q$57)/($V$8:$V$57+($V$8:$V$57=0)))</f>
        <v/>
      </c>
      <c r="AB6" s="39">
        <f>SUMPRODUCT(($G$8:$G$57&lt;&gt;"")*($G$8:$G$57&lt;=AB$2)*($W$8:$W$57&gt;=AB$2)*(WEEKDAY(AB$2,2)&lt;6)*($Q$8:$Q$57)/($V$8:$V$57+($V$8:$V$57=0)))</f>
        <v/>
      </c>
      <c r="AC6" s="39">
        <f>SUMPRODUCT(($G$8:$G$57&lt;&gt;"")*($G$8:$G$57&lt;=AC$2)*($W$8:$W$57&gt;=AC$2)*(WEEKDAY(AC$2,2)&lt;6)*($Q$8:$Q$57)/($V$8:$V$57+($V$8:$V$57=0)))</f>
        <v/>
      </c>
      <c r="AD6" s="39">
        <f>SUMPRODUCT(($G$8:$G$57&lt;&gt;"")*($G$8:$G$57&lt;=AD$2)*($W$8:$W$57&gt;=AD$2)*(WEEKDAY(AD$2,2)&lt;6)*($Q$8:$Q$57)/($V$8:$V$57+($V$8:$V$57=0)))</f>
        <v/>
      </c>
      <c r="AE6" s="39">
        <f>SUMPRODUCT(($G$8:$G$57&lt;&gt;"")*($G$8:$G$57&lt;=AE$2)*($W$8:$W$57&gt;=AE$2)*(WEEKDAY(AE$2,2)&lt;6)*($Q$8:$Q$57)/($V$8:$V$57+($V$8:$V$57=0)))</f>
        <v/>
      </c>
      <c r="AF6" s="39">
        <f>SUMPRODUCT(($G$8:$G$57&lt;&gt;"")*($G$8:$G$57&lt;=AF$2)*($W$8:$W$57&gt;=AF$2)*(WEEKDAY(AF$2,2)&lt;6)*($Q$8:$Q$57)/($V$8:$V$57+($V$8:$V$57=0)))</f>
        <v/>
      </c>
      <c r="AG6" s="39">
        <f>SUMPRODUCT(($G$8:$G$57&lt;&gt;"")*($G$8:$G$57&lt;=AG$2)*($W$8:$W$57&gt;=AG$2)*(WEEKDAY(AG$2,2)&lt;6)*($Q$8:$Q$57)/($V$8:$V$57+($V$8:$V$57=0)))</f>
        <v/>
      </c>
      <c r="AH6" s="39">
        <f>SUMPRODUCT(($G$8:$G$57&lt;&gt;"")*($G$8:$G$57&lt;=AH$2)*($W$8:$W$57&gt;=AH$2)*(WEEKDAY(AH$2,2)&lt;6)*($Q$8:$Q$57)/($V$8:$V$57+($V$8:$V$57=0)))</f>
        <v/>
      </c>
      <c r="AI6" s="39">
        <f>SUMPRODUCT(($G$8:$G$57&lt;&gt;"")*($G$8:$G$57&lt;=AI$2)*($W$8:$W$57&gt;=AI$2)*(WEEKDAY(AI$2,2)&lt;6)*($Q$8:$Q$57)/($V$8:$V$57+($V$8:$V$57=0)))</f>
        <v/>
      </c>
      <c r="AJ6" s="39">
        <f>SUMPRODUCT(($G$8:$G$57&lt;&gt;"")*($G$8:$G$57&lt;=AJ$2)*($W$8:$W$57&gt;=AJ$2)*(WEEKDAY(AJ$2,2)&lt;6)*($Q$8:$Q$57)/($V$8:$V$57+($V$8:$V$57=0)))</f>
        <v/>
      </c>
      <c r="AK6" s="39">
        <f>SUMPRODUCT(($G$8:$G$57&lt;&gt;"")*($G$8:$G$57&lt;=AK$2)*($W$8:$W$57&gt;=AK$2)*(WEEKDAY(AK$2,2)&lt;6)*($Q$8:$Q$57)/($V$8:$V$57+($V$8:$V$57=0)))</f>
        <v/>
      </c>
      <c r="AL6" s="39">
        <f>SUMPRODUCT(($G$8:$G$57&lt;&gt;"")*($G$8:$G$57&lt;=AL$2)*($W$8:$W$57&gt;=AL$2)*(WEEKDAY(AL$2,2)&lt;6)*($Q$8:$Q$57)/($V$8:$V$57+($V$8:$V$57=0)))</f>
        <v/>
      </c>
      <c r="AM6" s="39">
        <f>SUMPRODUCT(($G$8:$G$57&lt;&gt;"")*($G$8:$G$57&lt;=AM$2)*($W$8:$W$57&gt;=AM$2)*(WEEKDAY(AM$2,2)&lt;6)*($Q$8:$Q$57)/($V$8:$V$57+($V$8:$V$57=0)))</f>
        <v/>
      </c>
      <c r="AN6" s="39">
        <f>SUMPRODUCT(($G$8:$G$57&lt;&gt;"")*($G$8:$G$57&lt;=AN$2)*($W$8:$W$57&gt;=AN$2)*(WEEKDAY(AN$2,2)&lt;6)*($Q$8:$Q$57)/($V$8:$V$57+($V$8:$V$57=0)))</f>
        <v/>
      </c>
      <c r="AO6" s="39">
        <f>SUMPRODUCT(($G$8:$G$57&lt;&gt;"")*($G$8:$G$57&lt;=AO$2)*($W$8:$W$57&gt;=AO$2)*(WEEKDAY(AO$2,2)&lt;6)*($Q$8:$Q$57)/($V$8:$V$57+($V$8:$V$57=0)))</f>
        <v/>
      </c>
      <c r="AP6" s="39">
        <f>SUMPRODUCT(($G$8:$G$57&lt;&gt;"")*($G$8:$G$57&lt;=AP$2)*($W$8:$W$57&gt;=AP$2)*(WEEKDAY(AP$2,2)&lt;6)*($Q$8:$Q$57)/($V$8:$V$57+($V$8:$V$57=0)))</f>
        <v/>
      </c>
      <c r="AQ6" s="39">
        <f>SUMPRODUCT(($G$8:$G$57&lt;&gt;"")*($G$8:$G$57&lt;=AQ$2)*($W$8:$W$57&gt;=AQ$2)*(WEEKDAY(AQ$2,2)&lt;6)*($Q$8:$Q$57)/($V$8:$V$57+($V$8:$V$57=0)))</f>
        <v/>
      </c>
      <c r="AR6" s="39">
        <f>SUMPRODUCT(($G$8:$G$57&lt;&gt;"")*($G$8:$G$57&lt;=AR$2)*($W$8:$W$57&gt;=AR$2)*(WEEKDAY(AR$2,2)&lt;6)*($Q$8:$Q$57)/($V$8:$V$57+($V$8:$V$57=0)))</f>
        <v/>
      </c>
      <c r="AS6" s="39">
        <f>SUMPRODUCT(($G$8:$G$57&lt;&gt;"")*($G$8:$G$57&lt;=AS$2)*($W$8:$W$57&gt;=AS$2)*(WEEKDAY(AS$2,2)&lt;6)*($Q$8:$Q$57)/($V$8:$V$57+($V$8:$V$57=0)))</f>
        <v/>
      </c>
      <c r="AT6" s="39">
        <f>SUMPRODUCT(($G$8:$G$57&lt;&gt;"")*($G$8:$G$57&lt;=AT$2)*($W$8:$W$57&gt;=AT$2)*(WEEKDAY(AT$2,2)&lt;6)*($Q$8:$Q$57)/($V$8:$V$57+($V$8:$V$57=0)))</f>
        <v/>
      </c>
      <c r="AU6" s="39">
        <f>SUMPRODUCT(($G$8:$G$57&lt;&gt;"")*($G$8:$G$57&lt;=AU$2)*($W$8:$W$57&gt;=AU$2)*(WEEKDAY(AU$2,2)&lt;6)*($Q$8:$Q$57)/($V$8:$V$57+($V$8:$V$57=0)))</f>
        <v/>
      </c>
      <c r="AV6" s="39">
        <f>SUMPRODUCT(($G$8:$G$57&lt;&gt;"")*($G$8:$G$57&lt;=AV$2)*($W$8:$W$57&gt;=AV$2)*(WEEKDAY(AV$2,2)&lt;6)*($Q$8:$Q$57)/($V$8:$V$57+($V$8:$V$57=0)))</f>
        <v/>
      </c>
      <c r="AW6" s="39">
        <f>SUMPRODUCT(($G$8:$G$57&lt;&gt;"")*($G$8:$G$57&lt;=AW$2)*($W$8:$W$57&gt;=AW$2)*(WEEKDAY(AW$2,2)&lt;6)*($Q$8:$Q$57)/($V$8:$V$57+($V$8:$V$57=0)))</f>
        <v/>
      </c>
      <c r="AX6" s="39">
        <f>SUMPRODUCT(($G$8:$G$57&lt;&gt;"")*($G$8:$G$57&lt;=AX$2)*($W$8:$W$57&gt;=AX$2)*(WEEKDAY(AX$2,2)&lt;6)*($Q$8:$Q$57)/($V$8:$V$57+($V$8:$V$57=0)))</f>
        <v/>
      </c>
      <c r="AY6" s="39">
        <f>SUMPRODUCT(($G$8:$G$57&lt;&gt;"")*($G$8:$G$57&lt;=AY$2)*($W$8:$W$57&gt;=AY$2)*(WEEKDAY(AY$2,2)&lt;6)*($Q$8:$Q$57)/($V$8:$V$57+($V$8:$V$57=0)))</f>
        <v/>
      </c>
      <c r="AZ6" s="39">
        <f>SUMPRODUCT(($G$8:$G$57&lt;&gt;"")*($G$8:$G$57&lt;=AZ$2)*($W$8:$W$57&gt;=AZ$2)*(WEEKDAY(AZ$2,2)&lt;6)*($Q$8:$Q$57)/($V$8:$V$57+($V$8:$V$57=0)))</f>
        <v/>
      </c>
      <c r="BA6" s="39">
        <f>SUMPRODUCT(($G$8:$G$57&lt;&gt;"")*($G$8:$G$57&lt;=BA$2)*($W$8:$W$57&gt;=BA$2)*(WEEKDAY(BA$2,2)&lt;6)*($Q$8:$Q$57)/($V$8:$V$57+($V$8:$V$57=0)))</f>
        <v/>
      </c>
      <c r="BB6" s="39">
        <f>SUMPRODUCT(($G$8:$G$57&lt;&gt;"")*($G$8:$G$57&lt;=BB$2)*($W$8:$W$57&gt;=BB$2)*(WEEKDAY(BB$2,2)&lt;6)*($Q$8:$Q$57)/($V$8:$V$57+($V$8:$V$57=0)))</f>
        <v/>
      </c>
      <c r="BC6" s="39">
        <f>SUMPRODUCT(($G$8:$G$57&lt;&gt;"")*($G$8:$G$57&lt;=BC$2)*($W$8:$W$57&gt;=BC$2)*(WEEKDAY(BC$2,2)&lt;6)*($Q$8:$Q$57)/($V$8:$V$57+($V$8:$V$57=0)))</f>
        <v/>
      </c>
      <c r="BD6" s="39">
        <f>SUMPRODUCT(($G$8:$G$57&lt;&gt;"")*($G$8:$G$57&lt;=BD$2)*($W$8:$W$57&gt;=BD$2)*(WEEKDAY(BD$2,2)&lt;6)*($Q$8:$Q$57)/($V$8:$V$57+($V$8:$V$57=0)))</f>
        <v/>
      </c>
      <c r="BE6" s="39">
        <f>SUMPRODUCT(($G$8:$G$57&lt;&gt;"")*($G$8:$G$57&lt;=BE$2)*($W$8:$W$57&gt;=BE$2)*(WEEKDAY(BE$2,2)&lt;6)*($Q$8:$Q$57)/($V$8:$V$57+($V$8:$V$57=0)))</f>
        <v/>
      </c>
    </row>
    <row r="8">
      <c r="A8" s="40">
        <f>IF(F8="","",COUNTA($F$8:F8))</f>
        <v/>
      </c>
      <c r="B8" s="41">
        <f>IF(G8="","",MONTH(G8))</f>
        <v/>
      </c>
      <c r="C8" s="42" t="inlineStr">
        <is>
          <t>SOL 인챈트</t>
        </is>
      </c>
      <c r="D8" s="43" t="inlineStr">
        <is>
          <t>마케팅3팀</t>
        </is>
      </c>
      <c r="E8" s="43" t="inlineStr">
        <is>
          <t>영상+이미지</t>
        </is>
      </c>
      <c r="F8" s="42" t="inlineStr">
        <is>
          <t>SOL_000120_카운트다운</t>
        </is>
      </c>
      <c r="G8" s="44">
        <f>DATE(2026,8,3)</f>
        <v/>
      </c>
      <c r="H8" s="44">
        <f>DATE(2026,8,6)</f>
        <v/>
      </c>
      <c r="I8" s="43" t="n">
        <v>1</v>
      </c>
      <c r="J8" s="43" t="n">
        <v>0</v>
      </c>
      <c r="K8" s="43" t="n">
        <v>0</v>
      </c>
      <c r="L8" s="42" t="inlineStr">
        <is>
          <t>강승일</t>
        </is>
      </c>
      <c r="M8" s="45" t="n">
        <v>2</v>
      </c>
      <c r="N8" s="42" t="inlineStr">
        <is>
          <t>김민성</t>
        </is>
      </c>
      <c r="O8" s="45" t="n">
        <v>1.5</v>
      </c>
      <c r="P8" s="42" t="inlineStr"/>
      <c r="Q8" s="45" t="n">
        <v>0</v>
      </c>
      <c r="R8" s="46">
        <f>IF(SUM(M8,O8,Q8)=0,"",SUM(M8,O8,Q8))</f>
        <v/>
      </c>
      <c r="S8" s="41">
        <f>IF(M8&gt;0,"영 ","")&amp;IF(O8&gt;0,"이 ","")&amp;IF(Q8&gt;0,"기 ","")</f>
        <v/>
      </c>
      <c r="T8" s="40">
        <f>IF(G8="","","W"&amp;ROUNDUP(DAY(G8)/7,0))</f>
        <v/>
      </c>
      <c r="U8" s="43" t="inlineStr">
        <is>
          <t>진행</t>
        </is>
      </c>
      <c r="V8" s="40">
        <f>IF(R8="",0,ROUNDUP(MAX(M8,O8,Q8)/'마스터'!$J$6,0))</f>
        <v/>
      </c>
      <c r="W8" s="47">
        <f>IF(OR(G8="",V8=0),"",WORKDAY(G8,V8-1))</f>
        <v/>
      </c>
      <c r="X8" s="41">
        <f>IF(OR(H8="",W8=""),"",H8-W8)</f>
        <v/>
      </c>
      <c r="Y8" s="42" t="inlineStr">
        <is>
          <t>Kling</t>
        </is>
      </c>
      <c r="AA8" s="48">
        <f>IF(AND($G8&lt;&gt;"",$W8&lt;&gt;"",AA$2&gt;=$G8,AA$2&lt;=$W8,WEEKDAY(AA$2,2)&lt;6),$R8/$V8,"")</f>
        <v/>
      </c>
      <c r="AB8" s="48">
        <f>IF(AND($G8&lt;&gt;"",$W8&lt;&gt;"",AB$2&gt;=$G8,AB$2&lt;=$W8,WEEKDAY(AB$2,2)&lt;6),$R8/$V8,"")</f>
        <v/>
      </c>
      <c r="AC8" s="48">
        <f>IF(AND($G8&lt;&gt;"",$W8&lt;&gt;"",AC$2&gt;=$G8,AC$2&lt;=$W8,WEEKDAY(AC$2,2)&lt;6),$R8/$V8,"")</f>
        <v/>
      </c>
      <c r="AD8" s="48">
        <f>IF(AND($G8&lt;&gt;"",$W8&lt;&gt;"",AD$2&gt;=$G8,AD$2&lt;=$W8,WEEKDAY(AD$2,2)&lt;6),$R8/$V8,"")</f>
        <v/>
      </c>
      <c r="AE8" s="48">
        <f>IF(AND($G8&lt;&gt;"",$W8&lt;&gt;"",AE$2&gt;=$G8,AE$2&lt;=$W8,WEEKDAY(AE$2,2)&lt;6),$R8/$V8,"")</f>
        <v/>
      </c>
      <c r="AF8" s="48">
        <f>IF(AND($G8&lt;&gt;"",$W8&lt;&gt;"",AF$2&gt;=$G8,AF$2&lt;=$W8,WEEKDAY(AF$2,2)&lt;6),$R8/$V8,"")</f>
        <v/>
      </c>
      <c r="AG8" s="48">
        <f>IF(AND($G8&lt;&gt;"",$W8&lt;&gt;"",AG$2&gt;=$G8,AG$2&lt;=$W8,WEEKDAY(AG$2,2)&lt;6),$R8/$V8,"")</f>
        <v/>
      </c>
      <c r="AH8" s="48">
        <f>IF(AND($G8&lt;&gt;"",$W8&lt;&gt;"",AH$2&gt;=$G8,AH$2&lt;=$W8,WEEKDAY(AH$2,2)&lt;6),$R8/$V8,"")</f>
        <v/>
      </c>
      <c r="AI8" s="48">
        <f>IF(AND($G8&lt;&gt;"",$W8&lt;&gt;"",AI$2&gt;=$G8,AI$2&lt;=$W8,WEEKDAY(AI$2,2)&lt;6),$R8/$V8,"")</f>
        <v/>
      </c>
      <c r="AJ8" s="48">
        <f>IF(AND($G8&lt;&gt;"",$W8&lt;&gt;"",AJ$2&gt;=$G8,AJ$2&lt;=$W8,WEEKDAY(AJ$2,2)&lt;6),$R8/$V8,"")</f>
        <v/>
      </c>
      <c r="AK8" s="48">
        <f>IF(AND($G8&lt;&gt;"",$W8&lt;&gt;"",AK$2&gt;=$G8,AK$2&lt;=$W8,WEEKDAY(AK$2,2)&lt;6),$R8/$V8,"")</f>
        <v/>
      </c>
      <c r="AL8" s="48">
        <f>IF(AND($G8&lt;&gt;"",$W8&lt;&gt;"",AL$2&gt;=$G8,AL$2&lt;=$W8,WEEKDAY(AL$2,2)&lt;6),$R8/$V8,"")</f>
        <v/>
      </c>
      <c r="AM8" s="48">
        <f>IF(AND($G8&lt;&gt;"",$W8&lt;&gt;"",AM$2&gt;=$G8,AM$2&lt;=$W8,WEEKDAY(AM$2,2)&lt;6),$R8/$V8,"")</f>
        <v/>
      </c>
      <c r="AN8" s="48">
        <f>IF(AND($G8&lt;&gt;"",$W8&lt;&gt;"",AN$2&gt;=$G8,AN$2&lt;=$W8,WEEKDAY(AN$2,2)&lt;6),$R8/$V8,"")</f>
        <v/>
      </c>
      <c r="AO8" s="48">
        <f>IF(AND($G8&lt;&gt;"",$W8&lt;&gt;"",AO$2&gt;=$G8,AO$2&lt;=$W8,WEEKDAY(AO$2,2)&lt;6),$R8/$V8,"")</f>
        <v/>
      </c>
      <c r="AP8" s="48">
        <f>IF(AND($G8&lt;&gt;"",$W8&lt;&gt;"",AP$2&gt;=$G8,AP$2&lt;=$W8,WEEKDAY(AP$2,2)&lt;6),$R8/$V8,"")</f>
        <v/>
      </c>
      <c r="AQ8" s="48">
        <f>IF(AND($G8&lt;&gt;"",$W8&lt;&gt;"",AQ$2&gt;=$G8,AQ$2&lt;=$W8,WEEKDAY(AQ$2,2)&lt;6),$R8/$V8,"")</f>
        <v/>
      </c>
      <c r="AR8" s="48">
        <f>IF(AND($G8&lt;&gt;"",$W8&lt;&gt;"",AR$2&gt;=$G8,AR$2&lt;=$W8,WEEKDAY(AR$2,2)&lt;6),$R8/$V8,"")</f>
        <v/>
      </c>
      <c r="AS8" s="48">
        <f>IF(AND($G8&lt;&gt;"",$W8&lt;&gt;"",AS$2&gt;=$G8,AS$2&lt;=$W8,WEEKDAY(AS$2,2)&lt;6),$R8/$V8,"")</f>
        <v/>
      </c>
      <c r="AT8" s="48">
        <f>IF(AND($G8&lt;&gt;"",$W8&lt;&gt;"",AT$2&gt;=$G8,AT$2&lt;=$W8,WEEKDAY(AT$2,2)&lt;6),$R8/$V8,"")</f>
        <v/>
      </c>
      <c r="AU8" s="48">
        <f>IF(AND($G8&lt;&gt;"",$W8&lt;&gt;"",AU$2&gt;=$G8,AU$2&lt;=$W8,WEEKDAY(AU$2,2)&lt;6),$R8/$V8,"")</f>
        <v/>
      </c>
      <c r="AV8" s="48">
        <f>IF(AND($G8&lt;&gt;"",$W8&lt;&gt;"",AV$2&gt;=$G8,AV$2&lt;=$W8,WEEKDAY(AV$2,2)&lt;6),$R8/$V8,"")</f>
        <v/>
      </c>
      <c r="AW8" s="48">
        <f>IF(AND($G8&lt;&gt;"",$W8&lt;&gt;"",AW$2&gt;=$G8,AW$2&lt;=$W8,WEEKDAY(AW$2,2)&lt;6),$R8/$V8,"")</f>
        <v/>
      </c>
      <c r="AX8" s="48">
        <f>IF(AND($G8&lt;&gt;"",$W8&lt;&gt;"",AX$2&gt;=$G8,AX$2&lt;=$W8,WEEKDAY(AX$2,2)&lt;6),$R8/$V8,"")</f>
        <v/>
      </c>
      <c r="AY8" s="48">
        <f>IF(AND($G8&lt;&gt;"",$W8&lt;&gt;"",AY$2&gt;=$G8,AY$2&lt;=$W8,WEEKDAY(AY$2,2)&lt;6),$R8/$V8,"")</f>
        <v/>
      </c>
      <c r="AZ8" s="48">
        <f>IF(AND($G8&lt;&gt;"",$W8&lt;&gt;"",AZ$2&gt;=$G8,AZ$2&lt;=$W8,WEEKDAY(AZ$2,2)&lt;6),$R8/$V8,"")</f>
        <v/>
      </c>
      <c r="BA8" s="48">
        <f>IF(AND($G8&lt;&gt;"",$W8&lt;&gt;"",BA$2&gt;=$G8,BA$2&lt;=$W8,WEEKDAY(BA$2,2)&lt;6),$R8/$V8,"")</f>
        <v/>
      </c>
      <c r="BB8" s="48">
        <f>IF(AND($G8&lt;&gt;"",$W8&lt;&gt;"",BB$2&gt;=$G8,BB$2&lt;=$W8,WEEKDAY(BB$2,2)&lt;6),$R8/$V8,"")</f>
        <v/>
      </c>
      <c r="BC8" s="48">
        <f>IF(AND($G8&lt;&gt;"",$W8&lt;&gt;"",BC$2&gt;=$G8,BC$2&lt;=$W8,WEEKDAY(BC$2,2)&lt;6),$R8/$V8,"")</f>
        <v/>
      </c>
      <c r="BD8" s="48">
        <f>IF(AND($G8&lt;&gt;"",$W8&lt;&gt;"",BD$2&gt;=$G8,BD$2&lt;=$W8,WEEKDAY(BD$2,2)&lt;6),$R8/$V8,"")</f>
        <v/>
      </c>
      <c r="BE8" s="48">
        <f>IF(AND($G8&lt;&gt;"",$W8&lt;&gt;"",BE$2&gt;=$G8,BE$2&lt;=$W8,WEEKDAY(BE$2,2)&lt;6),$R8/$V8,"")</f>
        <v/>
      </c>
    </row>
    <row r="9">
      <c r="A9" s="40">
        <f>IF(F9="","",COUNTA($F$8:F9))</f>
        <v/>
      </c>
      <c r="B9" s="41">
        <f>IF(G9="","",MONTH(G9))</f>
        <v/>
      </c>
      <c r="C9" s="42" t="inlineStr">
        <is>
          <t>세나리버스</t>
        </is>
      </c>
      <c r="D9" s="43" t="inlineStr">
        <is>
          <t>마케팅2팀</t>
        </is>
      </c>
      <c r="E9" s="43" t="inlineStr">
        <is>
          <t>영상</t>
        </is>
      </c>
      <c r="F9" s="42" t="inlineStr">
        <is>
          <t>TSKGB_엔드카드</t>
        </is>
      </c>
      <c r="G9" s="44">
        <f>DATE(2026,8,4)</f>
        <v/>
      </c>
      <c r="H9" s="44">
        <f>DATE(2026,8,6)</f>
        <v/>
      </c>
      <c r="I9" s="43" t="n">
        <v>1</v>
      </c>
      <c r="J9" s="43" t="n">
        <v>1</v>
      </c>
      <c r="K9" s="43" t="n">
        <v>0</v>
      </c>
      <c r="L9" s="42" t="inlineStr">
        <is>
          <t>강민우</t>
        </is>
      </c>
      <c r="M9" s="45" t="n">
        <v>2</v>
      </c>
      <c r="N9" s="42" t="inlineStr"/>
      <c r="O9" s="45" t="n">
        <v>0</v>
      </c>
      <c r="P9" s="42" t="inlineStr"/>
      <c r="Q9" s="45" t="n">
        <v>0</v>
      </c>
      <c r="R9" s="46">
        <f>IF(SUM(M9,O9,Q9)=0,"",SUM(M9,O9,Q9))</f>
        <v/>
      </c>
      <c r="S9" s="41">
        <f>IF(M9&gt;0,"영 ","")&amp;IF(O9&gt;0,"이 ","")&amp;IF(Q9&gt;0,"기 ","")</f>
        <v/>
      </c>
      <c r="T9" s="40">
        <f>IF(G9="","","W"&amp;ROUNDUP(DAY(G9)/7,0))</f>
        <v/>
      </c>
      <c r="U9" s="43" t="inlineStr">
        <is>
          <t>검수</t>
        </is>
      </c>
      <c r="V9" s="40">
        <f>IF(R9="",0,ROUNDUP(MAX(M9,O9,Q9)/'마스터'!$J$6,0))</f>
        <v/>
      </c>
      <c r="W9" s="47">
        <f>IF(OR(G9="",V9=0),"",WORKDAY(G9,V9-1))</f>
        <v/>
      </c>
      <c r="X9" s="41">
        <f>IF(OR(H9="",W9=""),"",H9-W9)</f>
        <v/>
      </c>
      <c r="Y9" s="42" t="inlineStr">
        <is>
          <t>Seedance</t>
        </is>
      </c>
      <c r="AA9" s="48">
        <f>IF(AND($G9&lt;&gt;"",$W9&lt;&gt;"",AA$2&gt;=$G9,AA$2&lt;=$W9,WEEKDAY(AA$2,2)&lt;6),$R9/$V9,"")</f>
        <v/>
      </c>
      <c r="AB9" s="48">
        <f>IF(AND($G9&lt;&gt;"",$W9&lt;&gt;"",AB$2&gt;=$G9,AB$2&lt;=$W9,WEEKDAY(AB$2,2)&lt;6),$R9/$V9,"")</f>
        <v/>
      </c>
      <c r="AC9" s="48">
        <f>IF(AND($G9&lt;&gt;"",$W9&lt;&gt;"",AC$2&gt;=$G9,AC$2&lt;=$W9,WEEKDAY(AC$2,2)&lt;6),$R9/$V9,"")</f>
        <v/>
      </c>
      <c r="AD9" s="48">
        <f>IF(AND($G9&lt;&gt;"",$W9&lt;&gt;"",AD$2&gt;=$G9,AD$2&lt;=$W9,WEEKDAY(AD$2,2)&lt;6),$R9/$V9,"")</f>
        <v/>
      </c>
      <c r="AE9" s="48">
        <f>IF(AND($G9&lt;&gt;"",$W9&lt;&gt;"",AE$2&gt;=$G9,AE$2&lt;=$W9,WEEKDAY(AE$2,2)&lt;6),$R9/$V9,"")</f>
        <v/>
      </c>
      <c r="AF9" s="48">
        <f>IF(AND($G9&lt;&gt;"",$W9&lt;&gt;"",AF$2&gt;=$G9,AF$2&lt;=$W9,WEEKDAY(AF$2,2)&lt;6),$R9/$V9,"")</f>
        <v/>
      </c>
      <c r="AG9" s="48">
        <f>IF(AND($G9&lt;&gt;"",$W9&lt;&gt;"",AG$2&gt;=$G9,AG$2&lt;=$W9,WEEKDAY(AG$2,2)&lt;6),$R9/$V9,"")</f>
        <v/>
      </c>
      <c r="AH9" s="48">
        <f>IF(AND($G9&lt;&gt;"",$W9&lt;&gt;"",AH$2&gt;=$G9,AH$2&lt;=$W9,WEEKDAY(AH$2,2)&lt;6),$R9/$V9,"")</f>
        <v/>
      </c>
      <c r="AI9" s="48">
        <f>IF(AND($G9&lt;&gt;"",$W9&lt;&gt;"",AI$2&gt;=$G9,AI$2&lt;=$W9,WEEKDAY(AI$2,2)&lt;6),$R9/$V9,"")</f>
        <v/>
      </c>
      <c r="AJ9" s="48">
        <f>IF(AND($G9&lt;&gt;"",$W9&lt;&gt;"",AJ$2&gt;=$G9,AJ$2&lt;=$W9,WEEKDAY(AJ$2,2)&lt;6),$R9/$V9,"")</f>
        <v/>
      </c>
      <c r="AK9" s="48">
        <f>IF(AND($G9&lt;&gt;"",$W9&lt;&gt;"",AK$2&gt;=$G9,AK$2&lt;=$W9,WEEKDAY(AK$2,2)&lt;6),$R9/$V9,"")</f>
        <v/>
      </c>
      <c r="AL9" s="48">
        <f>IF(AND($G9&lt;&gt;"",$W9&lt;&gt;"",AL$2&gt;=$G9,AL$2&lt;=$W9,WEEKDAY(AL$2,2)&lt;6),$R9/$V9,"")</f>
        <v/>
      </c>
      <c r="AM9" s="48">
        <f>IF(AND($G9&lt;&gt;"",$W9&lt;&gt;"",AM$2&gt;=$G9,AM$2&lt;=$W9,WEEKDAY(AM$2,2)&lt;6),$R9/$V9,"")</f>
        <v/>
      </c>
      <c r="AN9" s="48">
        <f>IF(AND($G9&lt;&gt;"",$W9&lt;&gt;"",AN$2&gt;=$G9,AN$2&lt;=$W9,WEEKDAY(AN$2,2)&lt;6),$R9/$V9,"")</f>
        <v/>
      </c>
      <c r="AO9" s="48">
        <f>IF(AND($G9&lt;&gt;"",$W9&lt;&gt;"",AO$2&gt;=$G9,AO$2&lt;=$W9,WEEKDAY(AO$2,2)&lt;6),$R9/$V9,"")</f>
        <v/>
      </c>
      <c r="AP9" s="48">
        <f>IF(AND($G9&lt;&gt;"",$W9&lt;&gt;"",AP$2&gt;=$G9,AP$2&lt;=$W9,WEEKDAY(AP$2,2)&lt;6),$R9/$V9,"")</f>
        <v/>
      </c>
      <c r="AQ9" s="48">
        <f>IF(AND($G9&lt;&gt;"",$W9&lt;&gt;"",AQ$2&gt;=$G9,AQ$2&lt;=$W9,WEEKDAY(AQ$2,2)&lt;6),$R9/$V9,"")</f>
        <v/>
      </c>
      <c r="AR9" s="48">
        <f>IF(AND($G9&lt;&gt;"",$W9&lt;&gt;"",AR$2&gt;=$G9,AR$2&lt;=$W9,WEEKDAY(AR$2,2)&lt;6),$R9/$V9,"")</f>
        <v/>
      </c>
      <c r="AS9" s="48">
        <f>IF(AND($G9&lt;&gt;"",$W9&lt;&gt;"",AS$2&gt;=$G9,AS$2&lt;=$W9,WEEKDAY(AS$2,2)&lt;6),$R9/$V9,"")</f>
        <v/>
      </c>
      <c r="AT9" s="48">
        <f>IF(AND($G9&lt;&gt;"",$W9&lt;&gt;"",AT$2&gt;=$G9,AT$2&lt;=$W9,WEEKDAY(AT$2,2)&lt;6),$R9/$V9,"")</f>
        <v/>
      </c>
      <c r="AU9" s="48">
        <f>IF(AND($G9&lt;&gt;"",$W9&lt;&gt;"",AU$2&gt;=$G9,AU$2&lt;=$W9,WEEKDAY(AU$2,2)&lt;6),$R9/$V9,"")</f>
        <v/>
      </c>
      <c r="AV9" s="48">
        <f>IF(AND($G9&lt;&gt;"",$W9&lt;&gt;"",AV$2&gt;=$G9,AV$2&lt;=$W9,WEEKDAY(AV$2,2)&lt;6),$R9/$V9,"")</f>
        <v/>
      </c>
      <c r="AW9" s="48">
        <f>IF(AND($G9&lt;&gt;"",$W9&lt;&gt;"",AW$2&gt;=$G9,AW$2&lt;=$W9,WEEKDAY(AW$2,2)&lt;6),$R9/$V9,"")</f>
        <v/>
      </c>
      <c r="AX9" s="48">
        <f>IF(AND($G9&lt;&gt;"",$W9&lt;&gt;"",AX$2&gt;=$G9,AX$2&lt;=$W9,WEEKDAY(AX$2,2)&lt;6),$R9/$V9,"")</f>
        <v/>
      </c>
      <c r="AY9" s="48">
        <f>IF(AND($G9&lt;&gt;"",$W9&lt;&gt;"",AY$2&gt;=$G9,AY$2&lt;=$W9,WEEKDAY(AY$2,2)&lt;6),$R9/$V9,"")</f>
        <v/>
      </c>
      <c r="AZ9" s="48">
        <f>IF(AND($G9&lt;&gt;"",$W9&lt;&gt;"",AZ$2&gt;=$G9,AZ$2&lt;=$W9,WEEKDAY(AZ$2,2)&lt;6),$R9/$V9,"")</f>
        <v/>
      </c>
      <c r="BA9" s="48">
        <f>IF(AND($G9&lt;&gt;"",$W9&lt;&gt;"",BA$2&gt;=$G9,BA$2&lt;=$W9,WEEKDAY(BA$2,2)&lt;6),$R9/$V9,"")</f>
        <v/>
      </c>
      <c r="BB9" s="48">
        <f>IF(AND($G9&lt;&gt;"",$W9&lt;&gt;"",BB$2&gt;=$G9,BB$2&lt;=$W9,WEEKDAY(BB$2,2)&lt;6),$R9/$V9,"")</f>
        <v/>
      </c>
      <c r="BC9" s="48">
        <f>IF(AND($G9&lt;&gt;"",$W9&lt;&gt;"",BC$2&gt;=$G9,BC$2&lt;=$W9,WEEKDAY(BC$2,2)&lt;6),$R9/$V9,"")</f>
        <v/>
      </c>
      <c r="BD9" s="48">
        <f>IF(AND($G9&lt;&gt;"",$W9&lt;&gt;"",BD$2&gt;=$G9,BD$2&lt;=$W9,WEEKDAY(BD$2,2)&lt;6),$R9/$V9,"")</f>
        <v/>
      </c>
      <c r="BE9" s="48">
        <f>IF(AND($G9&lt;&gt;"",$W9&lt;&gt;"",BE$2&gt;=$G9,BE$2&lt;=$W9,WEEKDAY(BE$2,2)&lt;6),$R9/$V9,"")</f>
        <v/>
      </c>
    </row>
    <row r="10">
      <c r="A10" s="40">
        <f>IF(F10="","",COUNTA($F$8:F10))</f>
        <v/>
      </c>
      <c r="B10" s="41">
        <f>IF(G10="","",MONTH(G10))</f>
        <v/>
      </c>
      <c r="C10" s="42" t="inlineStr">
        <is>
          <t>칠대죄오리진</t>
        </is>
      </c>
      <c r="D10" s="43" t="inlineStr">
        <is>
          <t>마케팅4팀</t>
        </is>
      </c>
      <c r="E10" s="43" t="inlineStr">
        <is>
          <t>영상+이미지</t>
        </is>
      </c>
      <c r="F10" s="42" t="inlineStr">
        <is>
          <t>7DSOR_스토리트레일러</t>
        </is>
      </c>
      <c r="G10" s="44">
        <f>DATE(2026,8,5)</f>
        <v/>
      </c>
      <c r="H10" s="44">
        <f>DATE(2026,8,12)</f>
        <v/>
      </c>
      <c r="I10" s="43" t="n">
        <v>1</v>
      </c>
      <c r="J10" s="43" t="n">
        <v>2</v>
      </c>
      <c r="K10" s="43" t="n">
        <v>1</v>
      </c>
      <c r="L10" s="42" t="inlineStr">
        <is>
          <t>이지현</t>
        </is>
      </c>
      <c r="M10" s="45" t="n">
        <v>2.5</v>
      </c>
      <c r="N10" s="42" t="inlineStr">
        <is>
          <t>양재혁</t>
        </is>
      </c>
      <c r="O10" s="45" t="n">
        <v>1</v>
      </c>
      <c r="P10" s="42" t="inlineStr">
        <is>
          <t>박태원</t>
        </is>
      </c>
      <c r="Q10" s="45" t="n">
        <v>0.5</v>
      </c>
      <c r="R10" s="46">
        <f>IF(SUM(M10,O10,Q10)=0,"",SUM(M10,O10,Q10))</f>
        <v/>
      </c>
      <c r="S10" s="41">
        <f>IF(M10&gt;0,"영 ","")&amp;IF(O10&gt;0,"이 ","")&amp;IF(Q10&gt;0,"기 ","")</f>
        <v/>
      </c>
      <c r="T10" s="40">
        <f>IF(G10="","","W"&amp;ROUNDUP(DAY(G10)/7,0))</f>
        <v/>
      </c>
      <c r="U10" s="43" t="inlineStr">
        <is>
          <t>진행</t>
        </is>
      </c>
      <c r="V10" s="40">
        <f>IF(R10="",0,ROUNDUP(MAX(M10,O10,Q10)/'마스터'!$J$6,0))</f>
        <v/>
      </c>
      <c r="W10" s="47">
        <f>IF(OR(G10="",V10=0),"",WORKDAY(G10,V10-1))</f>
        <v/>
      </c>
      <c r="X10" s="41">
        <f>IF(OR(H10="",W10=""),"",H10-W10)</f>
        <v/>
      </c>
      <c r="Y10" s="42" t="inlineStr">
        <is>
          <t>GPT</t>
        </is>
      </c>
      <c r="AA10" s="48">
        <f>IF(AND($G10&lt;&gt;"",$W10&lt;&gt;"",AA$2&gt;=$G10,AA$2&lt;=$W10,WEEKDAY(AA$2,2)&lt;6),$R10/$V10,"")</f>
        <v/>
      </c>
      <c r="AB10" s="48">
        <f>IF(AND($G10&lt;&gt;"",$W10&lt;&gt;"",AB$2&gt;=$G10,AB$2&lt;=$W10,WEEKDAY(AB$2,2)&lt;6),$R10/$V10,"")</f>
        <v/>
      </c>
      <c r="AC10" s="48">
        <f>IF(AND($G10&lt;&gt;"",$W10&lt;&gt;"",AC$2&gt;=$G10,AC$2&lt;=$W10,WEEKDAY(AC$2,2)&lt;6),$R10/$V10,"")</f>
        <v/>
      </c>
      <c r="AD10" s="48">
        <f>IF(AND($G10&lt;&gt;"",$W10&lt;&gt;"",AD$2&gt;=$G10,AD$2&lt;=$W10,WEEKDAY(AD$2,2)&lt;6),$R10/$V10,"")</f>
        <v/>
      </c>
      <c r="AE10" s="48">
        <f>IF(AND($G10&lt;&gt;"",$W10&lt;&gt;"",AE$2&gt;=$G10,AE$2&lt;=$W10,WEEKDAY(AE$2,2)&lt;6),$R10/$V10,"")</f>
        <v/>
      </c>
      <c r="AF10" s="48">
        <f>IF(AND($G10&lt;&gt;"",$W10&lt;&gt;"",AF$2&gt;=$G10,AF$2&lt;=$W10,WEEKDAY(AF$2,2)&lt;6),$R10/$V10,"")</f>
        <v/>
      </c>
      <c r="AG10" s="48">
        <f>IF(AND($G10&lt;&gt;"",$W10&lt;&gt;"",AG$2&gt;=$G10,AG$2&lt;=$W10,WEEKDAY(AG$2,2)&lt;6),$R10/$V10,"")</f>
        <v/>
      </c>
      <c r="AH10" s="48">
        <f>IF(AND($G10&lt;&gt;"",$W10&lt;&gt;"",AH$2&gt;=$G10,AH$2&lt;=$W10,WEEKDAY(AH$2,2)&lt;6),$R10/$V10,"")</f>
        <v/>
      </c>
      <c r="AI10" s="48">
        <f>IF(AND($G10&lt;&gt;"",$W10&lt;&gt;"",AI$2&gt;=$G10,AI$2&lt;=$W10,WEEKDAY(AI$2,2)&lt;6),$R10/$V10,"")</f>
        <v/>
      </c>
      <c r="AJ10" s="48">
        <f>IF(AND($G10&lt;&gt;"",$W10&lt;&gt;"",AJ$2&gt;=$G10,AJ$2&lt;=$W10,WEEKDAY(AJ$2,2)&lt;6),$R10/$V10,"")</f>
        <v/>
      </c>
      <c r="AK10" s="48">
        <f>IF(AND($G10&lt;&gt;"",$W10&lt;&gt;"",AK$2&gt;=$G10,AK$2&lt;=$W10,WEEKDAY(AK$2,2)&lt;6),$R10/$V10,"")</f>
        <v/>
      </c>
      <c r="AL10" s="48">
        <f>IF(AND($G10&lt;&gt;"",$W10&lt;&gt;"",AL$2&gt;=$G10,AL$2&lt;=$W10,WEEKDAY(AL$2,2)&lt;6),$R10/$V10,"")</f>
        <v/>
      </c>
      <c r="AM10" s="48">
        <f>IF(AND($G10&lt;&gt;"",$W10&lt;&gt;"",AM$2&gt;=$G10,AM$2&lt;=$W10,WEEKDAY(AM$2,2)&lt;6),$R10/$V10,"")</f>
        <v/>
      </c>
      <c r="AN10" s="48">
        <f>IF(AND($G10&lt;&gt;"",$W10&lt;&gt;"",AN$2&gt;=$G10,AN$2&lt;=$W10,WEEKDAY(AN$2,2)&lt;6),$R10/$V10,"")</f>
        <v/>
      </c>
      <c r="AO10" s="48">
        <f>IF(AND($G10&lt;&gt;"",$W10&lt;&gt;"",AO$2&gt;=$G10,AO$2&lt;=$W10,WEEKDAY(AO$2,2)&lt;6),$R10/$V10,"")</f>
        <v/>
      </c>
      <c r="AP10" s="48">
        <f>IF(AND($G10&lt;&gt;"",$W10&lt;&gt;"",AP$2&gt;=$G10,AP$2&lt;=$W10,WEEKDAY(AP$2,2)&lt;6),$R10/$V10,"")</f>
        <v/>
      </c>
      <c r="AQ10" s="48">
        <f>IF(AND($G10&lt;&gt;"",$W10&lt;&gt;"",AQ$2&gt;=$G10,AQ$2&lt;=$W10,WEEKDAY(AQ$2,2)&lt;6),$R10/$V10,"")</f>
        <v/>
      </c>
      <c r="AR10" s="48">
        <f>IF(AND($G10&lt;&gt;"",$W10&lt;&gt;"",AR$2&gt;=$G10,AR$2&lt;=$W10,WEEKDAY(AR$2,2)&lt;6),$R10/$V10,"")</f>
        <v/>
      </c>
      <c r="AS10" s="48">
        <f>IF(AND($G10&lt;&gt;"",$W10&lt;&gt;"",AS$2&gt;=$G10,AS$2&lt;=$W10,WEEKDAY(AS$2,2)&lt;6),$R10/$V10,"")</f>
        <v/>
      </c>
      <c r="AT10" s="48">
        <f>IF(AND($G10&lt;&gt;"",$W10&lt;&gt;"",AT$2&gt;=$G10,AT$2&lt;=$W10,WEEKDAY(AT$2,2)&lt;6),$R10/$V10,"")</f>
        <v/>
      </c>
      <c r="AU10" s="48">
        <f>IF(AND($G10&lt;&gt;"",$W10&lt;&gt;"",AU$2&gt;=$G10,AU$2&lt;=$W10,WEEKDAY(AU$2,2)&lt;6),$R10/$V10,"")</f>
        <v/>
      </c>
      <c r="AV10" s="48">
        <f>IF(AND($G10&lt;&gt;"",$W10&lt;&gt;"",AV$2&gt;=$G10,AV$2&lt;=$W10,WEEKDAY(AV$2,2)&lt;6),$R10/$V10,"")</f>
        <v/>
      </c>
      <c r="AW10" s="48">
        <f>IF(AND($G10&lt;&gt;"",$W10&lt;&gt;"",AW$2&gt;=$G10,AW$2&lt;=$W10,WEEKDAY(AW$2,2)&lt;6),$R10/$V10,"")</f>
        <v/>
      </c>
      <c r="AX10" s="48">
        <f>IF(AND($G10&lt;&gt;"",$W10&lt;&gt;"",AX$2&gt;=$G10,AX$2&lt;=$W10,WEEKDAY(AX$2,2)&lt;6),$R10/$V10,"")</f>
        <v/>
      </c>
      <c r="AY10" s="48">
        <f>IF(AND($G10&lt;&gt;"",$W10&lt;&gt;"",AY$2&gt;=$G10,AY$2&lt;=$W10,WEEKDAY(AY$2,2)&lt;6),$R10/$V10,"")</f>
        <v/>
      </c>
      <c r="AZ10" s="48">
        <f>IF(AND($G10&lt;&gt;"",$W10&lt;&gt;"",AZ$2&gt;=$G10,AZ$2&lt;=$W10,WEEKDAY(AZ$2,2)&lt;6),$R10/$V10,"")</f>
        <v/>
      </c>
      <c r="BA10" s="48">
        <f>IF(AND($G10&lt;&gt;"",$W10&lt;&gt;"",BA$2&gt;=$G10,BA$2&lt;=$W10,WEEKDAY(BA$2,2)&lt;6),$R10/$V10,"")</f>
        <v/>
      </c>
      <c r="BB10" s="48">
        <f>IF(AND($G10&lt;&gt;"",$W10&lt;&gt;"",BB$2&gt;=$G10,BB$2&lt;=$W10,WEEKDAY(BB$2,2)&lt;6),$R10/$V10,"")</f>
        <v/>
      </c>
      <c r="BC10" s="48">
        <f>IF(AND($G10&lt;&gt;"",$W10&lt;&gt;"",BC$2&gt;=$G10,BC$2&lt;=$W10,WEEKDAY(BC$2,2)&lt;6),$R10/$V10,"")</f>
        <v/>
      </c>
      <c r="BD10" s="48">
        <f>IF(AND($G10&lt;&gt;"",$W10&lt;&gt;"",BD$2&gt;=$G10,BD$2&lt;=$W10,WEEKDAY(BD$2,2)&lt;6),$R10/$V10,"")</f>
        <v/>
      </c>
      <c r="BE10" s="48">
        <f>IF(AND($G10&lt;&gt;"",$W10&lt;&gt;"",BE$2&gt;=$G10,BE$2&lt;=$W10,WEEKDAY(BE$2,2)&lt;6),$R10/$V10,"")</f>
        <v/>
      </c>
    </row>
    <row r="11">
      <c r="A11" s="40">
        <f>IF(F11="","",COUNTA($F$8:F11))</f>
        <v/>
      </c>
      <c r="B11" s="41">
        <f>IF(G11="","",MONTH(G11))</f>
        <v/>
      </c>
      <c r="C11" s="42" t="inlineStr">
        <is>
          <t>뱀피르</t>
        </is>
      </c>
      <c r="D11" s="43" t="inlineStr">
        <is>
          <t>마케팅1팀</t>
        </is>
      </c>
      <c r="E11" s="43" t="inlineStr">
        <is>
          <t>이미지</t>
        </is>
      </c>
      <c r="F11" s="42" t="inlineStr">
        <is>
          <t>VAM_200024_보스KV</t>
        </is>
      </c>
      <c r="G11" s="44">
        <f>DATE(2026,7,6)</f>
        <v/>
      </c>
      <c r="H11" s="44">
        <f>DATE(2026,7,7)</f>
        <v/>
      </c>
      <c r="I11" s="43" t="n">
        <v>0</v>
      </c>
      <c r="J11" s="43" t="n">
        <v>0</v>
      </c>
      <c r="K11" s="43" t="n">
        <v>0</v>
      </c>
      <c r="L11" s="42" t="inlineStr"/>
      <c r="M11" s="45" t="n">
        <v>0</v>
      </c>
      <c r="N11" s="42" t="inlineStr">
        <is>
          <t>구유진</t>
        </is>
      </c>
      <c r="O11" s="45" t="n">
        <v>1</v>
      </c>
      <c r="P11" s="42" t="inlineStr"/>
      <c r="Q11" s="45" t="n">
        <v>0</v>
      </c>
      <c r="R11" s="46">
        <f>IF(SUM(M11,O11,Q11)=0,"",SUM(M11,O11,Q11))</f>
        <v/>
      </c>
      <c r="S11" s="41">
        <f>IF(M11&gt;0,"영 ","")&amp;IF(O11&gt;0,"이 ","")&amp;IF(Q11&gt;0,"기 ","")</f>
        <v/>
      </c>
      <c r="T11" s="40">
        <f>IF(G11="","","W"&amp;ROUNDUP(DAY(G11)/7,0))</f>
        <v/>
      </c>
      <c r="U11" s="43" t="inlineStr">
        <is>
          <t>완료</t>
        </is>
      </c>
      <c r="V11" s="40">
        <f>IF(R11="",0,ROUNDUP(MAX(M11,O11,Q11)/'마스터'!$J$6,0))</f>
        <v/>
      </c>
      <c r="W11" s="47">
        <f>IF(OR(G11="",V11=0),"",WORKDAY(G11,V11-1))</f>
        <v/>
      </c>
      <c r="X11" s="41">
        <f>IF(OR(H11="",W11=""),"",H11-W11)</f>
        <v/>
      </c>
      <c r="Y11" s="42" t="inlineStr">
        <is>
          <t>Freepik</t>
        </is>
      </c>
      <c r="AA11" s="48">
        <f>IF(AND($G11&lt;&gt;"",$W11&lt;&gt;"",AA$2&gt;=$G11,AA$2&lt;=$W11,WEEKDAY(AA$2,2)&lt;6),$R11/$V11,"")</f>
        <v/>
      </c>
      <c r="AB11" s="48">
        <f>IF(AND($G11&lt;&gt;"",$W11&lt;&gt;"",AB$2&gt;=$G11,AB$2&lt;=$W11,WEEKDAY(AB$2,2)&lt;6),$R11/$V11,"")</f>
        <v/>
      </c>
      <c r="AC11" s="48">
        <f>IF(AND($G11&lt;&gt;"",$W11&lt;&gt;"",AC$2&gt;=$G11,AC$2&lt;=$W11,WEEKDAY(AC$2,2)&lt;6),$R11/$V11,"")</f>
        <v/>
      </c>
      <c r="AD11" s="48">
        <f>IF(AND($G11&lt;&gt;"",$W11&lt;&gt;"",AD$2&gt;=$G11,AD$2&lt;=$W11,WEEKDAY(AD$2,2)&lt;6),$R11/$V11,"")</f>
        <v/>
      </c>
      <c r="AE11" s="48">
        <f>IF(AND($G11&lt;&gt;"",$W11&lt;&gt;"",AE$2&gt;=$G11,AE$2&lt;=$W11,WEEKDAY(AE$2,2)&lt;6),$R11/$V11,"")</f>
        <v/>
      </c>
      <c r="AF11" s="48">
        <f>IF(AND($G11&lt;&gt;"",$W11&lt;&gt;"",AF$2&gt;=$G11,AF$2&lt;=$W11,WEEKDAY(AF$2,2)&lt;6),$R11/$V11,"")</f>
        <v/>
      </c>
      <c r="AG11" s="48">
        <f>IF(AND($G11&lt;&gt;"",$W11&lt;&gt;"",AG$2&gt;=$G11,AG$2&lt;=$W11,WEEKDAY(AG$2,2)&lt;6),$R11/$V11,"")</f>
        <v/>
      </c>
      <c r="AH11" s="48">
        <f>IF(AND($G11&lt;&gt;"",$W11&lt;&gt;"",AH$2&gt;=$G11,AH$2&lt;=$W11,WEEKDAY(AH$2,2)&lt;6),$R11/$V11,"")</f>
        <v/>
      </c>
      <c r="AI11" s="48">
        <f>IF(AND($G11&lt;&gt;"",$W11&lt;&gt;"",AI$2&gt;=$G11,AI$2&lt;=$W11,WEEKDAY(AI$2,2)&lt;6),$R11/$V11,"")</f>
        <v/>
      </c>
      <c r="AJ11" s="48">
        <f>IF(AND($G11&lt;&gt;"",$W11&lt;&gt;"",AJ$2&gt;=$G11,AJ$2&lt;=$W11,WEEKDAY(AJ$2,2)&lt;6),$R11/$V11,"")</f>
        <v/>
      </c>
      <c r="AK11" s="48">
        <f>IF(AND($G11&lt;&gt;"",$W11&lt;&gt;"",AK$2&gt;=$G11,AK$2&lt;=$W11,WEEKDAY(AK$2,2)&lt;6),$R11/$V11,"")</f>
        <v/>
      </c>
      <c r="AL11" s="48">
        <f>IF(AND($G11&lt;&gt;"",$W11&lt;&gt;"",AL$2&gt;=$G11,AL$2&lt;=$W11,WEEKDAY(AL$2,2)&lt;6),$R11/$V11,"")</f>
        <v/>
      </c>
      <c r="AM11" s="48">
        <f>IF(AND($G11&lt;&gt;"",$W11&lt;&gt;"",AM$2&gt;=$G11,AM$2&lt;=$W11,WEEKDAY(AM$2,2)&lt;6),$R11/$V11,"")</f>
        <v/>
      </c>
      <c r="AN11" s="48">
        <f>IF(AND($G11&lt;&gt;"",$W11&lt;&gt;"",AN$2&gt;=$G11,AN$2&lt;=$W11,WEEKDAY(AN$2,2)&lt;6),$R11/$V11,"")</f>
        <v/>
      </c>
      <c r="AO11" s="48">
        <f>IF(AND($G11&lt;&gt;"",$W11&lt;&gt;"",AO$2&gt;=$G11,AO$2&lt;=$W11,WEEKDAY(AO$2,2)&lt;6),$R11/$V11,"")</f>
        <v/>
      </c>
      <c r="AP11" s="48">
        <f>IF(AND($G11&lt;&gt;"",$W11&lt;&gt;"",AP$2&gt;=$G11,AP$2&lt;=$W11,WEEKDAY(AP$2,2)&lt;6),$R11/$V11,"")</f>
        <v/>
      </c>
      <c r="AQ11" s="48">
        <f>IF(AND($G11&lt;&gt;"",$W11&lt;&gt;"",AQ$2&gt;=$G11,AQ$2&lt;=$W11,WEEKDAY(AQ$2,2)&lt;6),$R11/$V11,"")</f>
        <v/>
      </c>
      <c r="AR11" s="48">
        <f>IF(AND($G11&lt;&gt;"",$W11&lt;&gt;"",AR$2&gt;=$G11,AR$2&lt;=$W11,WEEKDAY(AR$2,2)&lt;6),$R11/$V11,"")</f>
        <v/>
      </c>
      <c r="AS11" s="48">
        <f>IF(AND($G11&lt;&gt;"",$W11&lt;&gt;"",AS$2&gt;=$G11,AS$2&lt;=$W11,WEEKDAY(AS$2,2)&lt;6),$R11/$V11,"")</f>
        <v/>
      </c>
      <c r="AT11" s="48">
        <f>IF(AND($G11&lt;&gt;"",$W11&lt;&gt;"",AT$2&gt;=$G11,AT$2&lt;=$W11,WEEKDAY(AT$2,2)&lt;6),$R11/$V11,"")</f>
        <v/>
      </c>
      <c r="AU11" s="48">
        <f>IF(AND($G11&lt;&gt;"",$W11&lt;&gt;"",AU$2&gt;=$G11,AU$2&lt;=$W11,WEEKDAY(AU$2,2)&lt;6),$R11/$V11,"")</f>
        <v/>
      </c>
      <c r="AV11" s="48">
        <f>IF(AND($G11&lt;&gt;"",$W11&lt;&gt;"",AV$2&gt;=$G11,AV$2&lt;=$W11,WEEKDAY(AV$2,2)&lt;6),$R11/$V11,"")</f>
        <v/>
      </c>
      <c r="AW11" s="48">
        <f>IF(AND($G11&lt;&gt;"",$W11&lt;&gt;"",AW$2&gt;=$G11,AW$2&lt;=$W11,WEEKDAY(AW$2,2)&lt;6),$R11/$V11,"")</f>
        <v/>
      </c>
      <c r="AX11" s="48">
        <f>IF(AND($G11&lt;&gt;"",$W11&lt;&gt;"",AX$2&gt;=$G11,AX$2&lt;=$W11,WEEKDAY(AX$2,2)&lt;6),$R11/$V11,"")</f>
        <v/>
      </c>
      <c r="AY11" s="48">
        <f>IF(AND($G11&lt;&gt;"",$W11&lt;&gt;"",AY$2&gt;=$G11,AY$2&lt;=$W11,WEEKDAY(AY$2,2)&lt;6),$R11/$V11,"")</f>
        <v/>
      </c>
      <c r="AZ11" s="48">
        <f>IF(AND($G11&lt;&gt;"",$W11&lt;&gt;"",AZ$2&gt;=$G11,AZ$2&lt;=$W11,WEEKDAY(AZ$2,2)&lt;6),$R11/$V11,"")</f>
        <v/>
      </c>
      <c r="BA11" s="48">
        <f>IF(AND($G11&lt;&gt;"",$W11&lt;&gt;"",BA$2&gt;=$G11,BA$2&lt;=$W11,WEEKDAY(BA$2,2)&lt;6),$R11/$V11,"")</f>
        <v/>
      </c>
      <c r="BB11" s="48">
        <f>IF(AND($G11&lt;&gt;"",$W11&lt;&gt;"",BB$2&gt;=$G11,BB$2&lt;=$W11,WEEKDAY(BB$2,2)&lt;6),$R11/$V11,"")</f>
        <v/>
      </c>
      <c r="BC11" s="48">
        <f>IF(AND($G11&lt;&gt;"",$W11&lt;&gt;"",BC$2&gt;=$G11,BC$2&lt;=$W11,WEEKDAY(BC$2,2)&lt;6),$R11/$V11,"")</f>
        <v/>
      </c>
      <c r="BD11" s="48">
        <f>IF(AND($G11&lt;&gt;"",$W11&lt;&gt;"",BD$2&gt;=$G11,BD$2&lt;=$W11,WEEKDAY(BD$2,2)&lt;6),$R11/$V11,"")</f>
        <v/>
      </c>
      <c r="BE11" s="48">
        <f>IF(AND($G11&lt;&gt;"",$W11&lt;&gt;"",BE$2&gt;=$G11,BE$2&lt;=$W11,WEEKDAY(BE$2,2)&lt;6),$R11/$V11,"")</f>
        <v/>
      </c>
    </row>
    <row r="12">
      <c r="A12" s="40">
        <f>IF(F12="","",COUNTA($F$8:F12))</f>
        <v/>
      </c>
      <c r="B12" s="41">
        <f>IF(G12="","",MONTH(G12))</f>
        <v/>
      </c>
      <c r="C12" s="42" t="inlineStr">
        <is>
          <t>몬길</t>
        </is>
      </c>
      <c r="D12" s="43" t="inlineStr">
        <is>
          <t>마케팅1팀</t>
        </is>
      </c>
      <c r="E12" s="43" t="inlineStr">
        <is>
          <t>영상</t>
        </is>
      </c>
      <c r="F12" s="42" t="inlineStr">
        <is>
          <t>MONSTER_썸머</t>
        </is>
      </c>
      <c r="G12" s="44">
        <f>DATE(2026,9,2)</f>
        <v/>
      </c>
      <c r="H12" s="44">
        <f>DATE(2026,9,5)</f>
        <v/>
      </c>
      <c r="I12" s="43" t="n">
        <v>2</v>
      </c>
      <c r="J12" s="43" t="n">
        <v>0</v>
      </c>
      <c r="K12" s="43" t="n">
        <v>1</v>
      </c>
      <c r="L12" s="42" t="inlineStr">
        <is>
          <t>이지현</t>
        </is>
      </c>
      <c r="M12" s="45" t="n">
        <v>3</v>
      </c>
      <c r="N12" s="42" t="inlineStr"/>
      <c r="O12" s="45" t="n">
        <v>0</v>
      </c>
      <c r="P12" s="42" t="inlineStr"/>
      <c r="Q12" s="45" t="n">
        <v>0</v>
      </c>
      <c r="R12" s="46">
        <f>IF(SUM(M12,O12,Q12)=0,"",SUM(M12,O12,Q12))</f>
        <v/>
      </c>
      <c r="S12" s="41">
        <f>IF(M12&gt;0,"영 ","")&amp;IF(O12&gt;0,"이 ","")&amp;IF(Q12&gt;0,"기 ","")</f>
        <v/>
      </c>
      <c r="T12" s="40">
        <f>IF(G12="","","W"&amp;ROUNDUP(DAY(G12)/7,0))</f>
        <v/>
      </c>
      <c r="U12" s="43" t="inlineStr">
        <is>
          <t>대기</t>
        </is>
      </c>
      <c r="V12" s="40">
        <f>IF(R12="",0,ROUNDUP(MAX(M12,O12,Q12)/'마스터'!$J$6,0))</f>
        <v/>
      </c>
      <c r="W12" s="47">
        <f>IF(OR(G12="",V12=0),"",WORKDAY(G12,V12-1))</f>
        <v/>
      </c>
      <c r="X12" s="41">
        <f>IF(OR(H12="",W12=""),"",H12-W12)</f>
        <v/>
      </c>
      <c r="Y12" s="42" t="inlineStr">
        <is>
          <t>Kling</t>
        </is>
      </c>
      <c r="AA12" s="48">
        <f>IF(AND($G12&lt;&gt;"",$W12&lt;&gt;"",AA$2&gt;=$G12,AA$2&lt;=$W12,WEEKDAY(AA$2,2)&lt;6),$R12/$V12,"")</f>
        <v/>
      </c>
      <c r="AB12" s="48">
        <f>IF(AND($G12&lt;&gt;"",$W12&lt;&gt;"",AB$2&gt;=$G12,AB$2&lt;=$W12,WEEKDAY(AB$2,2)&lt;6),$R12/$V12,"")</f>
        <v/>
      </c>
      <c r="AC12" s="48">
        <f>IF(AND($G12&lt;&gt;"",$W12&lt;&gt;"",AC$2&gt;=$G12,AC$2&lt;=$W12,WEEKDAY(AC$2,2)&lt;6),$R12/$V12,"")</f>
        <v/>
      </c>
      <c r="AD12" s="48">
        <f>IF(AND($G12&lt;&gt;"",$W12&lt;&gt;"",AD$2&gt;=$G12,AD$2&lt;=$W12,WEEKDAY(AD$2,2)&lt;6),$R12/$V12,"")</f>
        <v/>
      </c>
      <c r="AE12" s="48">
        <f>IF(AND($G12&lt;&gt;"",$W12&lt;&gt;"",AE$2&gt;=$G12,AE$2&lt;=$W12,WEEKDAY(AE$2,2)&lt;6),$R12/$V12,"")</f>
        <v/>
      </c>
      <c r="AF12" s="48">
        <f>IF(AND($G12&lt;&gt;"",$W12&lt;&gt;"",AF$2&gt;=$G12,AF$2&lt;=$W12,WEEKDAY(AF$2,2)&lt;6),$R12/$V12,"")</f>
        <v/>
      </c>
      <c r="AG12" s="48">
        <f>IF(AND($G12&lt;&gt;"",$W12&lt;&gt;"",AG$2&gt;=$G12,AG$2&lt;=$W12,WEEKDAY(AG$2,2)&lt;6),$R12/$V12,"")</f>
        <v/>
      </c>
      <c r="AH12" s="48">
        <f>IF(AND($G12&lt;&gt;"",$W12&lt;&gt;"",AH$2&gt;=$G12,AH$2&lt;=$W12,WEEKDAY(AH$2,2)&lt;6),$R12/$V12,"")</f>
        <v/>
      </c>
      <c r="AI12" s="48">
        <f>IF(AND($G12&lt;&gt;"",$W12&lt;&gt;"",AI$2&gt;=$G12,AI$2&lt;=$W12,WEEKDAY(AI$2,2)&lt;6),$R12/$V12,"")</f>
        <v/>
      </c>
      <c r="AJ12" s="48">
        <f>IF(AND($G12&lt;&gt;"",$W12&lt;&gt;"",AJ$2&gt;=$G12,AJ$2&lt;=$W12,WEEKDAY(AJ$2,2)&lt;6),$R12/$V12,"")</f>
        <v/>
      </c>
      <c r="AK12" s="48">
        <f>IF(AND($G12&lt;&gt;"",$W12&lt;&gt;"",AK$2&gt;=$G12,AK$2&lt;=$W12,WEEKDAY(AK$2,2)&lt;6),$R12/$V12,"")</f>
        <v/>
      </c>
      <c r="AL12" s="48">
        <f>IF(AND($G12&lt;&gt;"",$W12&lt;&gt;"",AL$2&gt;=$G12,AL$2&lt;=$W12,WEEKDAY(AL$2,2)&lt;6),$R12/$V12,"")</f>
        <v/>
      </c>
      <c r="AM12" s="48">
        <f>IF(AND($G12&lt;&gt;"",$W12&lt;&gt;"",AM$2&gt;=$G12,AM$2&lt;=$W12,WEEKDAY(AM$2,2)&lt;6),$R12/$V12,"")</f>
        <v/>
      </c>
      <c r="AN12" s="48">
        <f>IF(AND($G12&lt;&gt;"",$W12&lt;&gt;"",AN$2&gt;=$G12,AN$2&lt;=$W12,WEEKDAY(AN$2,2)&lt;6),$R12/$V12,"")</f>
        <v/>
      </c>
      <c r="AO12" s="48">
        <f>IF(AND($G12&lt;&gt;"",$W12&lt;&gt;"",AO$2&gt;=$G12,AO$2&lt;=$W12,WEEKDAY(AO$2,2)&lt;6),$R12/$V12,"")</f>
        <v/>
      </c>
      <c r="AP12" s="48">
        <f>IF(AND($G12&lt;&gt;"",$W12&lt;&gt;"",AP$2&gt;=$G12,AP$2&lt;=$W12,WEEKDAY(AP$2,2)&lt;6),$R12/$V12,"")</f>
        <v/>
      </c>
      <c r="AQ12" s="48">
        <f>IF(AND($G12&lt;&gt;"",$W12&lt;&gt;"",AQ$2&gt;=$G12,AQ$2&lt;=$W12,WEEKDAY(AQ$2,2)&lt;6),$R12/$V12,"")</f>
        <v/>
      </c>
      <c r="AR12" s="48">
        <f>IF(AND($G12&lt;&gt;"",$W12&lt;&gt;"",AR$2&gt;=$G12,AR$2&lt;=$W12,WEEKDAY(AR$2,2)&lt;6),$R12/$V12,"")</f>
        <v/>
      </c>
      <c r="AS12" s="48">
        <f>IF(AND($G12&lt;&gt;"",$W12&lt;&gt;"",AS$2&gt;=$G12,AS$2&lt;=$W12,WEEKDAY(AS$2,2)&lt;6),$R12/$V12,"")</f>
        <v/>
      </c>
      <c r="AT12" s="48">
        <f>IF(AND($G12&lt;&gt;"",$W12&lt;&gt;"",AT$2&gt;=$G12,AT$2&lt;=$W12,WEEKDAY(AT$2,2)&lt;6),$R12/$V12,"")</f>
        <v/>
      </c>
      <c r="AU12" s="48">
        <f>IF(AND($G12&lt;&gt;"",$W12&lt;&gt;"",AU$2&gt;=$G12,AU$2&lt;=$W12,WEEKDAY(AU$2,2)&lt;6),$R12/$V12,"")</f>
        <v/>
      </c>
      <c r="AV12" s="48">
        <f>IF(AND($G12&lt;&gt;"",$W12&lt;&gt;"",AV$2&gt;=$G12,AV$2&lt;=$W12,WEEKDAY(AV$2,2)&lt;6),$R12/$V12,"")</f>
        <v/>
      </c>
      <c r="AW12" s="48">
        <f>IF(AND($G12&lt;&gt;"",$W12&lt;&gt;"",AW$2&gt;=$G12,AW$2&lt;=$W12,WEEKDAY(AW$2,2)&lt;6),$R12/$V12,"")</f>
        <v/>
      </c>
      <c r="AX12" s="48">
        <f>IF(AND($G12&lt;&gt;"",$W12&lt;&gt;"",AX$2&gt;=$G12,AX$2&lt;=$W12,WEEKDAY(AX$2,2)&lt;6),$R12/$V12,"")</f>
        <v/>
      </c>
      <c r="AY12" s="48">
        <f>IF(AND($G12&lt;&gt;"",$W12&lt;&gt;"",AY$2&gt;=$G12,AY$2&lt;=$W12,WEEKDAY(AY$2,2)&lt;6),$R12/$V12,"")</f>
        <v/>
      </c>
      <c r="AZ12" s="48">
        <f>IF(AND($G12&lt;&gt;"",$W12&lt;&gt;"",AZ$2&gt;=$G12,AZ$2&lt;=$W12,WEEKDAY(AZ$2,2)&lt;6),$R12/$V12,"")</f>
        <v/>
      </c>
      <c r="BA12" s="48">
        <f>IF(AND($G12&lt;&gt;"",$W12&lt;&gt;"",BA$2&gt;=$G12,BA$2&lt;=$W12,WEEKDAY(BA$2,2)&lt;6),$R12/$V12,"")</f>
        <v/>
      </c>
      <c r="BB12" s="48">
        <f>IF(AND($G12&lt;&gt;"",$W12&lt;&gt;"",BB$2&gt;=$G12,BB$2&lt;=$W12,WEEKDAY(BB$2,2)&lt;6),$R12/$V12,"")</f>
        <v/>
      </c>
      <c r="BC12" s="48">
        <f>IF(AND($G12&lt;&gt;"",$W12&lt;&gt;"",BC$2&gt;=$G12,BC$2&lt;=$W12,WEEKDAY(BC$2,2)&lt;6),$R12/$V12,"")</f>
        <v/>
      </c>
      <c r="BD12" s="48">
        <f>IF(AND($G12&lt;&gt;"",$W12&lt;&gt;"",BD$2&gt;=$G12,BD$2&lt;=$W12,WEEKDAY(BD$2,2)&lt;6),$R12/$V12,"")</f>
        <v/>
      </c>
      <c r="BE12" s="48">
        <f>IF(AND($G12&lt;&gt;"",$W12&lt;&gt;"",BE$2&gt;=$G12,BE$2&lt;=$W12,WEEKDAY(BE$2,2)&lt;6),$R12/$V12,"")</f>
        <v/>
      </c>
    </row>
    <row r="13">
      <c r="A13" s="40">
        <f>IF(F13="","",COUNTA($F$8:F13))</f>
        <v/>
      </c>
      <c r="B13" s="41">
        <f>IF(G13="","",MONTH(G13))</f>
        <v/>
      </c>
      <c r="C13" s="42" t="n"/>
      <c r="D13" s="43" t="n"/>
      <c r="E13" s="43" t="n"/>
      <c r="F13" s="42" t="n"/>
      <c r="G13" s="44" t="n"/>
      <c r="H13" s="44" t="n"/>
      <c r="I13" s="43" t="n"/>
      <c r="J13" s="43" t="n"/>
      <c r="K13" s="43" t="n"/>
      <c r="L13" s="42" t="n"/>
      <c r="M13" s="45" t="n"/>
      <c r="N13" s="42" t="n"/>
      <c r="O13" s="45" t="n"/>
      <c r="P13" s="42" t="n"/>
      <c r="Q13" s="45" t="n"/>
      <c r="R13" s="46">
        <f>IF(SUM(M13,O13,Q13)=0,"",SUM(M13,O13,Q13))</f>
        <v/>
      </c>
      <c r="S13" s="41">
        <f>IF(M13&gt;0,"영 ","")&amp;IF(O13&gt;0,"이 ","")&amp;IF(Q13&gt;0,"기 ","")</f>
        <v/>
      </c>
      <c r="T13" s="40">
        <f>IF(G13="","","W"&amp;ROUNDUP(DAY(G13)/7,0))</f>
        <v/>
      </c>
      <c r="U13" s="43" t="n"/>
      <c r="V13" s="40">
        <f>IF(R13="",0,ROUNDUP(MAX(M13,O13,Q13)/'마스터'!$J$6,0))</f>
        <v/>
      </c>
      <c r="W13" s="47">
        <f>IF(OR(G13="",V13=0),"",WORKDAY(G13,V13-1))</f>
        <v/>
      </c>
      <c r="X13" s="41">
        <f>IF(OR(H13="",W13=""),"",H13-W13)</f>
        <v/>
      </c>
      <c r="Y13" s="42" t="n"/>
      <c r="AA13" s="48">
        <f>IF(AND($G13&lt;&gt;"",$W13&lt;&gt;"",AA$2&gt;=$G13,AA$2&lt;=$W13,WEEKDAY(AA$2,2)&lt;6),$R13/$V13,"")</f>
        <v/>
      </c>
      <c r="AB13" s="48">
        <f>IF(AND($G13&lt;&gt;"",$W13&lt;&gt;"",AB$2&gt;=$G13,AB$2&lt;=$W13,WEEKDAY(AB$2,2)&lt;6),$R13/$V13,"")</f>
        <v/>
      </c>
      <c r="AC13" s="48">
        <f>IF(AND($G13&lt;&gt;"",$W13&lt;&gt;"",AC$2&gt;=$G13,AC$2&lt;=$W13,WEEKDAY(AC$2,2)&lt;6),$R13/$V13,"")</f>
        <v/>
      </c>
      <c r="AD13" s="48">
        <f>IF(AND($G13&lt;&gt;"",$W13&lt;&gt;"",AD$2&gt;=$G13,AD$2&lt;=$W13,WEEKDAY(AD$2,2)&lt;6),$R13/$V13,"")</f>
        <v/>
      </c>
      <c r="AE13" s="48">
        <f>IF(AND($G13&lt;&gt;"",$W13&lt;&gt;"",AE$2&gt;=$G13,AE$2&lt;=$W13,WEEKDAY(AE$2,2)&lt;6),$R13/$V13,"")</f>
        <v/>
      </c>
      <c r="AF13" s="48">
        <f>IF(AND($G13&lt;&gt;"",$W13&lt;&gt;"",AF$2&gt;=$G13,AF$2&lt;=$W13,WEEKDAY(AF$2,2)&lt;6),$R13/$V13,"")</f>
        <v/>
      </c>
      <c r="AG13" s="48">
        <f>IF(AND($G13&lt;&gt;"",$W13&lt;&gt;"",AG$2&gt;=$G13,AG$2&lt;=$W13,WEEKDAY(AG$2,2)&lt;6),$R13/$V13,"")</f>
        <v/>
      </c>
      <c r="AH13" s="48">
        <f>IF(AND($G13&lt;&gt;"",$W13&lt;&gt;"",AH$2&gt;=$G13,AH$2&lt;=$W13,WEEKDAY(AH$2,2)&lt;6),$R13/$V13,"")</f>
        <v/>
      </c>
      <c r="AI13" s="48">
        <f>IF(AND($G13&lt;&gt;"",$W13&lt;&gt;"",AI$2&gt;=$G13,AI$2&lt;=$W13,WEEKDAY(AI$2,2)&lt;6),$R13/$V13,"")</f>
        <v/>
      </c>
      <c r="AJ13" s="48">
        <f>IF(AND($G13&lt;&gt;"",$W13&lt;&gt;"",AJ$2&gt;=$G13,AJ$2&lt;=$W13,WEEKDAY(AJ$2,2)&lt;6),$R13/$V13,"")</f>
        <v/>
      </c>
      <c r="AK13" s="48">
        <f>IF(AND($G13&lt;&gt;"",$W13&lt;&gt;"",AK$2&gt;=$G13,AK$2&lt;=$W13,WEEKDAY(AK$2,2)&lt;6),$R13/$V13,"")</f>
        <v/>
      </c>
      <c r="AL13" s="48">
        <f>IF(AND($G13&lt;&gt;"",$W13&lt;&gt;"",AL$2&gt;=$G13,AL$2&lt;=$W13,WEEKDAY(AL$2,2)&lt;6),$R13/$V13,"")</f>
        <v/>
      </c>
      <c r="AM13" s="48">
        <f>IF(AND($G13&lt;&gt;"",$W13&lt;&gt;"",AM$2&gt;=$G13,AM$2&lt;=$W13,WEEKDAY(AM$2,2)&lt;6),$R13/$V13,"")</f>
        <v/>
      </c>
      <c r="AN13" s="48">
        <f>IF(AND($G13&lt;&gt;"",$W13&lt;&gt;"",AN$2&gt;=$G13,AN$2&lt;=$W13,WEEKDAY(AN$2,2)&lt;6),$R13/$V13,"")</f>
        <v/>
      </c>
      <c r="AO13" s="48">
        <f>IF(AND($G13&lt;&gt;"",$W13&lt;&gt;"",AO$2&gt;=$G13,AO$2&lt;=$W13,WEEKDAY(AO$2,2)&lt;6),$R13/$V13,"")</f>
        <v/>
      </c>
      <c r="AP13" s="48">
        <f>IF(AND($G13&lt;&gt;"",$W13&lt;&gt;"",AP$2&gt;=$G13,AP$2&lt;=$W13,WEEKDAY(AP$2,2)&lt;6),$R13/$V13,"")</f>
        <v/>
      </c>
      <c r="AQ13" s="48">
        <f>IF(AND($G13&lt;&gt;"",$W13&lt;&gt;"",AQ$2&gt;=$G13,AQ$2&lt;=$W13,WEEKDAY(AQ$2,2)&lt;6),$R13/$V13,"")</f>
        <v/>
      </c>
      <c r="AR13" s="48">
        <f>IF(AND($G13&lt;&gt;"",$W13&lt;&gt;"",AR$2&gt;=$G13,AR$2&lt;=$W13,WEEKDAY(AR$2,2)&lt;6),$R13/$V13,"")</f>
        <v/>
      </c>
      <c r="AS13" s="48">
        <f>IF(AND($G13&lt;&gt;"",$W13&lt;&gt;"",AS$2&gt;=$G13,AS$2&lt;=$W13,WEEKDAY(AS$2,2)&lt;6),$R13/$V13,"")</f>
        <v/>
      </c>
      <c r="AT13" s="48">
        <f>IF(AND($G13&lt;&gt;"",$W13&lt;&gt;"",AT$2&gt;=$G13,AT$2&lt;=$W13,WEEKDAY(AT$2,2)&lt;6),$R13/$V13,"")</f>
        <v/>
      </c>
      <c r="AU13" s="48">
        <f>IF(AND($G13&lt;&gt;"",$W13&lt;&gt;"",AU$2&gt;=$G13,AU$2&lt;=$W13,WEEKDAY(AU$2,2)&lt;6),$R13/$V13,"")</f>
        <v/>
      </c>
      <c r="AV13" s="48">
        <f>IF(AND($G13&lt;&gt;"",$W13&lt;&gt;"",AV$2&gt;=$G13,AV$2&lt;=$W13,WEEKDAY(AV$2,2)&lt;6),$R13/$V13,"")</f>
        <v/>
      </c>
      <c r="AW13" s="48">
        <f>IF(AND($G13&lt;&gt;"",$W13&lt;&gt;"",AW$2&gt;=$G13,AW$2&lt;=$W13,WEEKDAY(AW$2,2)&lt;6),$R13/$V13,"")</f>
        <v/>
      </c>
      <c r="AX13" s="48">
        <f>IF(AND($G13&lt;&gt;"",$W13&lt;&gt;"",AX$2&gt;=$G13,AX$2&lt;=$W13,WEEKDAY(AX$2,2)&lt;6),$R13/$V13,"")</f>
        <v/>
      </c>
      <c r="AY13" s="48">
        <f>IF(AND($G13&lt;&gt;"",$W13&lt;&gt;"",AY$2&gt;=$G13,AY$2&lt;=$W13,WEEKDAY(AY$2,2)&lt;6),$R13/$V13,"")</f>
        <v/>
      </c>
      <c r="AZ13" s="48">
        <f>IF(AND($G13&lt;&gt;"",$W13&lt;&gt;"",AZ$2&gt;=$G13,AZ$2&lt;=$W13,WEEKDAY(AZ$2,2)&lt;6),$R13/$V13,"")</f>
        <v/>
      </c>
      <c r="BA13" s="48">
        <f>IF(AND($G13&lt;&gt;"",$W13&lt;&gt;"",BA$2&gt;=$G13,BA$2&lt;=$W13,WEEKDAY(BA$2,2)&lt;6),$R13/$V13,"")</f>
        <v/>
      </c>
      <c r="BB13" s="48">
        <f>IF(AND($G13&lt;&gt;"",$W13&lt;&gt;"",BB$2&gt;=$G13,BB$2&lt;=$W13,WEEKDAY(BB$2,2)&lt;6),$R13/$V13,"")</f>
        <v/>
      </c>
      <c r="BC13" s="48">
        <f>IF(AND($G13&lt;&gt;"",$W13&lt;&gt;"",BC$2&gt;=$G13,BC$2&lt;=$W13,WEEKDAY(BC$2,2)&lt;6),$R13/$V13,"")</f>
        <v/>
      </c>
      <c r="BD13" s="48">
        <f>IF(AND($G13&lt;&gt;"",$W13&lt;&gt;"",BD$2&gt;=$G13,BD$2&lt;=$W13,WEEKDAY(BD$2,2)&lt;6),$R13/$V13,"")</f>
        <v/>
      </c>
      <c r="BE13" s="48">
        <f>IF(AND($G13&lt;&gt;"",$W13&lt;&gt;"",BE$2&gt;=$G13,BE$2&lt;=$W13,WEEKDAY(BE$2,2)&lt;6),$R13/$V13,"")</f>
        <v/>
      </c>
    </row>
    <row r="14">
      <c r="A14" s="40">
        <f>IF(F14="","",COUNTA($F$8:F14))</f>
        <v/>
      </c>
      <c r="B14" s="41">
        <f>IF(G14="","",MONTH(G14))</f>
        <v/>
      </c>
      <c r="C14" s="42" t="n"/>
      <c r="D14" s="43" t="n"/>
      <c r="E14" s="43" t="n"/>
      <c r="F14" s="42" t="n"/>
      <c r="G14" s="44" t="n"/>
      <c r="H14" s="44" t="n"/>
      <c r="I14" s="43" t="n"/>
      <c r="J14" s="43" t="n"/>
      <c r="K14" s="43" t="n"/>
      <c r="L14" s="42" t="n"/>
      <c r="M14" s="45" t="n"/>
      <c r="N14" s="42" t="n"/>
      <c r="O14" s="45" t="n"/>
      <c r="P14" s="42" t="n"/>
      <c r="Q14" s="45" t="n"/>
      <c r="R14" s="46">
        <f>IF(SUM(M14,O14,Q14)=0,"",SUM(M14,O14,Q14))</f>
        <v/>
      </c>
      <c r="S14" s="41">
        <f>IF(M14&gt;0,"영 ","")&amp;IF(O14&gt;0,"이 ","")&amp;IF(Q14&gt;0,"기 ","")</f>
        <v/>
      </c>
      <c r="T14" s="40">
        <f>IF(G14="","","W"&amp;ROUNDUP(DAY(G14)/7,0))</f>
        <v/>
      </c>
      <c r="U14" s="43" t="n"/>
      <c r="V14" s="40">
        <f>IF(R14="",0,ROUNDUP(MAX(M14,O14,Q14)/'마스터'!$J$6,0))</f>
        <v/>
      </c>
      <c r="W14" s="47">
        <f>IF(OR(G14="",V14=0),"",WORKDAY(G14,V14-1))</f>
        <v/>
      </c>
      <c r="X14" s="41">
        <f>IF(OR(H14="",W14=""),"",H14-W14)</f>
        <v/>
      </c>
      <c r="Y14" s="42" t="n"/>
      <c r="AA14" s="48">
        <f>IF(AND($G14&lt;&gt;"",$W14&lt;&gt;"",AA$2&gt;=$G14,AA$2&lt;=$W14,WEEKDAY(AA$2,2)&lt;6),$R14/$V14,"")</f>
        <v/>
      </c>
      <c r="AB14" s="48">
        <f>IF(AND($G14&lt;&gt;"",$W14&lt;&gt;"",AB$2&gt;=$G14,AB$2&lt;=$W14,WEEKDAY(AB$2,2)&lt;6),$R14/$V14,"")</f>
        <v/>
      </c>
      <c r="AC14" s="48">
        <f>IF(AND($G14&lt;&gt;"",$W14&lt;&gt;"",AC$2&gt;=$G14,AC$2&lt;=$W14,WEEKDAY(AC$2,2)&lt;6),$R14/$V14,"")</f>
        <v/>
      </c>
      <c r="AD14" s="48">
        <f>IF(AND($G14&lt;&gt;"",$W14&lt;&gt;"",AD$2&gt;=$G14,AD$2&lt;=$W14,WEEKDAY(AD$2,2)&lt;6),$R14/$V14,"")</f>
        <v/>
      </c>
      <c r="AE14" s="48">
        <f>IF(AND($G14&lt;&gt;"",$W14&lt;&gt;"",AE$2&gt;=$G14,AE$2&lt;=$W14,WEEKDAY(AE$2,2)&lt;6),$R14/$V14,"")</f>
        <v/>
      </c>
      <c r="AF14" s="48">
        <f>IF(AND($G14&lt;&gt;"",$W14&lt;&gt;"",AF$2&gt;=$G14,AF$2&lt;=$W14,WEEKDAY(AF$2,2)&lt;6),$R14/$V14,"")</f>
        <v/>
      </c>
      <c r="AG14" s="48">
        <f>IF(AND($G14&lt;&gt;"",$W14&lt;&gt;"",AG$2&gt;=$G14,AG$2&lt;=$W14,WEEKDAY(AG$2,2)&lt;6),$R14/$V14,"")</f>
        <v/>
      </c>
      <c r="AH14" s="48">
        <f>IF(AND($G14&lt;&gt;"",$W14&lt;&gt;"",AH$2&gt;=$G14,AH$2&lt;=$W14,WEEKDAY(AH$2,2)&lt;6),$R14/$V14,"")</f>
        <v/>
      </c>
      <c r="AI14" s="48">
        <f>IF(AND($G14&lt;&gt;"",$W14&lt;&gt;"",AI$2&gt;=$G14,AI$2&lt;=$W14,WEEKDAY(AI$2,2)&lt;6),$R14/$V14,"")</f>
        <v/>
      </c>
      <c r="AJ14" s="48">
        <f>IF(AND($G14&lt;&gt;"",$W14&lt;&gt;"",AJ$2&gt;=$G14,AJ$2&lt;=$W14,WEEKDAY(AJ$2,2)&lt;6),$R14/$V14,"")</f>
        <v/>
      </c>
      <c r="AK14" s="48">
        <f>IF(AND($G14&lt;&gt;"",$W14&lt;&gt;"",AK$2&gt;=$G14,AK$2&lt;=$W14,WEEKDAY(AK$2,2)&lt;6),$R14/$V14,"")</f>
        <v/>
      </c>
      <c r="AL14" s="48">
        <f>IF(AND($G14&lt;&gt;"",$W14&lt;&gt;"",AL$2&gt;=$G14,AL$2&lt;=$W14,WEEKDAY(AL$2,2)&lt;6),$R14/$V14,"")</f>
        <v/>
      </c>
      <c r="AM14" s="48">
        <f>IF(AND($G14&lt;&gt;"",$W14&lt;&gt;"",AM$2&gt;=$G14,AM$2&lt;=$W14,WEEKDAY(AM$2,2)&lt;6),$R14/$V14,"")</f>
        <v/>
      </c>
      <c r="AN14" s="48">
        <f>IF(AND($G14&lt;&gt;"",$W14&lt;&gt;"",AN$2&gt;=$G14,AN$2&lt;=$W14,WEEKDAY(AN$2,2)&lt;6),$R14/$V14,"")</f>
        <v/>
      </c>
      <c r="AO14" s="48">
        <f>IF(AND($G14&lt;&gt;"",$W14&lt;&gt;"",AO$2&gt;=$G14,AO$2&lt;=$W14,WEEKDAY(AO$2,2)&lt;6),$R14/$V14,"")</f>
        <v/>
      </c>
      <c r="AP14" s="48">
        <f>IF(AND($G14&lt;&gt;"",$W14&lt;&gt;"",AP$2&gt;=$G14,AP$2&lt;=$W14,WEEKDAY(AP$2,2)&lt;6),$R14/$V14,"")</f>
        <v/>
      </c>
      <c r="AQ14" s="48">
        <f>IF(AND($G14&lt;&gt;"",$W14&lt;&gt;"",AQ$2&gt;=$G14,AQ$2&lt;=$W14,WEEKDAY(AQ$2,2)&lt;6),$R14/$V14,"")</f>
        <v/>
      </c>
      <c r="AR14" s="48">
        <f>IF(AND($G14&lt;&gt;"",$W14&lt;&gt;"",AR$2&gt;=$G14,AR$2&lt;=$W14,WEEKDAY(AR$2,2)&lt;6),$R14/$V14,"")</f>
        <v/>
      </c>
      <c r="AS14" s="48">
        <f>IF(AND($G14&lt;&gt;"",$W14&lt;&gt;"",AS$2&gt;=$G14,AS$2&lt;=$W14,WEEKDAY(AS$2,2)&lt;6),$R14/$V14,"")</f>
        <v/>
      </c>
      <c r="AT14" s="48">
        <f>IF(AND($G14&lt;&gt;"",$W14&lt;&gt;"",AT$2&gt;=$G14,AT$2&lt;=$W14,WEEKDAY(AT$2,2)&lt;6),$R14/$V14,"")</f>
        <v/>
      </c>
      <c r="AU14" s="48">
        <f>IF(AND($G14&lt;&gt;"",$W14&lt;&gt;"",AU$2&gt;=$G14,AU$2&lt;=$W14,WEEKDAY(AU$2,2)&lt;6),$R14/$V14,"")</f>
        <v/>
      </c>
      <c r="AV14" s="48">
        <f>IF(AND($G14&lt;&gt;"",$W14&lt;&gt;"",AV$2&gt;=$G14,AV$2&lt;=$W14,WEEKDAY(AV$2,2)&lt;6),$R14/$V14,"")</f>
        <v/>
      </c>
      <c r="AW14" s="48">
        <f>IF(AND($G14&lt;&gt;"",$W14&lt;&gt;"",AW$2&gt;=$G14,AW$2&lt;=$W14,WEEKDAY(AW$2,2)&lt;6),$R14/$V14,"")</f>
        <v/>
      </c>
      <c r="AX14" s="48">
        <f>IF(AND($G14&lt;&gt;"",$W14&lt;&gt;"",AX$2&gt;=$G14,AX$2&lt;=$W14,WEEKDAY(AX$2,2)&lt;6),$R14/$V14,"")</f>
        <v/>
      </c>
      <c r="AY14" s="48">
        <f>IF(AND($G14&lt;&gt;"",$W14&lt;&gt;"",AY$2&gt;=$G14,AY$2&lt;=$W14,WEEKDAY(AY$2,2)&lt;6),$R14/$V14,"")</f>
        <v/>
      </c>
      <c r="AZ14" s="48">
        <f>IF(AND($G14&lt;&gt;"",$W14&lt;&gt;"",AZ$2&gt;=$G14,AZ$2&lt;=$W14,WEEKDAY(AZ$2,2)&lt;6),$R14/$V14,"")</f>
        <v/>
      </c>
      <c r="BA14" s="48">
        <f>IF(AND($G14&lt;&gt;"",$W14&lt;&gt;"",BA$2&gt;=$G14,BA$2&lt;=$W14,WEEKDAY(BA$2,2)&lt;6),$R14/$V14,"")</f>
        <v/>
      </c>
      <c r="BB14" s="48">
        <f>IF(AND($G14&lt;&gt;"",$W14&lt;&gt;"",BB$2&gt;=$G14,BB$2&lt;=$W14,WEEKDAY(BB$2,2)&lt;6),$R14/$V14,"")</f>
        <v/>
      </c>
      <c r="BC14" s="48">
        <f>IF(AND($G14&lt;&gt;"",$W14&lt;&gt;"",BC$2&gt;=$G14,BC$2&lt;=$W14,WEEKDAY(BC$2,2)&lt;6),$R14/$V14,"")</f>
        <v/>
      </c>
      <c r="BD14" s="48">
        <f>IF(AND($G14&lt;&gt;"",$W14&lt;&gt;"",BD$2&gt;=$G14,BD$2&lt;=$W14,WEEKDAY(BD$2,2)&lt;6),$R14/$V14,"")</f>
        <v/>
      </c>
      <c r="BE14" s="48">
        <f>IF(AND($G14&lt;&gt;"",$W14&lt;&gt;"",BE$2&gt;=$G14,BE$2&lt;=$W14,WEEKDAY(BE$2,2)&lt;6),$R14/$V14,"")</f>
        <v/>
      </c>
    </row>
    <row r="15">
      <c r="A15" s="40">
        <f>IF(F15="","",COUNTA($F$8:F15))</f>
        <v/>
      </c>
      <c r="B15" s="41">
        <f>IF(G15="","",MONTH(G15))</f>
        <v/>
      </c>
      <c r="C15" s="42" t="n"/>
      <c r="D15" s="43" t="n"/>
      <c r="E15" s="43" t="n"/>
      <c r="F15" s="42" t="n"/>
      <c r="G15" s="44" t="n"/>
      <c r="H15" s="44" t="n"/>
      <c r="I15" s="43" t="n"/>
      <c r="J15" s="43" t="n"/>
      <c r="K15" s="43" t="n"/>
      <c r="L15" s="42" t="n"/>
      <c r="M15" s="45" t="n"/>
      <c r="N15" s="42" t="n"/>
      <c r="O15" s="45" t="n"/>
      <c r="P15" s="42" t="n"/>
      <c r="Q15" s="45" t="n"/>
      <c r="R15" s="46">
        <f>IF(SUM(M15,O15,Q15)=0,"",SUM(M15,O15,Q15))</f>
        <v/>
      </c>
      <c r="S15" s="41">
        <f>IF(M15&gt;0,"영 ","")&amp;IF(O15&gt;0,"이 ","")&amp;IF(Q15&gt;0,"기 ","")</f>
        <v/>
      </c>
      <c r="T15" s="40">
        <f>IF(G15="","","W"&amp;ROUNDUP(DAY(G15)/7,0))</f>
        <v/>
      </c>
      <c r="U15" s="43" t="n"/>
      <c r="V15" s="40">
        <f>IF(R15="",0,ROUNDUP(MAX(M15,O15,Q15)/'마스터'!$J$6,0))</f>
        <v/>
      </c>
      <c r="W15" s="47">
        <f>IF(OR(G15="",V15=0),"",WORKDAY(G15,V15-1))</f>
        <v/>
      </c>
      <c r="X15" s="41">
        <f>IF(OR(H15="",W15=""),"",H15-W15)</f>
        <v/>
      </c>
      <c r="Y15" s="42" t="n"/>
      <c r="AA15" s="48">
        <f>IF(AND($G15&lt;&gt;"",$W15&lt;&gt;"",AA$2&gt;=$G15,AA$2&lt;=$W15,WEEKDAY(AA$2,2)&lt;6),$R15/$V15,"")</f>
        <v/>
      </c>
      <c r="AB15" s="48">
        <f>IF(AND($G15&lt;&gt;"",$W15&lt;&gt;"",AB$2&gt;=$G15,AB$2&lt;=$W15,WEEKDAY(AB$2,2)&lt;6),$R15/$V15,"")</f>
        <v/>
      </c>
      <c r="AC15" s="48">
        <f>IF(AND($G15&lt;&gt;"",$W15&lt;&gt;"",AC$2&gt;=$G15,AC$2&lt;=$W15,WEEKDAY(AC$2,2)&lt;6),$R15/$V15,"")</f>
        <v/>
      </c>
      <c r="AD15" s="48">
        <f>IF(AND($G15&lt;&gt;"",$W15&lt;&gt;"",AD$2&gt;=$G15,AD$2&lt;=$W15,WEEKDAY(AD$2,2)&lt;6),$R15/$V15,"")</f>
        <v/>
      </c>
      <c r="AE15" s="48">
        <f>IF(AND($G15&lt;&gt;"",$W15&lt;&gt;"",AE$2&gt;=$G15,AE$2&lt;=$W15,WEEKDAY(AE$2,2)&lt;6),$R15/$V15,"")</f>
        <v/>
      </c>
      <c r="AF15" s="48">
        <f>IF(AND($G15&lt;&gt;"",$W15&lt;&gt;"",AF$2&gt;=$G15,AF$2&lt;=$W15,WEEKDAY(AF$2,2)&lt;6),$R15/$V15,"")</f>
        <v/>
      </c>
      <c r="AG15" s="48">
        <f>IF(AND($G15&lt;&gt;"",$W15&lt;&gt;"",AG$2&gt;=$G15,AG$2&lt;=$W15,WEEKDAY(AG$2,2)&lt;6),$R15/$V15,"")</f>
        <v/>
      </c>
      <c r="AH15" s="48">
        <f>IF(AND($G15&lt;&gt;"",$W15&lt;&gt;"",AH$2&gt;=$G15,AH$2&lt;=$W15,WEEKDAY(AH$2,2)&lt;6),$R15/$V15,"")</f>
        <v/>
      </c>
      <c r="AI15" s="48">
        <f>IF(AND($G15&lt;&gt;"",$W15&lt;&gt;"",AI$2&gt;=$G15,AI$2&lt;=$W15,WEEKDAY(AI$2,2)&lt;6),$R15/$V15,"")</f>
        <v/>
      </c>
      <c r="AJ15" s="48">
        <f>IF(AND($G15&lt;&gt;"",$W15&lt;&gt;"",AJ$2&gt;=$G15,AJ$2&lt;=$W15,WEEKDAY(AJ$2,2)&lt;6),$R15/$V15,"")</f>
        <v/>
      </c>
      <c r="AK15" s="48">
        <f>IF(AND($G15&lt;&gt;"",$W15&lt;&gt;"",AK$2&gt;=$G15,AK$2&lt;=$W15,WEEKDAY(AK$2,2)&lt;6),$R15/$V15,"")</f>
        <v/>
      </c>
      <c r="AL15" s="48">
        <f>IF(AND($G15&lt;&gt;"",$W15&lt;&gt;"",AL$2&gt;=$G15,AL$2&lt;=$W15,WEEKDAY(AL$2,2)&lt;6),$R15/$V15,"")</f>
        <v/>
      </c>
      <c r="AM15" s="48">
        <f>IF(AND($G15&lt;&gt;"",$W15&lt;&gt;"",AM$2&gt;=$G15,AM$2&lt;=$W15,WEEKDAY(AM$2,2)&lt;6),$R15/$V15,"")</f>
        <v/>
      </c>
      <c r="AN15" s="48">
        <f>IF(AND($G15&lt;&gt;"",$W15&lt;&gt;"",AN$2&gt;=$G15,AN$2&lt;=$W15,WEEKDAY(AN$2,2)&lt;6),$R15/$V15,"")</f>
        <v/>
      </c>
      <c r="AO15" s="48">
        <f>IF(AND($G15&lt;&gt;"",$W15&lt;&gt;"",AO$2&gt;=$G15,AO$2&lt;=$W15,WEEKDAY(AO$2,2)&lt;6),$R15/$V15,"")</f>
        <v/>
      </c>
      <c r="AP15" s="48">
        <f>IF(AND($G15&lt;&gt;"",$W15&lt;&gt;"",AP$2&gt;=$G15,AP$2&lt;=$W15,WEEKDAY(AP$2,2)&lt;6),$R15/$V15,"")</f>
        <v/>
      </c>
      <c r="AQ15" s="48">
        <f>IF(AND($G15&lt;&gt;"",$W15&lt;&gt;"",AQ$2&gt;=$G15,AQ$2&lt;=$W15,WEEKDAY(AQ$2,2)&lt;6),$R15/$V15,"")</f>
        <v/>
      </c>
      <c r="AR15" s="48">
        <f>IF(AND($G15&lt;&gt;"",$W15&lt;&gt;"",AR$2&gt;=$G15,AR$2&lt;=$W15,WEEKDAY(AR$2,2)&lt;6),$R15/$V15,"")</f>
        <v/>
      </c>
      <c r="AS15" s="48">
        <f>IF(AND($G15&lt;&gt;"",$W15&lt;&gt;"",AS$2&gt;=$G15,AS$2&lt;=$W15,WEEKDAY(AS$2,2)&lt;6),$R15/$V15,"")</f>
        <v/>
      </c>
      <c r="AT15" s="48">
        <f>IF(AND($G15&lt;&gt;"",$W15&lt;&gt;"",AT$2&gt;=$G15,AT$2&lt;=$W15,WEEKDAY(AT$2,2)&lt;6),$R15/$V15,"")</f>
        <v/>
      </c>
      <c r="AU15" s="48">
        <f>IF(AND($G15&lt;&gt;"",$W15&lt;&gt;"",AU$2&gt;=$G15,AU$2&lt;=$W15,WEEKDAY(AU$2,2)&lt;6),$R15/$V15,"")</f>
        <v/>
      </c>
      <c r="AV15" s="48">
        <f>IF(AND($G15&lt;&gt;"",$W15&lt;&gt;"",AV$2&gt;=$G15,AV$2&lt;=$W15,WEEKDAY(AV$2,2)&lt;6),$R15/$V15,"")</f>
        <v/>
      </c>
      <c r="AW15" s="48">
        <f>IF(AND($G15&lt;&gt;"",$W15&lt;&gt;"",AW$2&gt;=$G15,AW$2&lt;=$W15,WEEKDAY(AW$2,2)&lt;6),$R15/$V15,"")</f>
        <v/>
      </c>
      <c r="AX15" s="48">
        <f>IF(AND($G15&lt;&gt;"",$W15&lt;&gt;"",AX$2&gt;=$G15,AX$2&lt;=$W15,WEEKDAY(AX$2,2)&lt;6),$R15/$V15,"")</f>
        <v/>
      </c>
      <c r="AY15" s="48">
        <f>IF(AND($G15&lt;&gt;"",$W15&lt;&gt;"",AY$2&gt;=$G15,AY$2&lt;=$W15,WEEKDAY(AY$2,2)&lt;6),$R15/$V15,"")</f>
        <v/>
      </c>
      <c r="AZ15" s="48">
        <f>IF(AND($G15&lt;&gt;"",$W15&lt;&gt;"",AZ$2&gt;=$G15,AZ$2&lt;=$W15,WEEKDAY(AZ$2,2)&lt;6),$R15/$V15,"")</f>
        <v/>
      </c>
      <c r="BA15" s="48">
        <f>IF(AND($G15&lt;&gt;"",$W15&lt;&gt;"",BA$2&gt;=$G15,BA$2&lt;=$W15,WEEKDAY(BA$2,2)&lt;6),$R15/$V15,"")</f>
        <v/>
      </c>
      <c r="BB15" s="48">
        <f>IF(AND($G15&lt;&gt;"",$W15&lt;&gt;"",BB$2&gt;=$G15,BB$2&lt;=$W15,WEEKDAY(BB$2,2)&lt;6),$R15/$V15,"")</f>
        <v/>
      </c>
      <c r="BC15" s="48">
        <f>IF(AND($G15&lt;&gt;"",$W15&lt;&gt;"",BC$2&gt;=$G15,BC$2&lt;=$W15,WEEKDAY(BC$2,2)&lt;6),$R15/$V15,"")</f>
        <v/>
      </c>
      <c r="BD15" s="48">
        <f>IF(AND($G15&lt;&gt;"",$W15&lt;&gt;"",BD$2&gt;=$G15,BD$2&lt;=$W15,WEEKDAY(BD$2,2)&lt;6),$R15/$V15,"")</f>
        <v/>
      </c>
      <c r="BE15" s="48">
        <f>IF(AND($G15&lt;&gt;"",$W15&lt;&gt;"",BE$2&gt;=$G15,BE$2&lt;=$W15,WEEKDAY(BE$2,2)&lt;6),$R15/$V15,"")</f>
        <v/>
      </c>
    </row>
    <row r="16">
      <c r="A16" s="40">
        <f>IF(F16="","",COUNTA($F$8:F16))</f>
        <v/>
      </c>
      <c r="B16" s="41">
        <f>IF(G16="","",MONTH(G16))</f>
        <v/>
      </c>
      <c r="C16" s="42" t="n"/>
      <c r="D16" s="43" t="n"/>
      <c r="E16" s="43" t="n"/>
      <c r="F16" s="42" t="n"/>
      <c r="G16" s="44" t="n"/>
      <c r="H16" s="44" t="n"/>
      <c r="I16" s="43" t="n"/>
      <c r="J16" s="43" t="n"/>
      <c r="K16" s="43" t="n"/>
      <c r="L16" s="42" t="n"/>
      <c r="M16" s="45" t="n"/>
      <c r="N16" s="42" t="n"/>
      <c r="O16" s="45" t="n"/>
      <c r="P16" s="42" t="n"/>
      <c r="Q16" s="45" t="n"/>
      <c r="R16" s="46">
        <f>IF(SUM(M16,O16,Q16)=0,"",SUM(M16,O16,Q16))</f>
        <v/>
      </c>
      <c r="S16" s="41">
        <f>IF(M16&gt;0,"영 ","")&amp;IF(O16&gt;0,"이 ","")&amp;IF(Q16&gt;0,"기 ","")</f>
        <v/>
      </c>
      <c r="T16" s="40">
        <f>IF(G16="","","W"&amp;ROUNDUP(DAY(G16)/7,0))</f>
        <v/>
      </c>
      <c r="U16" s="43" t="n"/>
      <c r="V16" s="40">
        <f>IF(R16="",0,ROUNDUP(MAX(M16,O16,Q16)/'마스터'!$J$6,0))</f>
        <v/>
      </c>
      <c r="W16" s="47">
        <f>IF(OR(G16="",V16=0),"",WORKDAY(G16,V16-1))</f>
        <v/>
      </c>
      <c r="X16" s="41">
        <f>IF(OR(H16="",W16=""),"",H16-W16)</f>
        <v/>
      </c>
      <c r="Y16" s="42" t="n"/>
      <c r="AA16" s="48">
        <f>IF(AND($G16&lt;&gt;"",$W16&lt;&gt;"",AA$2&gt;=$G16,AA$2&lt;=$W16,WEEKDAY(AA$2,2)&lt;6),$R16/$V16,"")</f>
        <v/>
      </c>
      <c r="AB16" s="48">
        <f>IF(AND($G16&lt;&gt;"",$W16&lt;&gt;"",AB$2&gt;=$G16,AB$2&lt;=$W16,WEEKDAY(AB$2,2)&lt;6),$R16/$V16,"")</f>
        <v/>
      </c>
      <c r="AC16" s="48">
        <f>IF(AND($G16&lt;&gt;"",$W16&lt;&gt;"",AC$2&gt;=$G16,AC$2&lt;=$W16,WEEKDAY(AC$2,2)&lt;6),$R16/$V16,"")</f>
        <v/>
      </c>
      <c r="AD16" s="48">
        <f>IF(AND($G16&lt;&gt;"",$W16&lt;&gt;"",AD$2&gt;=$G16,AD$2&lt;=$W16,WEEKDAY(AD$2,2)&lt;6),$R16/$V16,"")</f>
        <v/>
      </c>
      <c r="AE16" s="48">
        <f>IF(AND($G16&lt;&gt;"",$W16&lt;&gt;"",AE$2&gt;=$G16,AE$2&lt;=$W16,WEEKDAY(AE$2,2)&lt;6),$R16/$V16,"")</f>
        <v/>
      </c>
      <c r="AF16" s="48">
        <f>IF(AND($G16&lt;&gt;"",$W16&lt;&gt;"",AF$2&gt;=$G16,AF$2&lt;=$W16,WEEKDAY(AF$2,2)&lt;6),$R16/$V16,"")</f>
        <v/>
      </c>
      <c r="AG16" s="48">
        <f>IF(AND($G16&lt;&gt;"",$W16&lt;&gt;"",AG$2&gt;=$G16,AG$2&lt;=$W16,WEEKDAY(AG$2,2)&lt;6),$R16/$V16,"")</f>
        <v/>
      </c>
      <c r="AH16" s="48">
        <f>IF(AND($G16&lt;&gt;"",$W16&lt;&gt;"",AH$2&gt;=$G16,AH$2&lt;=$W16,WEEKDAY(AH$2,2)&lt;6),$R16/$V16,"")</f>
        <v/>
      </c>
      <c r="AI16" s="48">
        <f>IF(AND($G16&lt;&gt;"",$W16&lt;&gt;"",AI$2&gt;=$G16,AI$2&lt;=$W16,WEEKDAY(AI$2,2)&lt;6),$R16/$V16,"")</f>
        <v/>
      </c>
      <c r="AJ16" s="48">
        <f>IF(AND($G16&lt;&gt;"",$W16&lt;&gt;"",AJ$2&gt;=$G16,AJ$2&lt;=$W16,WEEKDAY(AJ$2,2)&lt;6),$R16/$V16,"")</f>
        <v/>
      </c>
      <c r="AK16" s="48">
        <f>IF(AND($G16&lt;&gt;"",$W16&lt;&gt;"",AK$2&gt;=$G16,AK$2&lt;=$W16,WEEKDAY(AK$2,2)&lt;6),$R16/$V16,"")</f>
        <v/>
      </c>
      <c r="AL16" s="48">
        <f>IF(AND($G16&lt;&gt;"",$W16&lt;&gt;"",AL$2&gt;=$G16,AL$2&lt;=$W16,WEEKDAY(AL$2,2)&lt;6),$R16/$V16,"")</f>
        <v/>
      </c>
      <c r="AM16" s="48">
        <f>IF(AND($G16&lt;&gt;"",$W16&lt;&gt;"",AM$2&gt;=$G16,AM$2&lt;=$W16,WEEKDAY(AM$2,2)&lt;6),$R16/$V16,"")</f>
        <v/>
      </c>
      <c r="AN16" s="48">
        <f>IF(AND($G16&lt;&gt;"",$W16&lt;&gt;"",AN$2&gt;=$G16,AN$2&lt;=$W16,WEEKDAY(AN$2,2)&lt;6),$R16/$V16,"")</f>
        <v/>
      </c>
      <c r="AO16" s="48">
        <f>IF(AND($G16&lt;&gt;"",$W16&lt;&gt;"",AO$2&gt;=$G16,AO$2&lt;=$W16,WEEKDAY(AO$2,2)&lt;6),$R16/$V16,"")</f>
        <v/>
      </c>
      <c r="AP16" s="48">
        <f>IF(AND($G16&lt;&gt;"",$W16&lt;&gt;"",AP$2&gt;=$G16,AP$2&lt;=$W16,WEEKDAY(AP$2,2)&lt;6),$R16/$V16,"")</f>
        <v/>
      </c>
      <c r="AQ16" s="48">
        <f>IF(AND($G16&lt;&gt;"",$W16&lt;&gt;"",AQ$2&gt;=$G16,AQ$2&lt;=$W16,WEEKDAY(AQ$2,2)&lt;6),$R16/$V16,"")</f>
        <v/>
      </c>
      <c r="AR16" s="48">
        <f>IF(AND($G16&lt;&gt;"",$W16&lt;&gt;"",AR$2&gt;=$G16,AR$2&lt;=$W16,WEEKDAY(AR$2,2)&lt;6),$R16/$V16,"")</f>
        <v/>
      </c>
      <c r="AS16" s="48">
        <f>IF(AND($G16&lt;&gt;"",$W16&lt;&gt;"",AS$2&gt;=$G16,AS$2&lt;=$W16,WEEKDAY(AS$2,2)&lt;6),$R16/$V16,"")</f>
        <v/>
      </c>
      <c r="AT16" s="48">
        <f>IF(AND($G16&lt;&gt;"",$W16&lt;&gt;"",AT$2&gt;=$G16,AT$2&lt;=$W16,WEEKDAY(AT$2,2)&lt;6),$R16/$V16,"")</f>
        <v/>
      </c>
      <c r="AU16" s="48">
        <f>IF(AND($G16&lt;&gt;"",$W16&lt;&gt;"",AU$2&gt;=$G16,AU$2&lt;=$W16,WEEKDAY(AU$2,2)&lt;6),$R16/$V16,"")</f>
        <v/>
      </c>
      <c r="AV16" s="48">
        <f>IF(AND($G16&lt;&gt;"",$W16&lt;&gt;"",AV$2&gt;=$G16,AV$2&lt;=$W16,WEEKDAY(AV$2,2)&lt;6),$R16/$V16,"")</f>
        <v/>
      </c>
      <c r="AW16" s="48">
        <f>IF(AND($G16&lt;&gt;"",$W16&lt;&gt;"",AW$2&gt;=$G16,AW$2&lt;=$W16,WEEKDAY(AW$2,2)&lt;6),$R16/$V16,"")</f>
        <v/>
      </c>
      <c r="AX16" s="48">
        <f>IF(AND($G16&lt;&gt;"",$W16&lt;&gt;"",AX$2&gt;=$G16,AX$2&lt;=$W16,WEEKDAY(AX$2,2)&lt;6),$R16/$V16,"")</f>
        <v/>
      </c>
      <c r="AY16" s="48">
        <f>IF(AND($G16&lt;&gt;"",$W16&lt;&gt;"",AY$2&gt;=$G16,AY$2&lt;=$W16,WEEKDAY(AY$2,2)&lt;6),$R16/$V16,"")</f>
        <v/>
      </c>
      <c r="AZ16" s="48">
        <f>IF(AND($G16&lt;&gt;"",$W16&lt;&gt;"",AZ$2&gt;=$G16,AZ$2&lt;=$W16,WEEKDAY(AZ$2,2)&lt;6),$R16/$V16,"")</f>
        <v/>
      </c>
      <c r="BA16" s="48">
        <f>IF(AND($G16&lt;&gt;"",$W16&lt;&gt;"",BA$2&gt;=$G16,BA$2&lt;=$W16,WEEKDAY(BA$2,2)&lt;6),$R16/$V16,"")</f>
        <v/>
      </c>
      <c r="BB16" s="48">
        <f>IF(AND($G16&lt;&gt;"",$W16&lt;&gt;"",BB$2&gt;=$G16,BB$2&lt;=$W16,WEEKDAY(BB$2,2)&lt;6),$R16/$V16,"")</f>
        <v/>
      </c>
      <c r="BC16" s="48">
        <f>IF(AND($G16&lt;&gt;"",$W16&lt;&gt;"",BC$2&gt;=$G16,BC$2&lt;=$W16,WEEKDAY(BC$2,2)&lt;6),$R16/$V16,"")</f>
        <v/>
      </c>
      <c r="BD16" s="48">
        <f>IF(AND($G16&lt;&gt;"",$W16&lt;&gt;"",BD$2&gt;=$G16,BD$2&lt;=$W16,WEEKDAY(BD$2,2)&lt;6),$R16/$V16,"")</f>
        <v/>
      </c>
      <c r="BE16" s="48">
        <f>IF(AND($G16&lt;&gt;"",$W16&lt;&gt;"",BE$2&gt;=$G16,BE$2&lt;=$W16,WEEKDAY(BE$2,2)&lt;6),$R16/$V16,"")</f>
        <v/>
      </c>
    </row>
    <row r="17">
      <c r="A17" s="40">
        <f>IF(F17="","",COUNTA($F$8:F17))</f>
        <v/>
      </c>
      <c r="B17" s="41">
        <f>IF(G17="","",MONTH(G17))</f>
        <v/>
      </c>
      <c r="C17" s="42" t="n"/>
      <c r="D17" s="43" t="n"/>
      <c r="E17" s="43" t="n"/>
      <c r="F17" s="42" t="n"/>
      <c r="G17" s="44" t="n"/>
      <c r="H17" s="44" t="n"/>
      <c r="I17" s="43" t="n"/>
      <c r="J17" s="43" t="n"/>
      <c r="K17" s="43" t="n"/>
      <c r="L17" s="42" t="n"/>
      <c r="M17" s="45" t="n"/>
      <c r="N17" s="42" t="n"/>
      <c r="O17" s="45" t="n"/>
      <c r="P17" s="42" t="n"/>
      <c r="Q17" s="45" t="n"/>
      <c r="R17" s="46">
        <f>IF(SUM(M17,O17,Q17)=0,"",SUM(M17,O17,Q17))</f>
        <v/>
      </c>
      <c r="S17" s="41">
        <f>IF(M17&gt;0,"영 ","")&amp;IF(O17&gt;0,"이 ","")&amp;IF(Q17&gt;0,"기 ","")</f>
        <v/>
      </c>
      <c r="T17" s="40">
        <f>IF(G17="","","W"&amp;ROUNDUP(DAY(G17)/7,0))</f>
        <v/>
      </c>
      <c r="U17" s="43" t="n"/>
      <c r="V17" s="40">
        <f>IF(R17="",0,ROUNDUP(MAX(M17,O17,Q17)/'마스터'!$J$6,0))</f>
        <v/>
      </c>
      <c r="W17" s="47">
        <f>IF(OR(G17="",V17=0),"",WORKDAY(G17,V17-1))</f>
        <v/>
      </c>
      <c r="X17" s="41">
        <f>IF(OR(H17="",W17=""),"",H17-W17)</f>
        <v/>
      </c>
      <c r="Y17" s="42" t="n"/>
      <c r="AA17" s="48">
        <f>IF(AND($G17&lt;&gt;"",$W17&lt;&gt;"",AA$2&gt;=$G17,AA$2&lt;=$W17,WEEKDAY(AA$2,2)&lt;6),$R17/$V17,"")</f>
        <v/>
      </c>
      <c r="AB17" s="48">
        <f>IF(AND($G17&lt;&gt;"",$W17&lt;&gt;"",AB$2&gt;=$G17,AB$2&lt;=$W17,WEEKDAY(AB$2,2)&lt;6),$R17/$V17,"")</f>
        <v/>
      </c>
      <c r="AC17" s="48">
        <f>IF(AND($G17&lt;&gt;"",$W17&lt;&gt;"",AC$2&gt;=$G17,AC$2&lt;=$W17,WEEKDAY(AC$2,2)&lt;6),$R17/$V17,"")</f>
        <v/>
      </c>
      <c r="AD17" s="48">
        <f>IF(AND($G17&lt;&gt;"",$W17&lt;&gt;"",AD$2&gt;=$G17,AD$2&lt;=$W17,WEEKDAY(AD$2,2)&lt;6),$R17/$V17,"")</f>
        <v/>
      </c>
      <c r="AE17" s="48">
        <f>IF(AND($G17&lt;&gt;"",$W17&lt;&gt;"",AE$2&gt;=$G17,AE$2&lt;=$W17,WEEKDAY(AE$2,2)&lt;6),$R17/$V17,"")</f>
        <v/>
      </c>
      <c r="AF17" s="48">
        <f>IF(AND($G17&lt;&gt;"",$W17&lt;&gt;"",AF$2&gt;=$G17,AF$2&lt;=$W17,WEEKDAY(AF$2,2)&lt;6),$R17/$V17,"")</f>
        <v/>
      </c>
      <c r="AG17" s="48">
        <f>IF(AND($G17&lt;&gt;"",$W17&lt;&gt;"",AG$2&gt;=$G17,AG$2&lt;=$W17,WEEKDAY(AG$2,2)&lt;6),$R17/$V17,"")</f>
        <v/>
      </c>
      <c r="AH17" s="48">
        <f>IF(AND($G17&lt;&gt;"",$W17&lt;&gt;"",AH$2&gt;=$G17,AH$2&lt;=$W17,WEEKDAY(AH$2,2)&lt;6),$R17/$V17,"")</f>
        <v/>
      </c>
      <c r="AI17" s="48">
        <f>IF(AND($G17&lt;&gt;"",$W17&lt;&gt;"",AI$2&gt;=$G17,AI$2&lt;=$W17,WEEKDAY(AI$2,2)&lt;6),$R17/$V17,"")</f>
        <v/>
      </c>
      <c r="AJ17" s="48">
        <f>IF(AND($G17&lt;&gt;"",$W17&lt;&gt;"",AJ$2&gt;=$G17,AJ$2&lt;=$W17,WEEKDAY(AJ$2,2)&lt;6),$R17/$V17,"")</f>
        <v/>
      </c>
      <c r="AK17" s="48">
        <f>IF(AND($G17&lt;&gt;"",$W17&lt;&gt;"",AK$2&gt;=$G17,AK$2&lt;=$W17,WEEKDAY(AK$2,2)&lt;6),$R17/$V17,"")</f>
        <v/>
      </c>
      <c r="AL17" s="48">
        <f>IF(AND($G17&lt;&gt;"",$W17&lt;&gt;"",AL$2&gt;=$G17,AL$2&lt;=$W17,WEEKDAY(AL$2,2)&lt;6),$R17/$V17,"")</f>
        <v/>
      </c>
      <c r="AM17" s="48">
        <f>IF(AND($G17&lt;&gt;"",$W17&lt;&gt;"",AM$2&gt;=$G17,AM$2&lt;=$W17,WEEKDAY(AM$2,2)&lt;6),$R17/$V17,"")</f>
        <v/>
      </c>
      <c r="AN17" s="48">
        <f>IF(AND($G17&lt;&gt;"",$W17&lt;&gt;"",AN$2&gt;=$G17,AN$2&lt;=$W17,WEEKDAY(AN$2,2)&lt;6),$R17/$V17,"")</f>
        <v/>
      </c>
      <c r="AO17" s="48">
        <f>IF(AND($G17&lt;&gt;"",$W17&lt;&gt;"",AO$2&gt;=$G17,AO$2&lt;=$W17,WEEKDAY(AO$2,2)&lt;6),$R17/$V17,"")</f>
        <v/>
      </c>
      <c r="AP17" s="48">
        <f>IF(AND($G17&lt;&gt;"",$W17&lt;&gt;"",AP$2&gt;=$G17,AP$2&lt;=$W17,WEEKDAY(AP$2,2)&lt;6),$R17/$V17,"")</f>
        <v/>
      </c>
      <c r="AQ17" s="48">
        <f>IF(AND($G17&lt;&gt;"",$W17&lt;&gt;"",AQ$2&gt;=$G17,AQ$2&lt;=$W17,WEEKDAY(AQ$2,2)&lt;6),$R17/$V17,"")</f>
        <v/>
      </c>
      <c r="AR17" s="48">
        <f>IF(AND($G17&lt;&gt;"",$W17&lt;&gt;"",AR$2&gt;=$G17,AR$2&lt;=$W17,WEEKDAY(AR$2,2)&lt;6),$R17/$V17,"")</f>
        <v/>
      </c>
      <c r="AS17" s="48">
        <f>IF(AND($G17&lt;&gt;"",$W17&lt;&gt;"",AS$2&gt;=$G17,AS$2&lt;=$W17,WEEKDAY(AS$2,2)&lt;6),$R17/$V17,"")</f>
        <v/>
      </c>
      <c r="AT17" s="48">
        <f>IF(AND($G17&lt;&gt;"",$W17&lt;&gt;"",AT$2&gt;=$G17,AT$2&lt;=$W17,WEEKDAY(AT$2,2)&lt;6),$R17/$V17,"")</f>
        <v/>
      </c>
      <c r="AU17" s="48">
        <f>IF(AND($G17&lt;&gt;"",$W17&lt;&gt;"",AU$2&gt;=$G17,AU$2&lt;=$W17,WEEKDAY(AU$2,2)&lt;6),$R17/$V17,"")</f>
        <v/>
      </c>
      <c r="AV17" s="48">
        <f>IF(AND($G17&lt;&gt;"",$W17&lt;&gt;"",AV$2&gt;=$G17,AV$2&lt;=$W17,WEEKDAY(AV$2,2)&lt;6),$R17/$V17,"")</f>
        <v/>
      </c>
      <c r="AW17" s="48">
        <f>IF(AND($G17&lt;&gt;"",$W17&lt;&gt;"",AW$2&gt;=$G17,AW$2&lt;=$W17,WEEKDAY(AW$2,2)&lt;6),$R17/$V17,"")</f>
        <v/>
      </c>
      <c r="AX17" s="48">
        <f>IF(AND($G17&lt;&gt;"",$W17&lt;&gt;"",AX$2&gt;=$G17,AX$2&lt;=$W17,WEEKDAY(AX$2,2)&lt;6),$R17/$V17,"")</f>
        <v/>
      </c>
      <c r="AY17" s="48">
        <f>IF(AND($G17&lt;&gt;"",$W17&lt;&gt;"",AY$2&gt;=$G17,AY$2&lt;=$W17,WEEKDAY(AY$2,2)&lt;6),$R17/$V17,"")</f>
        <v/>
      </c>
      <c r="AZ17" s="48">
        <f>IF(AND($G17&lt;&gt;"",$W17&lt;&gt;"",AZ$2&gt;=$G17,AZ$2&lt;=$W17,WEEKDAY(AZ$2,2)&lt;6),$R17/$V17,"")</f>
        <v/>
      </c>
      <c r="BA17" s="48">
        <f>IF(AND($G17&lt;&gt;"",$W17&lt;&gt;"",BA$2&gt;=$G17,BA$2&lt;=$W17,WEEKDAY(BA$2,2)&lt;6),$R17/$V17,"")</f>
        <v/>
      </c>
      <c r="BB17" s="48">
        <f>IF(AND($G17&lt;&gt;"",$W17&lt;&gt;"",BB$2&gt;=$G17,BB$2&lt;=$W17,WEEKDAY(BB$2,2)&lt;6),$R17/$V17,"")</f>
        <v/>
      </c>
      <c r="BC17" s="48">
        <f>IF(AND($G17&lt;&gt;"",$W17&lt;&gt;"",BC$2&gt;=$G17,BC$2&lt;=$W17,WEEKDAY(BC$2,2)&lt;6),$R17/$V17,"")</f>
        <v/>
      </c>
      <c r="BD17" s="48">
        <f>IF(AND($G17&lt;&gt;"",$W17&lt;&gt;"",BD$2&gt;=$G17,BD$2&lt;=$W17,WEEKDAY(BD$2,2)&lt;6),$R17/$V17,"")</f>
        <v/>
      </c>
      <c r="BE17" s="48">
        <f>IF(AND($G17&lt;&gt;"",$W17&lt;&gt;"",BE$2&gt;=$G17,BE$2&lt;=$W17,WEEKDAY(BE$2,2)&lt;6),$R17/$V17,"")</f>
        <v/>
      </c>
    </row>
    <row r="18">
      <c r="A18" s="40">
        <f>IF(F18="","",COUNTA($F$8:F18))</f>
        <v/>
      </c>
      <c r="B18" s="41">
        <f>IF(G18="","",MONTH(G18))</f>
        <v/>
      </c>
      <c r="C18" s="42" t="n"/>
      <c r="D18" s="43" t="n"/>
      <c r="E18" s="43" t="n"/>
      <c r="F18" s="42" t="n"/>
      <c r="G18" s="44" t="n"/>
      <c r="H18" s="44" t="n"/>
      <c r="I18" s="43" t="n"/>
      <c r="J18" s="43" t="n"/>
      <c r="K18" s="43" t="n"/>
      <c r="L18" s="42" t="n"/>
      <c r="M18" s="45" t="n"/>
      <c r="N18" s="42" t="n"/>
      <c r="O18" s="45" t="n"/>
      <c r="P18" s="42" t="n"/>
      <c r="Q18" s="45" t="n"/>
      <c r="R18" s="46">
        <f>IF(SUM(M18,O18,Q18)=0,"",SUM(M18,O18,Q18))</f>
        <v/>
      </c>
      <c r="S18" s="41">
        <f>IF(M18&gt;0,"영 ","")&amp;IF(O18&gt;0,"이 ","")&amp;IF(Q18&gt;0,"기 ","")</f>
        <v/>
      </c>
      <c r="T18" s="40">
        <f>IF(G18="","","W"&amp;ROUNDUP(DAY(G18)/7,0))</f>
        <v/>
      </c>
      <c r="U18" s="43" t="n"/>
      <c r="V18" s="40">
        <f>IF(R18="",0,ROUNDUP(MAX(M18,O18,Q18)/'마스터'!$J$6,0))</f>
        <v/>
      </c>
      <c r="W18" s="47">
        <f>IF(OR(G18="",V18=0),"",WORKDAY(G18,V18-1))</f>
        <v/>
      </c>
      <c r="X18" s="41">
        <f>IF(OR(H18="",W18=""),"",H18-W18)</f>
        <v/>
      </c>
      <c r="Y18" s="42" t="n"/>
      <c r="AA18" s="48">
        <f>IF(AND($G18&lt;&gt;"",$W18&lt;&gt;"",AA$2&gt;=$G18,AA$2&lt;=$W18,WEEKDAY(AA$2,2)&lt;6),$R18/$V18,"")</f>
        <v/>
      </c>
      <c r="AB18" s="48">
        <f>IF(AND($G18&lt;&gt;"",$W18&lt;&gt;"",AB$2&gt;=$G18,AB$2&lt;=$W18,WEEKDAY(AB$2,2)&lt;6),$R18/$V18,"")</f>
        <v/>
      </c>
      <c r="AC18" s="48">
        <f>IF(AND($G18&lt;&gt;"",$W18&lt;&gt;"",AC$2&gt;=$G18,AC$2&lt;=$W18,WEEKDAY(AC$2,2)&lt;6),$R18/$V18,"")</f>
        <v/>
      </c>
      <c r="AD18" s="48">
        <f>IF(AND($G18&lt;&gt;"",$W18&lt;&gt;"",AD$2&gt;=$G18,AD$2&lt;=$W18,WEEKDAY(AD$2,2)&lt;6),$R18/$V18,"")</f>
        <v/>
      </c>
      <c r="AE18" s="48">
        <f>IF(AND($G18&lt;&gt;"",$W18&lt;&gt;"",AE$2&gt;=$G18,AE$2&lt;=$W18,WEEKDAY(AE$2,2)&lt;6),$R18/$V18,"")</f>
        <v/>
      </c>
      <c r="AF18" s="48">
        <f>IF(AND($G18&lt;&gt;"",$W18&lt;&gt;"",AF$2&gt;=$G18,AF$2&lt;=$W18,WEEKDAY(AF$2,2)&lt;6),$R18/$V18,"")</f>
        <v/>
      </c>
      <c r="AG18" s="48">
        <f>IF(AND($G18&lt;&gt;"",$W18&lt;&gt;"",AG$2&gt;=$G18,AG$2&lt;=$W18,WEEKDAY(AG$2,2)&lt;6),$R18/$V18,"")</f>
        <v/>
      </c>
      <c r="AH18" s="48">
        <f>IF(AND($G18&lt;&gt;"",$W18&lt;&gt;"",AH$2&gt;=$G18,AH$2&lt;=$W18,WEEKDAY(AH$2,2)&lt;6),$R18/$V18,"")</f>
        <v/>
      </c>
      <c r="AI18" s="48">
        <f>IF(AND($G18&lt;&gt;"",$W18&lt;&gt;"",AI$2&gt;=$G18,AI$2&lt;=$W18,WEEKDAY(AI$2,2)&lt;6),$R18/$V18,"")</f>
        <v/>
      </c>
      <c r="AJ18" s="48">
        <f>IF(AND($G18&lt;&gt;"",$W18&lt;&gt;"",AJ$2&gt;=$G18,AJ$2&lt;=$W18,WEEKDAY(AJ$2,2)&lt;6),$R18/$V18,"")</f>
        <v/>
      </c>
      <c r="AK18" s="48">
        <f>IF(AND($G18&lt;&gt;"",$W18&lt;&gt;"",AK$2&gt;=$G18,AK$2&lt;=$W18,WEEKDAY(AK$2,2)&lt;6),$R18/$V18,"")</f>
        <v/>
      </c>
      <c r="AL18" s="48">
        <f>IF(AND($G18&lt;&gt;"",$W18&lt;&gt;"",AL$2&gt;=$G18,AL$2&lt;=$W18,WEEKDAY(AL$2,2)&lt;6),$R18/$V18,"")</f>
        <v/>
      </c>
      <c r="AM18" s="48">
        <f>IF(AND($G18&lt;&gt;"",$W18&lt;&gt;"",AM$2&gt;=$G18,AM$2&lt;=$W18,WEEKDAY(AM$2,2)&lt;6),$R18/$V18,"")</f>
        <v/>
      </c>
      <c r="AN18" s="48">
        <f>IF(AND($G18&lt;&gt;"",$W18&lt;&gt;"",AN$2&gt;=$G18,AN$2&lt;=$W18,WEEKDAY(AN$2,2)&lt;6),$R18/$V18,"")</f>
        <v/>
      </c>
      <c r="AO18" s="48">
        <f>IF(AND($G18&lt;&gt;"",$W18&lt;&gt;"",AO$2&gt;=$G18,AO$2&lt;=$W18,WEEKDAY(AO$2,2)&lt;6),$R18/$V18,"")</f>
        <v/>
      </c>
      <c r="AP18" s="48">
        <f>IF(AND($G18&lt;&gt;"",$W18&lt;&gt;"",AP$2&gt;=$G18,AP$2&lt;=$W18,WEEKDAY(AP$2,2)&lt;6),$R18/$V18,"")</f>
        <v/>
      </c>
      <c r="AQ18" s="48">
        <f>IF(AND($G18&lt;&gt;"",$W18&lt;&gt;"",AQ$2&gt;=$G18,AQ$2&lt;=$W18,WEEKDAY(AQ$2,2)&lt;6),$R18/$V18,"")</f>
        <v/>
      </c>
      <c r="AR18" s="48">
        <f>IF(AND($G18&lt;&gt;"",$W18&lt;&gt;"",AR$2&gt;=$G18,AR$2&lt;=$W18,WEEKDAY(AR$2,2)&lt;6),$R18/$V18,"")</f>
        <v/>
      </c>
      <c r="AS18" s="48">
        <f>IF(AND($G18&lt;&gt;"",$W18&lt;&gt;"",AS$2&gt;=$G18,AS$2&lt;=$W18,WEEKDAY(AS$2,2)&lt;6),$R18/$V18,"")</f>
        <v/>
      </c>
      <c r="AT18" s="48">
        <f>IF(AND($G18&lt;&gt;"",$W18&lt;&gt;"",AT$2&gt;=$G18,AT$2&lt;=$W18,WEEKDAY(AT$2,2)&lt;6),$R18/$V18,"")</f>
        <v/>
      </c>
      <c r="AU18" s="48">
        <f>IF(AND($G18&lt;&gt;"",$W18&lt;&gt;"",AU$2&gt;=$G18,AU$2&lt;=$W18,WEEKDAY(AU$2,2)&lt;6),$R18/$V18,"")</f>
        <v/>
      </c>
      <c r="AV18" s="48">
        <f>IF(AND($G18&lt;&gt;"",$W18&lt;&gt;"",AV$2&gt;=$G18,AV$2&lt;=$W18,WEEKDAY(AV$2,2)&lt;6),$R18/$V18,"")</f>
        <v/>
      </c>
      <c r="AW18" s="48">
        <f>IF(AND($G18&lt;&gt;"",$W18&lt;&gt;"",AW$2&gt;=$G18,AW$2&lt;=$W18,WEEKDAY(AW$2,2)&lt;6),$R18/$V18,"")</f>
        <v/>
      </c>
      <c r="AX18" s="48">
        <f>IF(AND($G18&lt;&gt;"",$W18&lt;&gt;"",AX$2&gt;=$G18,AX$2&lt;=$W18,WEEKDAY(AX$2,2)&lt;6),$R18/$V18,"")</f>
        <v/>
      </c>
      <c r="AY18" s="48">
        <f>IF(AND($G18&lt;&gt;"",$W18&lt;&gt;"",AY$2&gt;=$G18,AY$2&lt;=$W18,WEEKDAY(AY$2,2)&lt;6),$R18/$V18,"")</f>
        <v/>
      </c>
      <c r="AZ18" s="48">
        <f>IF(AND($G18&lt;&gt;"",$W18&lt;&gt;"",AZ$2&gt;=$G18,AZ$2&lt;=$W18,WEEKDAY(AZ$2,2)&lt;6),$R18/$V18,"")</f>
        <v/>
      </c>
      <c r="BA18" s="48">
        <f>IF(AND($G18&lt;&gt;"",$W18&lt;&gt;"",BA$2&gt;=$G18,BA$2&lt;=$W18,WEEKDAY(BA$2,2)&lt;6),$R18/$V18,"")</f>
        <v/>
      </c>
      <c r="BB18" s="48">
        <f>IF(AND($G18&lt;&gt;"",$W18&lt;&gt;"",BB$2&gt;=$G18,BB$2&lt;=$W18,WEEKDAY(BB$2,2)&lt;6),$R18/$V18,"")</f>
        <v/>
      </c>
      <c r="BC18" s="48">
        <f>IF(AND($G18&lt;&gt;"",$W18&lt;&gt;"",BC$2&gt;=$G18,BC$2&lt;=$W18,WEEKDAY(BC$2,2)&lt;6),$R18/$V18,"")</f>
        <v/>
      </c>
      <c r="BD18" s="48">
        <f>IF(AND($G18&lt;&gt;"",$W18&lt;&gt;"",BD$2&gt;=$G18,BD$2&lt;=$W18,WEEKDAY(BD$2,2)&lt;6),$R18/$V18,"")</f>
        <v/>
      </c>
      <c r="BE18" s="48">
        <f>IF(AND($G18&lt;&gt;"",$W18&lt;&gt;"",BE$2&gt;=$G18,BE$2&lt;=$W18,WEEKDAY(BE$2,2)&lt;6),$R18/$V18,"")</f>
        <v/>
      </c>
    </row>
    <row r="19">
      <c r="A19" s="40">
        <f>IF(F19="","",COUNTA($F$8:F19))</f>
        <v/>
      </c>
      <c r="B19" s="41">
        <f>IF(G19="","",MONTH(G19))</f>
        <v/>
      </c>
      <c r="C19" s="42" t="n"/>
      <c r="D19" s="43" t="n"/>
      <c r="E19" s="43" t="n"/>
      <c r="F19" s="42" t="n"/>
      <c r="G19" s="44" t="n"/>
      <c r="H19" s="44" t="n"/>
      <c r="I19" s="43" t="n"/>
      <c r="J19" s="43" t="n"/>
      <c r="K19" s="43" t="n"/>
      <c r="L19" s="42" t="n"/>
      <c r="M19" s="45" t="n"/>
      <c r="N19" s="42" t="n"/>
      <c r="O19" s="45" t="n"/>
      <c r="P19" s="42" t="n"/>
      <c r="Q19" s="45" t="n"/>
      <c r="R19" s="46">
        <f>IF(SUM(M19,O19,Q19)=0,"",SUM(M19,O19,Q19))</f>
        <v/>
      </c>
      <c r="S19" s="41">
        <f>IF(M19&gt;0,"영 ","")&amp;IF(O19&gt;0,"이 ","")&amp;IF(Q19&gt;0,"기 ","")</f>
        <v/>
      </c>
      <c r="T19" s="40">
        <f>IF(G19="","","W"&amp;ROUNDUP(DAY(G19)/7,0))</f>
        <v/>
      </c>
      <c r="U19" s="43" t="n"/>
      <c r="V19" s="40">
        <f>IF(R19="",0,ROUNDUP(MAX(M19,O19,Q19)/'마스터'!$J$6,0))</f>
        <v/>
      </c>
      <c r="W19" s="47">
        <f>IF(OR(G19="",V19=0),"",WORKDAY(G19,V19-1))</f>
        <v/>
      </c>
      <c r="X19" s="41">
        <f>IF(OR(H19="",W19=""),"",H19-W19)</f>
        <v/>
      </c>
      <c r="Y19" s="42" t="n"/>
      <c r="AA19" s="48">
        <f>IF(AND($G19&lt;&gt;"",$W19&lt;&gt;"",AA$2&gt;=$G19,AA$2&lt;=$W19,WEEKDAY(AA$2,2)&lt;6),$R19/$V19,"")</f>
        <v/>
      </c>
      <c r="AB19" s="48">
        <f>IF(AND($G19&lt;&gt;"",$W19&lt;&gt;"",AB$2&gt;=$G19,AB$2&lt;=$W19,WEEKDAY(AB$2,2)&lt;6),$R19/$V19,"")</f>
        <v/>
      </c>
      <c r="AC19" s="48">
        <f>IF(AND($G19&lt;&gt;"",$W19&lt;&gt;"",AC$2&gt;=$G19,AC$2&lt;=$W19,WEEKDAY(AC$2,2)&lt;6),$R19/$V19,"")</f>
        <v/>
      </c>
      <c r="AD19" s="48">
        <f>IF(AND($G19&lt;&gt;"",$W19&lt;&gt;"",AD$2&gt;=$G19,AD$2&lt;=$W19,WEEKDAY(AD$2,2)&lt;6),$R19/$V19,"")</f>
        <v/>
      </c>
      <c r="AE19" s="48">
        <f>IF(AND($G19&lt;&gt;"",$W19&lt;&gt;"",AE$2&gt;=$G19,AE$2&lt;=$W19,WEEKDAY(AE$2,2)&lt;6),$R19/$V19,"")</f>
        <v/>
      </c>
      <c r="AF19" s="48">
        <f>IF(AND($G19&lt;&gt;"",$W19&lt;&gt;"",AF$2&gt;=$G19,AF$2&lt;=$W19,WEEKDAY(AF$2,2)&lt;6),$R19/$V19,"")</f>
        <v/>
      </c>
      <c r="AG19" s="48">
        <f>IF(AND($G19&lt;&gt;"",$W19&lt;&gt;"",AG$2&gt;=$G19,AG$2&lt;=$W19,WEEKDAY(AG$2,2)&lt;6),$R19/$V19,"")</f>
        <v/>
      </c>
      <c r="AH19" s="48">
        <f>IF(AND($G19&lt;&gt;"",$W19&lt;&gt;"",AH$2&gt;=$G19,AH$2&lt;=$W19,WEEKDAY(AH$2,2)&lt;6),$R19/$V19,"")</f>
        <v/>
      </c>
      <c r="AI19" s="48">
        <f>IF(AND($G19&lt;&gt;"",$W19&lt;&gt;"",AI$2&gt;=$G19,AI$2&lt;=$W19,WEEKDAY(AI$2,2)&lt;6),$R19/$V19,"")</f>
        <v/>
      </c>
      <c r="AJ19" s="48">
        <f>IF(AND($G19&lt;&gt;"",$W19&lt;&gt;"",AJ$2&gt;=$G19,AJ$2&lt;=$W19,WEEKDAY(AJ$2,2)&lt;6),$R19/$V19,"")</f>
        <v/>
      </c>
      <c r="AK19" s="48">
        <f>IF(AND($G19&lt;&gt;"",$W19&lt;&gt;"",AK$2&gt;=$G19,AK$2&lt;=$W19,WEEKDAY(AK$2,2)&lt;6),$R19/$V19,"")</f>
        <v/>
      </c>
      <c r="AL19" s="48">
        <f>IF(AND($G19&lt;&gt;"",$W19&lt;&gt;"",AL$2&gt;=$G19,AL$2&lt;=$W19,WEEKDAY(AL$2,2)&lt;6),$R19/$V19,"")</f>
        <v/>
      </c>
      <c r="AM19" s="48">
        <f>IF(AND($G19&lt;&gt;"",$W19&lt;&gt;"",AM$2&gt;=$G19,AM$2&lt;=$W19,WEEKDAY(AM$2,2)&lt;6),$R19/$V19,"")</f>
        <v/>
      </c>
      <c r="AN19" s="48">
        <f>IF(AND($G19&lt;&gt;"",$W19&lt;&gt;"",AN$2&gt;=$G19,AN$2&lt;=$W19,WEEKDAY(AN$2,2)&lt;6),$R19/$V19,"")</f>
        <v/>
      </c>
      <c r="AO19" s="48">
        <f>IF(AND($G19&lt;&gt;"",$W19&lt;&gt;"",AO$2&gt;=$G19,AO$2&lt;=$W19,WEEKDAY(AO$2,2)&lt;6),$R19/$V19,"")</f>
        <v/>
      </c>
      <c r="AP19" s="48">
        <f>IF(AND($G19&lt;&gt;"",$W19&lt;&gt;"",AP$2&gt;=$G19,AP$2&lt;=$W19,WEEKDAY(AP$2,2)&lt;6),$R19/$V19,"")</f>
        <v/>
      </c>
      <c r="AQ19" s="48">
        <f>IF(AND($G19&lt;&gt;"",$W19&lt;&gt;"",AQ$2&gt;=$G19,AQ$2&lt;=$W19,WEEKDAY(AQ$2,2)&lt;6),$R19/$V19,"")</f>
        <v/>
      </c>
      <c r="AR19" s="48">
        <f>IF(AND($G19&lt;&gt;"",$W19&lt;&gt;"",AR$2&gt;=$G19,AR$2&lt;=$W19,WEEKDAY(AR$2,2)&lt;6),$R19/$V19,"")</f>
        <v/>
      </c>
      <c r="AS19" s="48">
        <f>IF(AND($G19&lt;&gt;"",$W19&lt;&gt;"",AS$2&gt;=$G19,AS$2&lt;=$W19,WEEKDAY(AS$2,2)&lt;6),$R19/$V19,"")</f>
        <v/>
      </c>
      <c r="AT19" s="48">
        <f>IF(AND($G19&lt;&gt;"",$W19&lt;&gt;"",AT$2&gt;=$G19,AT$2&lt;=$W19,WEEKDAY(AT$2,2)&lt;6),$R19/$V19,"")</f>
        <v/>
      </c>
      <c r="AU19" s="48">
        <f>IF(AND($G19&lt;&gt;"",$W19&lt;&gt;"",AU$2&gt;=$G19,AU$2&lt;=$W19,WEEKDAY(AU$2,2)&lt;6),$R19/$V19,"")</f>
        <v/>
      </c>
      <c r="AV19" s="48">
        <f>IF(AND($G19&lt;&gt;"",$W19&lt;&gt;"",AV$2&gt;=$G19,AV$2&lt;=$W19,WEEKDAY(AV$2,2)&lt;6),$R19/$V19,"")</f>
        <v/>
      </c>
      <c r="AW19" s="48">
        <f>IF(AND($G19&lt;&gt;"",$W19&lt;&gt;"",AW$2&gt;=$G19,AW$2&lt;=$W19,WEEKDAY(AW$2,2)&lt;6),$R19/$V19,"")</f>
        <v/>
      </c>
      <c r="AX19" s="48">
        <f>IF(AND($G19&lt;&gt;"",$W19&lt;&gt;"",AX$2&gt;=$G19,AX$2&lt;=$W19,WEEKDAY(AX$2,2)&lt;6),$R19/$V19,"")</f>
        <v/>
      </c>
      <c r="AY19" s="48">
        <f>IF(AND($G19&lt;&gt;"",$W19&lt;&gt;"",AY$2&gt;=$G19,AY$2&lt;=$W19,WEEKDAY(AY$2,2)&lt;6),$R19/$V19,"")</f>
        <v/>
      </c>
      <c r="AZ19" s="48">
        <f>IF(AND($G19&lt;&gt;"",$W19&lt;&gt;"",AZ$2&gt;=$G19,AZ$2&lt;=$W19,WEEKDAY(AZ$2,2)&lt;6),$R19/$V19,"")</f>
        <v/>
      </c>
      <c r="BA19" s="48">
        <f>IF(AND($G19&lt;&gt;"",$W19&lt;&gt;"",BA$2&gt;=$G19,BA$2&lt;=$W19,WEEKDAY(BA$2,2)&lt;6),$R19/$V19,"")</f>
        <v/>
      </c>
      <c r="BB19" s="48">
        <f>IF(AND($G19&lt;&gt;"",$W19&lt;&gt;"",BB$2&gt;=$G19,BB$2&lt;=$W19,WEEKDAY(BB$2,2)&lt;6),$R19/$V19,"")</f>
        <v/>
      </c>
      <c r="BC19" s="48">
        <f>IF(AND($G19&lt;&gt;"",$W19&lt;&gt;"",BC$2&gt;=$G19,BC$2&lt;=$W19,WEEKDAY(BC$2,2)&lt;6),$R19/$V19,"")</f>
        <v/>
      </c>
      <c r="BD19" s="48">
        <f>IF(AND($G19&lt;&gt;"",$W19&lt;&gt;"",BD$2&gt;=$G19,BD$2&lt;=$W19,WEEKDAY(BD$2,2)&lt;6),$R19/$V19,"")</f>
        <v/>
      </c>
      <c r="BE19" s="48">
        <f>IF(AND($G19&lt;&gt;"",$W19&lt;&gt;"",BE$2&gt;=$G19,BE$2&lt;=$W19,WEEKDAY(BE$2,2)&lt;6),$R19/$V19,"")</f>
        <v/>
      </c>
    </row>
    <row r="20">
      <c r="A20" s="40">
        <f>IF(F20="","",COUNTA($F$8:F20))</f>
        <v/>
      </c>
      <c r="B20" s="41">
        <f>IF(G20="","",MONTH(G20))</f>
        <v/>
      </c>
      <c r="C20" s="42" t="n"/>
      <c r="D20" s="43" t="n"/>
      <c r="E20" s="43" t="n"/>
      <c r="F20" s="42" t="n"/>
      <c r="G20" s="44" t="n"/>
      <c r="H20" s="44" t="n"/>
      <c r="I20" s="43" t="n"/>
      <c r="J20" s="43" t="n"/>
      <c r="K20" s="43" t="n"/>
      <c r="L20" s="42" t="n"/>
      <c r="M20" s="45" t="n"/>
      <c r="N20" s="42" t="n"/>
      <c r="O20" s="45" t="n"/>
      <c r="P20" s="42" t="n"/>
      <c r="Q20" s="45" t="n"/>
      <c r="R20" s="46">
        <f>IF(SUM(M20,O20,Q20)=0,"",SUM(M20,O20,Q20))</f>
        <v/>
      </c>
      <c r="S20" s="41">
        <f>IF(M20&gt;0,"영 ","")&amp;IF(O20&gt;0,"이 ","")&amp;IF(Q20&gt;0,"기 ","")</f>
        <v/>
      </c>
      <c r="T20" s="40">
        <f>IF(G20="","","W"&amp;ROUNDUP(DAY(G20)/7,0))</f>
        <v/>
      </c>
      <c r="U20" s="43" t="n"/>
      <c r="V20" s="40">
        <f>IF(R20="",0,ROUNDUP(MAX(M20,O20,Q20)/'마스터'!$J$6,0))</f>
        <v/>
      </c>
      <c r="W20" s="47">
        <f>IF(OR(G20="",V20=0),"",WORKDAY(G20,V20-1))</f>
        <v/>
      </c>
      <c r="X20" s="41">
        <f>IF(OR(H20="",W20=""),"",H20-W20)</f>
        <v/>
      </c>
      <c r="Y20" s="42" t="n"/>
      <c r="AA20" s="48">
        <f>IF(AND($G20&lt;&gt;"",$W20&lt;&gt;"",AA$2&gt;=$G20,AA$2&lt;=$W20,WEEKDAY(AA$2,2)&lt;6),$R20/$V20,"")</f>
        <v/>
      </c>
      <c r="AB20" s="48">
        <f>IF(AND($G20&lt;&gt;"",$W20&lt;&gt;"",AB$2&gt;=$G20,AB$2&lt;=$W20,WEEKDAY(AB$2,2)&lt;6),$R20/$V20,"")</f>
        <v/>
      </c>
      <c r="AC20" s="48">
        <f>IF(AND($G20&lt;&gt;"",$W20&lt;&gt;"",AC$2&gt;=$G20,AC$2&lt;=$W20,WEEKDAY(AC$2,2)&lt;6),$R20/$V20,"")</f>
        <v/>
      </c>
      <c r="AD20" s="48">
        <f>IF(AND($G20&lt;&gt;"",$W20&lt;&gt;"",AD$2&gt;=$G20,AD$2&lt;=$W20,WEEKDAY(AD$2,2)&lt;6),$R20/$V20,"")</f>
        <v/>
      </c>
      <c r="AE20" s="48">
        <f>IF(AND($G20&lt;&gt;"",$W20&lt;&gt;"",AE$2&gt;=$G20,AE$2&lt;=$W20,WEEKDAY(AE$2,2)&lt;6),$R20/$V20,"")</f>
        <v/>
      </c>
      <c r="AF20" s="48">
        <f>IF(AND($G20&lt;&gt;"",$W20&lt;&gt;"",AF$2&gt;=$G20,AF$2&lt;=$W20,WEEKDAY(AF$2,2)&lt;6),$R20/$V20,"")</f>
        <v/>
      </c>
      <c r="AG20" s="48">
        <f>IF(AND($G20&lt;&gt;"",$W20&lt;&gt;"",AG$2&gt;=$G20,AG$2&lt;=$W20,WEEKDAY(AG$2,2)&lt;6),$R20/$V20,"")</f>
        <v/>
      </c>
      <c r="AH20" s="48">
        <f>IF(AND($G20&lt;&gt;"",$W20&lt;&gt;"",AH$2&gt;=$G20,AH$2&lt;=$W20,WEEKDAY(AH$2,2)&lt;6),$R20/$V20,"")</f>
        <v/>
      </c>
      <c r="AI20" s="48">
        <f>IF(AND($G20&lt;&gt;"",$W20&lt;&gt;"",AI$2&gt;=$G20,AI$2&lt;=$W20,WEEKDAY(AI$2,2)&lt;6),$R20/$V20,"")</f>
        <v/>
      </c>
      <c r="AJ20" s="48">
        <f>IF(AND($G20&lt;&gt;"",$W20&lt;&gt;"",AJ$2&gt;=$G20,AJ$2&lt;=$W20,WEEKDAY(AJ$2,2)&lt;6),$R20/$V20,"")</f>
        <v/>
      </c>
      <c r="AK20" s="48">
        <f>IF(AND($G20&lt;&gt;"",$W20&lt;&gt;"",AK$2&gt;=$G20,AK$2&lt;=$W20,WEEKDAY(AK$2,2)&lt;6),$R20/$V20,"")</f>
        <v/>
      </c>
      <c r="AL20" s="48">
        <f>IF(AND($G20&lt;&gt;"",$W20&lt;&gt;"",AL$2&gt;=$G20,AL$2&lt;=$W20,WEEKDAY(AL$2,2)&lt;6),$R20/$V20,"")</f>
        <v/>
      </c>
      <c r="AM20" s="48">
        <f>IF(AND($G20&lt;&gt;"",$W20&lt;&gt;"",AM$2&gt;=$G20,AM$2&lt;=$W20,WEEKDAY(AM$2,2)&lt;6),$R20/$V20,"")</f>
        <v/>
      </c>
      <c r="AN20" s="48">
        <f>IF(AND($G20&lt;&gt;"",$W20&lt;&gt;"",AN$2&gt;=$G20,AN$2&lt;=$W20,WEEKDAY(AN$2,2)&lt;6),$R20/$V20,"")</f>
        <v/>
      </c>
      <c r="AO20" s="48">
        <f>IF(AND($G20&lt;&gt;"",$W20&lt;&gt;"",AO$2&gt;=$G20,AO$2&lt;=$W20,WEEKDAY(AO$2,2)&lt;6),$R20/$V20,"")</f>
        <v/>
      </c>
      <c r="AP20" s="48">
        <f>IF(AND($G20&lt;&gt;"",$W20&lt;&gt;"",AP$2&gt;=$G20,AP$2&lt;=$W20,WEEKDAY(AP$2,2)&lt;6),$R20/$V20,"")</f>
        <v/>
      </c>
      <c r="AQ20" s="48">
        <f>IF(AND($G20&lt;&gt;"",$W20&lt;&gt;"",AQ$2&gt;=$G20,AQ$2&lt;=$W20,WEEKDAY(AQ$2,2)&lt;6),$R20/$V20,"")</f>
        <v/>
      </c>
      <c r="AR20" s="48">
        <f>IF(AND($G20&lt;&gt;"",$W20&lt;&gt;"",AR$2&gt;=$G20,AR$2&lt;=$W20,WEEKDAY(AR$2,2)&lt;6),$R20/$V20,"")</f>
        <v/>
      </c>
      <c r="AS20" s="48">
        <f>IF(AND($G20&lt;&gt;"",$W20&lt;&gt;"",AS$2&gt;=$G20,AS$2&lt;=$W20,WEEKDAY(AS$2,2)&lt;6),$R20/$V20,"")</f>
        <v/>
      </c>
      <c r="AT20" s="48">
        <f>IF(AND($G20&lt;&gt;"",$W20&lt;&gt;"",AT$2&gt;=$G20,AT$2&lt;=$W20,WEEKDAY(AT$2,2)&lt;6),$R20/$V20,"")</f>
        <v/>
      </c>
      <c r="AU20" s="48">
        <f>IF(AND($G20&lt;&gt;"",$W20&lt;&gt;"",AU$2&gt;=$G20,AU$2&lt;=$W20,WEEKDAY(AU$2,2)&lt;6),$R20/$V20,"")</f>
        <v/>
      </c>
      <c r="AV20" s="48">
        <f>IF(AND($G20&lt;&gt;"",$W20&lt;&gt;"",AV$2&gt;=$G20,AV$2&lt;=$W20,WEEKDAY(AV$2,2)&lt;6),$R20/$V20,"")</f>
        <v/>
      </c>
      <c r="AW20" s="48">
        <f>IF(AND($G20&lt;&gt;"",$W20&lt;&gt;"",AW$2&gt;=$G20,AW$2&lt;=$W20,WEEKDAY(AW$2,2)&lt;6),$R20/$V20,"")</f>
        <v/>
      </c>
      <c r="AX20" s="48">
        <f>IF(AND($G20&lt;&gt;"",$W20&lt;&gt;"",AX$2&gt;=$G20,AX$2&lt;=$W20,WEEKDAY(AX$2,2)&lt;6),$R20/$V20,"")</f>
        <v/>
      </c>
      <c r="AY20" s="48">
        <f>IF(AND($G20&lt;&gt;"",$W20&lt;&gt;"",AY$2&gt;=$G20,AY$2&lt;=$W20,WEEKDAY(AY$2,2)&lt;6),$R20/$V20,"")</f>
        <v/>
      </c>
      <c r="AZ20" s="48">
        <f>IF(AND($G20&lt;&gt;"",$W20&lt;&gt;"",AZ$2&gt;=$G20,AZ$2&lt;=$W20,WEEKDAY(AZ$2,2)&lt;6),$R20/$V20,"")</f>
        <v/>
      </c>
      <c r="BA20" s="48">
        <f>IF(AND($G20&lt;&gt;"",$W20&lt;&gt;"",BA$2&gt;=$G20,BA$2&lt;=$W20,WEEKDAY(BA$2,2)&lt;6),$R20/$V20,"")</f>
        <v/>
      </c>
      <c r="BB20" s="48">
        <f>IF(AND($G20&lt;&gt;"",$W20&lt;&gt;"",BB$2&gt;=$G20,BB$2&lt;=$W20,WEEKDAY(BB$2,2)&lt;6),$R20/$V20,"")</f>
        <v/>
      </c>
      <c r="BC20" s="48">
        <f>IF(AND($G20&lt;&gt;"",$W20&lt;&gt;"",BC$2&gt;=$G20,BC$2&lt;=$W20,WEEKDAY(BC$2,2)&lt;6),$R20/$V20,"")</f>
        <v/>
      </c>
      <c r="BD20" s="48">
        <f>IF(AND($G20&lt;&gt;"",$W20&lt;&gt;"",BD$2&gt;=$G20,BD$2&lt;=$W20,WEEKDAY(BD$2,2)&lt;6),$R20/$V20,"")</f>
        <v/>
      </c>
      <c r="BE20" s="48">
        <f>IF(AND($G20&lt;&gt;"",$W20&lt;&gt;"",BE$2&gt;=$G20,BE$2&lt;=$W20,WEEKDAY(BE$2,2)&lt;6),$R20/$V20,"")</f>
        <v/>
      </c>
    </row>
    <row r="21">
      <c r="A21" s="40">
        <f>IF(F21="","",COUNTA($F$8:F21))</f>
        <v/>
      </c>
      <c r="B21" s="41">
        <f>IF(G21="","",MONTH(G21))</f>
        <v/>
      </c>
      <c r="C21" s="42" t="n"/>
      <c r="D21" s="43" t="n"/>
      <c r="E21" s="43" t="n"/>
      <c r="F21" s="42" t="n"/>
      <c r="G21" s="44" t="n"/>
      <c r="H21" s="44" t="n"/>
      <c r="I21" s="43" t="n"/>
      <c r="J21" s="43" t="n"/>
      <c r="K21" s="43" t="n"/>
      <c r="L21" s="42" t="n"/>
      <c r="M21" s="45" t="n"/>
      <c r="N21" s="42" t="n"/>
      <c r="O21" s="45" t="n"/>
      <c r="P21" s="42" t="n"/>
      <c r="Q21" s="45" t="n"/>
      <c r="R21" s="46">
        <f>IF(SUM(M21,O21,Q21)=0,"",SUM(M21,O21,Q21))</f>
        <v/>
      </c>
      <c r="S21" s="41">
        <f>IF(M21&gt;0,"영 ","")&amp;IF(O21&gt;0,"이 ","")&amp;IF(Q21&gt;0,"기 ","")</f>
        <v/>
      </c>
      <c r="T21" s="40">
        <f>IF(G21="","","W"&amp;ROUNDUP(DAY(G21)/7,0))</f>
        <v/>
      </c>
      <c r="U21" s="43" t="n"/>
      <c r="V21" s="40">
        <f>IF(R21="",0,ROUNDUP(MAX(M21,O21,Q21)/'마스터'!$J$6,0))</f>
        <v/>
      </c>
      <c r="W21" s="47">
        <f>IF(OR(G21="",V21=0),"",WORKDAY(G21,V21-1))</f>
        <v/>
      </c>
      <c r="X21" s="41">
        <f>IF(OR(H21="",W21=""),"",H21-W21)</f>
        <v/>
      </c>
      <c r="Y21" s="42" t="n"/>
      <c r="AA21" s="48">
        <f>IF(AND($G21&lt;&gt;"",$W21&lt;&gt;"",AA$2&gt;=$G21,AA$2&lt;=$W21,WEEKDAY(AA$2,2)&lt;6),$R21/$V21,"")</f>
        <v/>
      </c>
      <c r="AB21" s="48">
        <f>IF(AND($G21&lt;&gt;"",$W21&lt;&gt;"",AB$2&gt;=$G21,AB$2&lt;=$W21,WEEKDAY(AB$2,2)&lt;6),$R21/$V21,"")</f>
        <v/>
      </c>
      <c r="AC21" s="48">
        <f>IF(AND($G21&lt;&gt;"",$W21&lt;&gt;"",AC$2&gt;=$G21,AC$2&lt;=$W21,WEEKDAY(AC$2,2)&lt;6),$R21/$V21,"")</f>
        <v/>
      </c>
      <c r="AD21" s="48">
        <f>IF(AND($G21&lt;&gt;"",$W21&lt;&gt;"",AD$2&gt;=$G21,AD$2&lt;=$W21,WEEKDAY(AD$2,2)&lt;6),$R21/$V21,"")</f>
        <v/>
      </c>
      <c r="AE21" s="48">
        <f>IF(AND($G21&lt;&gt;"",$W21&lt;&gt;"",AE$2&gt;=$G21,AE$2&lt;=$W21,WEEKDAY(AE$2,2)&lt;6),$R21/$V21,"")</f>
        <v/>
      </c>
      <c r="AF21" s="48">
        <f>IF(AND($G21&lt;&gt;"",$W21&lt;&gt;"",AF$2&gt;=$G21,AF$2&lt;=$W21,WEEKDAY(AF$2,2)&lt;6),$R21/$V21,"")</f>
        <v/>
      </c>
      <c r="AG21" s="48">
        <f>IF(AND($G21&lt;&gt;"",$W21&lt;&gt;"",AG$2&gt;=$G21,AG$2&lt;=$W21,WEEKDAY(AG$2,2)&lt;6),$R21/$V21,"")</f>
        <v/>
      </c>
      <c r="AH21" s="48">
        <f>IF(AND($G21&lt;&gt;"",$W21&lt;&gt;"",AH$2&gt;=$G21,AH$2&lt;=$W21,WEEKDAY(AH$2,2)&lt;6),$R21/$V21,"")</f>
        <v/>
      </c>
      <c r="AI21" s="48">
        <f>IF(AND($G21&lt;&gt;"",$W21&lt;&gt;"",AI$2&gt;=$G21,AI$2&lt;=$W21,WEEKDAY(AI$2,2)&lt;6),$R21/$V21,"")</f>
        <v/>
      </c>
      <c r="AJ21" s="48">
        <f>IF(AND($G21&lt;&gt;"",$W21&lt;&gt;"",AJ$2&gt;=$G21,AJ$2&lt;=$W21,WEEKDAY(AJ$2,2)&lt;6),$R21/$V21,"")</f>
        <v/>
      </c>
      <c r="AK21" s="48">
        <f>IF(AND($G21&lt;&gt;"",$W21&lt;&gt;"",AK$2&gt;=$G21,AK$2&lt;=$W21,WEEKDAY(AK$2,2)&lt;6),$R21/$V21,"")</f>
        <v/>
      </c>
      <c r="AL21" s="48">
        <f>IF(AND($G21&lt;&gt;"",$W21&lt;&gt;"",AL$2&gt;=$G21,AL$2&lt;=$W21,WEEKDAY(AL$2,2)&lt;6),$R21/$V21,"")</f>
        <v/>
      </c>
      <c r="AM21" s="48">
        <f>IF(AND($G21&lt;&gt;"",$W21&lt;&gt;"",AM$2&gt;=$G21,AM$2&lt;=$W21,WEEKDAY(AM$2,2)&lt;6),$R21/$V21,"")</f>
        <v/>
      </c>
      <c r="AN21" s="48">
        <f>IF(AND($G21&lt;&gt;"",$W21&lt;&gt;"",AN$2&gt;=$G21,AN$2&lt;=$W21,WEEKDAY(AN$2,2)&lt;6),$R21/$V21,"")</f>
        <v/>
      </c>
      <c r="AO21" s="48">
        <f>IF(AND($G21&lt;&gt;"",$W21&lt;&gt;"",AO$2&gt;=$G21,AO$2&lt;=$W21,WEEKDAY(AO$2,2)&lt;6),$R21/$V21,"")</f>
        <v/>
      </c>
      <c r="AP21" s="48">
        <f>IF(AND($G21&lt;&gt;"",$W21&lt;&gt;"",AP$2&gt;=$G21,AP$2&lt;=$W21,WEEKDAY(AP$2,2)&lt;6),$R21/$V21,"")</f>
        <v/>
      </c>
      <c r="AQ21" s="48">
        <f>IF(AND($G21&lt;&gt;"",$W21&lt;&gt;"",AQ$2&gt;=$G21,AQ$2&lt;=$W21,WEEKDAY(AQ$2,2)&lt;6),$R21/$V21,"")</f>
        <v/>
      </c>
      <c r="AR21" s="48">
        <f>IF(AND($G21&lt;&gt;"",$W21&lt;&gt;"",AR$2&gt;=$G21,AR$2&lt;=$W21,WEEKDAY(AR$2,2)&lt;6),$R21/$V21,"")</f>
        <v/>
      </c>
      <c r="AS21" s="48">
        <f>IF(AND($G21&lt;&gt;"",$W21&lt;&gt;"",AS$2&gt;=$G21,AS$2&lt;=$W21,WEEKDAY(AS$2,2)&lt;6),$R21/$V21,"")</f>
        <v/>
      </c>
      <c r="AT21" s="48">
        <f>IF(AND($G21&lt;&gt;"",$W21&lt;&gt;"",AT$2&gt;=$G21,AT$2&lt;=$W21,WEEKDAY(AT$2,2)&lt;6),$R21/$V21,"")</f>
        <v/>
      </c>
      <c r="AU21" s="48">
        <f>IF(AND($G21&lt;&gt;"",$W21&lt;&gt;"",AU$2&gt;=$G21,AU$2&lt;=$W21,WEEKDAY(AU$2,2)&lt;6),$R21/$V21,"")</f>
        <v/>
      </c>
      <c r="AV21" s="48">
        <f>IF(AND($G21&lt;&gt;"",$W21&lt;&gt;"",AV$2&gt;=$G21,AV$2&lt;=$W21,WEEKDAY(AV$2,2)&lt;6),$R21/$V21,"")</f>
        <v/>
      </c>
      <c r="AW21" s="48">
        <f>IF(AND($G21&lt;&gt;"",$W21&lt;&gt;"",AW$2&gt;=$G21,AW$2&lt;=$W21,WEEKDAY(AW$2,2)&lt;6),$R21/$V21,"")</f>
        <v/>
      </c>
      <c r="AX21" s="48">
        <f>IF(AND($G21&lt;&gt;"",$W21&lt;&gt;"",AX$2&gt;=$G21,AX$2&lt;=$W21,WEEKDAY(AX$2,2)&lt;6),$R21/$V21,"")</f>
        <v/>
      </c>
      <c r="AY21" s="48">
        <f>IF(AND($G21&lt;&gt;"",$W21&lt;&gt;"",AY$2&gt;=$G21,AY$2&lt;=$W21,WEEKDAY(AY$2,2)&lt;6),$R21/$V21,"")</f>
        <v/>
      </c>
      <c r="AZ21" s="48">
        <f>IF(AND($G21&lt;&gt;"",$W21&lt;&gt;"",AZ$2&gt;=$G21,AZ$2&lt;=$W21,WEEKDAY(AZ$2,2)&lt;6),$R21/$V21,"")</f>
        <v/>
      </c>
      <c r="BA21" s="48">
        <f>IF(AND($G21&lt;&gt;"",$W21&lt;&gt;"",BA$2&gt;=$G21,BA$2&lt;=$W21,WEEKDAY(BA$2,2)&lt;6),$R21/$V21,"")</f>
        <v/>
      </c>
      <c r="BB21" s="48">
        <f>IF(AND($G21&lt;&gt;"",$W21&lt;&gt;"",BB$2&gt;=$G21,BB$2&lt;=$W21,WEEKDAY(BB$2,2)&lt;6),$R21/$V21,"")</f>
        <v/>
      </c>
      <c r="BC21" s="48">
        <f>IF(AND($G21&lt;&gt;"",$W21&lt;&gt;"",BC$2&gt;=$G21,BC$2&lt;=$W21,WEEKDAY(BC$2,2)&lt;6),$R21/$V21,"")</f>
        <v/>
      </c>
      <c r="BD21" s="48">
        <f>IF(AND($G21&lt;&gt;"",$W21&lt;&gt;"",BD$2&gt;=$G21,BD$2&lt;=$W21,WEEKDAY(BD$2,2)&lt;6),$R21/$V21,"")</f>
        <v/>
      </c>
      <c r="BE21" s="48">
        <f>IF(AND($G21&lt;&gt;"",$W21&lt;&gt;"",BE$2&gt;=$G21,BE$2&lt;=$W21,WEEKDAY(BE$2,2)&lt;6),$R21/$V21,"")</f>
        <v/>
      </c>
    </row>
    <row r="22">
      <c r="A22" s="40">
        <f>IF(F22="","",COUNTA($F$8:F22))</f>
        <v/>
      </c>
      <c r="B22" s="41">
        <f>IF(G22="","",MONTH(G22))</f>
        <v/>
      </c>
      <c r="C22" s="42" t="n"/>
      <c r="D22" s="43" t="n"/>
      <c r="E22" s="43" t="n"/>
      <c r="F22" s="42" t="n"/>
      <c r="G22" s="44" t="n"/>
      <c r="H22" s="44" t="n"/>
      <c r="I22" s="43" t="n"/>
      <c r="J22" s="43" t="n"/>
      <c r="K22" s="43" t="n"/>
      <c r="L22" s="42" t="n"/>
      <c r="M22" s="45" t="n"/>
      <c r="N22" s="42" t="n"/>
      <c r="O22" s="45" t="n"/>
      <c r="P22" s="42" t="n"/>
      <c r="Q22" s="45" t="n"/>
      <c r="R22" s="46">
        <f>IF(SUM(M22,O22,Q22)=0,"",SUM(M22,O22,Q22))</f>
        <v/>
      </c>
      <c r="S22" s="41">
        <f>IF(M22&gt;0,"영 ","")&amp;IF(O22&gt;0,"이 ","")&amp;IF(Q22&gt;0,"기 ","")</f>
        <v/>
      </c>
      <c r="T22" s="40">
        <f>IF(G22="","","W"&amp;ROUNDUP(DAY(G22)/7,0))</f>
        <v/>
      </c>
      <c r="U22" s="43" t="n"/>
      <c r="V22" s="40">
        <f>IF(R22="",0,ROUNDUP(MAX(M22,O22,Q22)/'마스터'!$J$6,0))</f>
        <v/>
      </c>
      <c r="W22" s="47">
        <f>IF(OR(G22="",V22=0),"",WORKDAY(G22,V22-1))</f>
        <v/>
      </c>
      <c r="X22" s="41">
        <f>IF(OR(H22="",W22=""),"",H22-W22)</f>
        <v/>
      </c>
      <c r="Y22" s="42" t="n"/>
      <c r="AA22" s="48">
        <f>IF(AND($G22&lt;&gt;"",$W22&lt;&gt;"",AA$2&gt;=$G22,AA$2&lt;=$W22,WEEKDAY(AA$2,2)&lt;6),$R22/$V22,"")</f>
        <v/>
      </c>
      <c r="AB22" s="48">
        <f>IF(AND($G22&lt;&gt;"",$W22&lt;&gt;"",AB$2&gt;=$G22,AB$2&lt;=$W22,WEEKDAY(AB$2,2)&lt;6),$R22/$V22,"")</f>
        <v/>
      </c>
      <c r="AC22" s="48">
        <f>IF(AND($G22&lt;&gt;"",$W22&lt;&gt;"",AC$2&gt;=$G22,AC$2&lt;=$W22,WEEKDAY(AC$2,2)&lt;6),$R22/$V22,"")</f>
        <v/>
      </c>
      <c r="AD22" s="48">
        <f>IF(AND($G22&lt;&gt;"",$W22&lt;&gt;"",AD$2&gt;=$G22,AD$2&lt;=$W22,WEEKDAY(AD$2,2)&lt;6),$R22/$V22,"")</f>
        <v/>
      </c>
      <c r="AE22" s="48">
        <f>IF(AND($G22&lt;&gt;"",$W22&lt;&gt;"",AE$2&gt;=$G22,AE$2&lt;=$W22,WEEKDAY(AE$2,2)&lt;6),$R22/$V22,"")</f>
        <v/>
      </c>
      <c r="AF22" s="48">
        <f>IF(AND($G22&lt;&gt;"",$W22&lt;&gt;"",AF$2&gt;=$G22,AF$2&lt;=$W22,WEEKDAY(AF$2,2)&lt;6),$R22/$V22,"")</f>
        <v/>
      </c>
      <c r="AG22" s="48">
        <f>IF(AND($G22&lt;&gt;"",$W22&lt;&gt;"",AG$2&gt;=$G22,AG$2&lt;=$W22,WEEKDAY(AG$2,2)&lt;6),$R22/$V22,"")</f>
        <v/>
      </c>
      <c r="AH22" s="48">
        <f>IF(AND($G22&lt;&gt;"",$W22&lt;&gt;"",AH$2&gt;=$G22,AH$2&lt;=$W22,WEEKDAY(AH$2,2)&lt;6),$R22/$V22,"")</f>
        <v/>
      </c>
      <c r="AI22" s="48">
        <f>IF(AND($G22&lt;&gt;"",$W22&lt;&gt;"",AI$2&gt;=$G22,AI$2&lt;=$W22,WEEKDAY(AI$2,2)&lt;6),$R22/$V22,"")</f>
        <v/>
      </c>
      <c r="AJ22" s="48">
        <f>IF(AND($G22&lt;&gt;"",$W22&lt;&gt;"",AJ$2&gt;=$G22,AJ$2&lt;=$W22,WEEKDAY(AJ$2,2)&lt;6),$R22/$V22,"")</f>
        <v/>
      </c>
      <c r="AK22" s="48">
        <f>IF(AND($G22&lt;&gt;"",$W22&lt;&gt;"",AK$2&gt;=$G22,AK$2&lt;=$W22,WEEKDAY(AK$2,2)&lt;6),$R22/$V22,"")</f>
        <v/>
      </c>
      <c r="AL22" s="48">
        <f>IF(AND($G22&lt;&gt;"",$W22&lt;&gt;"",AL$2&gt;=$G22,AL$2&lt;=$W22,WEEKDAY(AL$2,2)&lt;6),$R22/$V22,"")</f>
        <v/>
      </c>
      <c r="AM22" s="48">
        <f>IF(AND($G22&lt;&gt;"",$W22&lt;&gt;"",AM$2&gt;=$G22,AM$2&lt;=$W22,WEEKDAY(AM$2,2)&lt;6),$R22/$V22,"")</f>
        <v/>
      </c>
      <c r="AN22" s="48">
        <f>IF(AND($G22&lt;&gt;"",$W22&lt;&gt;"",AN$2&gt;=$G22,AN$2&lt;=$W22,WEEKDAY(AN$2,2)&lt;6),$R22/$V22,"")</f>
        <v/>
      </c>
      <c r="AO22" s="48">
        <f>IF(AND($G22&lt;&gt;"",$W22&lt;&gt;"",AO$2&gt;=$G22,AO$2&lt;=$W22,WEEKDAY(AO$2,2)&lt;6),$R22/$V22,"")</f>
        <v/>
      </c>
      <c r="AP22" s="48">
        <f>IF(AND($G22&lt;&gt;"",$W22&lt;&gt;"",AP$2&gt;=$G22,AP$2&lt;=$W22,WEEKDAY(AP$2,2)&lt;6),$R22/$V22,"")</f>
        <v/>
      </c>
      <c r="AQ22" s="48">
        <f>IF(AND($G22&lt;&gt;"",$W22&lt;&gt;"",AQ$2&gt;=$G22,AQ$2&lt;=$W22,WEEKDAY(AQ$2,2)&lt;6),$R22/$V22,"")</f>
        <v/>
      </c>
      <c r="AR22" s="48">
        <f>IF(AND($G22&lt;&gt;"",$W22&lt;&gt;"",AR$2&gt;=$G22,AR$2&lt;=$W22,WEEKDAY(AR$2,2)&lt;6),$R22/$V22,"")</f>
        <v/>
      </c>
      <c r="AS22" s="48">
        <f>IF(AND($G22&lt;&gt;"",$W22&lt;&gt;"",AS$2&gt;=$G22,AS$2&lt;=$W22,WEEKDAY(AS$2,2)&lt;6),$R22/$V22,"")</f>
        <v/>
      </c>
      <c r="AT22" s="48">
        <f>IF(AND($G22&lt;&gt;"",$W22&lt;&gt;"",AT$2&gt;=$G22,AT$2&lt;=$W22,WEEKDAY(AT$2,2)&lt;6),$R22/$V22,"")</f>
        <v/>
      </c>
      <c r="AU22" s="48">
        <f>IF(AND($G22&lt;&gt;"",$W22&lt;&gt;"",AU$2&gt;=$G22,AU$2&lt;=$W22,WEEKDAY(AU$2,2)&lt;6),$R22/$V22,"")</f>
        <v/>
      </c>
      <c r="AV22" s="48">
        <f>IF(AND($G22&lt;&gt;"",$W22&lt;&gt;"",AV$2&gt;=$G22,AV$2&lt;=$W22,WEEKDAY(AV$2,2)&lt;6),$R22/$V22,"")</f>
        <v/>
      </c>
      <c r="AW22" s="48">
        <f>IF(AND($G22&lt;&gt;"",$W22&lt;&gt;"",AW$2&gt;=$G22,AW$2&lt;=$W22,WEEKDAY(AW$2,2)&lt;6),$R22/$V22,"")</f>
        <v/>
      </c>
      <c r="AX22" s="48">
        <f>IF(AND($G22&lt;&gt;"",$W22&lt;&gt;"",AX$2&gt;=$G22,AX$2&lt;=$W22,WEEKDAY(AX$2,2)&lt;6),$R22/$V22,"")</f>
        <v/>
      </c>
      <c r="AY22" s="48">
        <f>IF(AND($G22&lt;&gt;"",$W22&lt;&gt;"",AY$2&gt;=$G22,AY$2&lt;=$W22,WEEKDAY(AY$2,2)&lt;6),$R22/$V22,"")</f>
        <v/>
      </c>
      <c r="AZ22" s="48">
        <f>IF(AND($G22&lt;&gt;"",$W22&lt;&gt;"",AZ$2&gt;=$G22,AZ$2&lt;=$W22,WEEKDAY(AZ$2,2)&lt;6),$R22/$V22,"")</f>
        <v/>
      </c>
      <c r="BA22" s="48">
        <f>IF(AND($G22&lt;&gt;"",$W22&lt;&gt;"",BA$2&gt;=$G22,BA$2&lt;=$W22,WEEKDAY(BA$2,2)&lt;6),$R22/$V22,"")</f>
        <v/>
      </c>
      <c r="BB22" s="48">
        <f>IF(AND($G22&lt;&gt;"",$W22&lt;&gt;"",BB$2&gt;=$G22,BB$2&lt;=$W22,WEEKDAY(BB$2,2)&lt;6),$R22/$V22,"")</f>
        <v/>
      </c>
      <c r="BC22" s="48">
        <f>IF(AND($G22&lt;&gt;"",$W22&lt;&gt;"",BC$2&gt;=$G22,BC$2&lt;=$W22,WEEKDAY(BC$2,2)&lt;6),$R22/$V22,"")</f>
        <v/>
      </c>
      <c r="BD22" s="48">
        <f>IF(AND($G22&lt;&gt;"",$W22&lt;&gt;"",BD$2&gt;=$G22,BD$2&lt;=$W22,WEEKDAY(BD$2,2)&lt;6),$R22/$V22,"")</f>
        <v/>
      </c>
      <c r="BE22" s="48">
        <f>IF(AND($G22&lt;&gt;"",$W22&lt;&gt;"",BE$2&gt;=$G22,BE$2&lt;=$W22,WEEKDAY(BE$2,2)&lt;6),$R22/$V22,"")</f>
        <v/>
      </c>
    </row>
    <row r="23">
      <c r="A23" s="40">
        <f>IF(F23="","",COUNTA($F$8:F23))</f>
        <v/>
      </c>
      <c r="B23" s="41">
        <f>IF(G23="","",MONTH(G23))</f>
        <v/>
      </c>
      <c r="C23" s="42" t="n"/>
      <c r="D23" s="43" t="n"/>
      <c r="E23" s="43" t="n"/>
      <c r="F23" s="42" t="n"/>
      <c r="G23" s="44" t="n"/>
      <c r="H23" s="44" t="n"/>
      <c r="I23" s="43" t="n"/>
      <c r="J23" s="43" t="n"/>
      <c r="K23" s="43" t="n"/>
      <c r="L23" s="42" t="n"/>
      <c r="M23" s="45" t="n"/>
      <c r="N23" s="42" t="n"/>
      <c r="O23" s="45" t="n"/>
      <c r="P23" s="42" t="n"/>
      <c r="Q23" s="45" t="n"/>
      <c r="R23" s="46">
        <f>IF(SUM(M23,O23,Q23)=0,"",SUM(M23,O23,Q23))</f>
        <v/>
      </c>
      <c r="S23" s="41">
        <f>IF(M23&gt;0,"영 ","")&amp;IF(O23&gt;0,"이 ","")&amp;IF(Q23&gt;0,"기 ","")</f>
        <v/>
      </c>
      <c r="T23" s="40">
        <f>IF(G23="","","W"&amp;ROUNDUP(DAY(G23)/7,0))</f>
        <v/>
      </c>
      <c r="U23" s="43" t="n"/>
      <c r="V23" s="40">
        <f>IF(R23="",0,ROUNDUP(MAX(M23,O23,Q23)/'마스터'!$J$6,0))</f>
        <v/>
      </c>
      <c r="W23" s="47">
        <f>IF(OR(G23="",V23=0),"",WORKDAY(G23,V23-1))</f>
        <v/>
      </c>
      <c r="X23" s="41">
        <f>IF(OR(H23="",W23=""),"",H23-W23)</f>
        <v/>
      </c>
      <c r="Y23" s="42" t="n"/>
      <c r="AA23" s="48">
        <f>IF(AND($G23&lt;&gt;"",$W23&lt;&gt;"",AA$2&gt;=$G23,AA$2&lt;=$W23,WEEKDAY(AA$2,2)&lt;6),$R23/$V23,"")</f>
        <v/>
      </c>
      <c r="AB23" s="48">
        <f>IF(AND($G23&lt;&gt;"",$W23&lt;&gt;"",AB$2&gt;=$G23,AB$2&lt;=$W23,WEEKDAY(AB$2,2)&lt;6),$R23/$V23,"")</f>
        <v/>
      </c>
      <c r="AC23" s="48">
        <f>IF(AND($G23&lt;&gt;"",$W23&lt;&gt;"",AC$2&gt;=$G23,AC$2&lt;=$W23,WEEKDAY(AC$2,2)&lt;6),$R23/$V23,"")</f>
        <v/>
      </c>
      <c r="AD23" s="48">
        <f>IF(AND($G23&lt;&gt;"",$W23&lt;&gt;"",AD$2&gt;=$G23,AD$2&lt;=$W23,WEEKDAY(AD$2,2)&lt;6),$R23/$V23,"")</f>
        <v/>
      </c>
      <c r="AE23" s="48">
        <f>IF(AND($G23&lt;&gt;"",$W23&lt;&gt;"",AE$2&gt;=$G23,AE$2&lt;=$W23,WEEKDAY(AE$2,2)&lt;6),$R23/$V23,"")</f>
        <v/>
      </c>
      <c r="AF23" s="48">
        <f>IF(AND($G23&lt;&gt;"",$W23&lt;&gt;"",AF$2&gt;=$G23,AF$2&lt;=$W23,WEEKDAY(AF$2,2)&lt;6),$R23/$V23,"")</f>
        <v/>
      </c>
      <c r="AG23" s="48">
        <f>IF(AND($G23&lt;&gt;"",$W23&lt;&gt;"",AG$2&gt;=$G23,AG$2&lt;=$W23,WEEKDAY(AG$2,2)&lt;6),$R23/$V23,"")</f>
        <v/>
      </c>
      <c r="AH23" s="48">
        <f>IF(AND($G23&lt;&gt;"",$W23&lt;&gt;"",AH$2&gt;=$G23,AH$2&lt;=$W23,WEEKDAY(AH$2,2)&lt;6),$R23/$V23,"")</f>
        <v/>
      </c>
      <c r="AI23" s="48">
        <f>IF(AND($G23&lt;&gt;"",$W23&lt;&gt;"",AI$2&gt;=$G23,AI$2&lt;=$W23,WEEKDAY(AI$2,2)&lt;6),$R23/$V23,"")</f>
        <v/>
      </c>
      <c r="AJ23" s="48">
        <f>IF(AND($G23&lt;&gt;"",$W23&lt;&gt;"",AJ$2&gt;=$G23,AJ$2&lt;=$W23,WEEKDAY(AJ$2,2)&lt;6),$R23/$V23,"")</f>
        <v/>
      </c>
      <c r="AK23" s="48">
        <f>IF(AND($G23&lt;&gt;"",$W23&lt;&gt;"",AK$2&gt;=$G23,AK$2&lt;=$W23,WEEKDAY(AK$2,2)&lt;6),$R23/$V23,"")</f>
        <v/>
      </c>
      <c r="AL23" s="48">
        <f>IF(AND($G23&lt;&gt;"",$W23&lt;&gt;"",AL$2&gt;=$G23,AL$2&lt;=$W23,WEEKDAY(AL$2,2)&lt;6),$R23/$V23,"")</f>
        <v/>
      </c>
      <c r="AM23" s="48">
        <f>IF(AND($G23&lt;&gt;"",$W23&lt;&gt;"",AM$2&gt;=$G23,AM$2&lt;=$W23,WEEKDAY(AM$2,2)&lt;6),$R23/$V23,"")</f>
        <v/>
      </c>
      <c r="AN23" s="48">
        <f>IF(AND($G23&lt;&gt;"",$W23&lt;&gt;"",AN$2&gt;=$G23,AN$2&lt;=$W23,WEEKDAY(AN$2,2)&lt;6),$R23/$V23,"")</f>
        <v/>
      </c>
      <c r="AO23" s="48">
        <f>IF(AND($G23&lt;&gt;"",$W23&lt;&gt;"",AO$2&gt;=$G23,AO$2&lt;=$W23,WEEKDAY(AO$2,2)&lt;6),$R23/$V23,"")</f>
        <v/>
      </c>
      <c r="AP23" s="48">
        <f>IF(AND($G23&lt;&gt;"",$W23&lt;&gt;"",AP$2&gt;=$G23,AP$2&lt;=$W23,WEEKDAY(AP$2,2)&lt;6),$R23/$V23,"")</f>
        <v/>
      </c>
      <c r="AQ23" s="48">
        <f>IF(AND($G23&lt;&gt;"",$W23&lt;&gt;"",AQ$2&gt;=$G23,AQ$2&lt;=$W23,WEEKDAY(AQ$2,2)&lt;6),$R23/$V23,"")</f>
        <v/>
      </c>
      <c r="AR23" s="48">
        <f>IF(AND($G23&lt;&gt;"",$W23&lt;&gt;"",AR$2&gt;=$G23,AR$2&lt;=$W23,WEEKDAY(AR$2,2)&lt;6),$R23/$V23,"")</f>
        <v/>
      </c>
      <c r="AS23" s="48">
        <f>IF(AND($G23&lt;&gt;"",$W23&lt;&gt;"",AS$2&gt;=$G23,AS$2&lt;=$W23,WEEKDAY(AS$2,2)&lt;6),$R23/$V23,"")</f>
        <v/>
      </c>
      <c r="AT23" s="48">
        <f>IF(AND($G23&lt;&gt;"",$W23&lt;&gt;"",AT$2&gt;=$G23,AT$2&lt;=$W23,WEEKDAY(AT$2,2)&lt;6),$R23/$V23,"")</f>
        <v/>
      </c>
      <c r="AU23" s="48">
        <f>IF(AND($G23&lt;&gt;"",$W23&lt;&gt;"",AU$2&gt;=$G23,AU$2&lt;=$W23,WEEKDAY(AU$2,2)&lt;6),$R23/$V23,"")</f>
        <v/>
      </c>
      <c r="AV23" s="48">
        <f>IF(AND($G23&lt;&gt;"",$W23&lt;&gt;"",AV$2&gt;=$G23,AV$2&lt;=$W23,WEEKDAY(AV$2,2)&lt;6),$R23/$V23,"")</f>
        <v/>
      </c>
      <c r="AW23" s="48">
        <f>IF(AND($G23&lt;&gt;"",$W23&lt;&gt;"",AW$2&gt;=$G23,AW$2&lt;=$W23,WEEKDAY(AW$2,2)&lt;6),$R23/$V23,"")</f>
        <v/>
      </c>
      <c r="AX23" s="48">
        <f>IF(AND($G23&lt;&gt;"",$W23&lt;&gt;"",AX$2&gt;=$G23,AX$2&lt;=$W23,WEEKDAY(AX$2,2)&lt;6),$R23/$V23,"")</f>
        <v/>
      </c>
      <c r="AY23" s="48">
        <f>IF(AND($G23&lt;&gt;"",$W23&lt;&gt;"",AY$2&gt;=$G23,AY$2&lt;=$W23,WEEKDAY(AY$2,2)&lt;6),$R23/$V23,"")</f>
        <v/>
      </c>
      <c r="AZ23" s="48">
        <f>IF(AND($G23&lt;&gt;"",$W23&lt;&gt;"",AZ$2&gt;=$G23,AZ$2&lt;=$W23,WEEKDAY(AZ$2,2)&lt;6),$R23/$V23,"")</f>
        <v/>
      </c>
      <c r="BA23" s="48">
        <f>IF(AND($G23&lt;&gt;"",$W23&lt;&gt;"",BA$2&gt;=$G23,BA$2&lt;=$W23,WEEKDAY(BA$2,2)&lt;6),$R23/$V23,"")</f>
        <v/>
      </c>
      <c r="BB23" s="48">
        <f>IF(AND($G23&lt;&gt;"",$W23&lt;&gt;"",BB$2&gt;=$G23,BB$2&lt;=$W23,WEEKDAY(BB$2,2)&lt;6),$R23/$V23,"")</f>
        <v/>
      </c>
      <c r="BC23" s="48">
        <f>IF(AND($G23&lt;&gt;"",$W23&lt;&gt;"",BC$2&gt;=$G23,BC$2&lt;=$W23,WEEKDAY(BC$2,2)&lt;6),$R23/$V23,"")</f>
        <v/>
      </c>
      <c r="BD23" s="48">
        <f>IF(AND($G23&lt;&gt;"",$W23&lt;&gt;"",BD$2&gt;=$G23,BD$2&lt;=$W23,WEEKDAY(BD$2,2)&lt;6),$R23/$V23,"")</f>
        <v/>
      </c>
      <c r="BE23" s="48">
        <f>IF(AND($G23&lt;&gt;"",$W23&lt;&gt;"",BE$2&gt;=$G23,BE$2&lt;=$W23,WEEKDAY(BE$2,2)&lt;6),$R23/$V23,"")</f>
        <v/>
      </c>
    </row>
    <row r="24">
      <c r="A24" s="40">
        <f>IF(F24="","",COUNTA($F$8:F24))</f>
        <v/>
      </c>
      <c r="B24" s="41">
        <f>IF(G24="","",MONTH(G24))</f>
        <v/>
      </c>
      <c r="C24" s="42" t="n"/>
      <c r="D24" s="43" t="n"/>
      <c r="E24" s="43" t="n"/>
      <c r="F24" s="42" t="n"/>
      <c r="G24" s="44" t="n"/>
      <c r="H24" s="44" t="n"/>
      <c r="I24" s="43" t="n"/>
      <c r="J24" s="43" t="n"/>
      <c r="K24" s="43" t="n"/>
      <c r="L24" s="42" t="n"/>
      <c r="M24" s="45" t="n"/>
      <c r="N24" s="42" t="n"/>
      <c r="O24" s="45" t="n"/>
      <c r="P24" s="42" t="n"/>
      <c r="Q24" s="45" t="n"/>
      <c r="R24" s="46">
        <f>IF(SUM(M24,O24,Q24)=0,"",SUM(M24,O24,Q24))</f>
        <v/>
      </c>
      <c r="S24" s="41">
        <f>IF(M24&gt;0,"영 ","")&amp;IF(O24&gt;0,"이 ","")&amp;IF(Q24&gt;0,"기 ","")</f>
        <v/>
      </c>
      <c r="T24" s="40">
        <f>IF(G24="","","W"&amp;ROUNDUP(DAY(G24)/7,0))</f>
        <v/>
      </c>
      <c r="U24" s="43" t="n"/>
      <c r="V24" s="40">
        <f>IF(R24="",0,ROUNDUP(MAX(M24,O24,Q24)/'마스터'!$J$6,0))</f>
        <v/>
      </c>
      <c r="W24" s="47">
        <f>IF(OR(G24="",V24=0),"",WORKDAY(G24,V24-1))</f>
        <v/>
      </c>
      <c r="X24" s="41">
        <f>IF(OR(H24="",W24=""),"",H24-W24)</f>
        <v/>
      </c>
      <c r="Y24" s="42" t="n"/>
      <c r="AA24" s="48">
        <f>IF(AND($G24&lt;&gt;"",$W24&lt;&gt;"",AA$2&gt;=$G24,AA$2&lt;=$W24,WEEKDAY(AA$2,2)&lt;6),$R24/$V24,"")</f>
        <v/>
      </c>
      <c r="AB24" s="48">
        <f>IF(AND($G24&lt;&gt;"",$W24&lt;&gt;"",AB$2&gt;=$G24,AB$2&lt;=$W24,WEEKDAY(AB$2,2)&lt;6),$R24/$V24,"")</f>
        <v/>
      </c>
      <c r="AC24" s="48">
        <f>IF(AND($G24&lt;&gt;"",$W24&lt;&gt;"",AC$2&gt;=$G24,AC$2&lt;=$W24,WEEKDAY(AC$2,2)&lt;6),$R24/$V24,"")</f>
        <v/>
      </c>
      <c r="AD24" s="48">
        <f>IF(AND($G24&lt;&gt;"",$W24&lt;&gt;"",AD$2&gt;=$G24,AD$2&lt;=$W24,WEEKDAY(AD$2,2)&lt;6),$R24/$V24,"")</f>
        <v/>
      </c>
      <c r="AE24" s="48">
        <f>IF(AND($G24&lt;&gt;"",$W24&lt;&gt;"",AE$2&gt;=$G24,AE$2&lt;=$W24,WEEKDAY(AE$2,2)&lt;6),$R24/$V24,"")</f>
        <v/>
      </c>
      <c r="AF24" s="48">
        <f>IF(AND($G24&lt;&gt;"",$W24&lt;&gt;"",AF$2&gt;=$G24,AF$2&lt;=$W24,WEEKDAY(AF$2,2)&lt;6),$R24/$V24,"")</f>
        <v/>
      </c>
      <c r="AG24" s="48">
        <f>IF(AND($G24&lt;&gt;"",$W24&lt;&gt;"",AG$2&gt;=$G24,AG$2&lt;=$W24,WEEKDAY(AG$2,2)&lt;6),$R24/$V24,"")</f>
        <v/>
      </c>
      <c r="AH24" s="48">
        <f>IF(AND($G24&lt;&gt;"",$W24&lt;&gt;"",AH$2&gt;=$G24,AH$2&lt;=$W24,WEEKDAY(AH$2,2)&lt;6),$R24/$V24,"")</f>
        <v/>
      </c>
      <c r="AI24" s="48">
        <f>IF(AND($G24&lt;&gt;"",$W24&lt;&gt;"",AI$2&gt;=$G24,AI$2&lt;=$W24,WEEKDAY(AI$2,2)&lt;6),$R24/$V24,"")</f>
        <v/>
      </c>
      <c r="AJ24" s="48">
        <f>IF(AND($G24&lt;&gt;"",$W24&lt;&gt;"",AJ$2&gt;=$G24,AJ$2&lt;=$W24,WEEKDAY(AJ$2,2)&lt;6),$R24/$V24,"")</f>
        <v/>
      </c>
      <c r="AK24" s="48">
        <f>IF(AND($G24&lt;&gt;"",$W24&lt;&gt;"",AK$2&gt;=$G24,AK$2&lt;=$W24,WEEKDAY(AK$2,2)&lt;6),$R24/$V24,"")</f>
        <v/>
      </c>
      <c r="AL24" s="48">
        <f>IF(AND($G24&lt;&gt;"",$W24&lt;&gt;"",AL$2&gt;=$G24,AL$2&lt;=$W24,WEEKDAY(AL$2,2)&lt;6),$R24/$V24,"")</f>
        <v/>
      </c>
      <c r="AM24" s="48">
        <f>IF(AND($G24&lt;&gt;"",$W24&lt;&gt;"",AM$2&gt;=$G24,AM$2&lt;=$W24,WEEKDAY(AM$2,2)&lt;6),$R24/$V24,"")</f>
        <v/>
      </c>
      <c r="AN24" s="48">
        <f>IF(AND($G24&lt;&gt;"",$W24&lt;&gt;"",AN$2&gt;=$G24,AN$2&lt;=$W24,WEEKDAY(AN$2,2)&lt;6),$R24/$V24,"")</f>
        <v/>
      </c>
      <c r="AO24" s="48">
        <f>IF(AND($G24&lt;&gt;"",$W24&lt;&gt;"",AO$2&gt;=$G24,AO$2&lt;=$W24,WEEKDAY(AO$2,2)&lt;6),$R24/$V24,"")</f>
        <v/>
      </c>
      <c r="AP24" s="48">
        <f>IF(AND($G24&lt;&gt;"",$W24&lt;&gt;"",AP$2&gt;=$G24,AP$2&lt;=$W24,WEEKDAY(AP$2,2)&lt;6),$R24/$V24,"")</f>
        <v/>
      </c>
      <c r="AQ24" s="48">
        <f>IF(AND($G24&lt;&gt;"",$W24&lt;&gt;"",AQ$2&gt;=$G24,AQ$2&lt;=$W24,WEEKDAY(AQ$2,2)&lt;6),$R24/$V24,"")</f>
        <v/>
      </c>
      <c r="AR24" s="48">
        <f>IF(AND($G24&lt;&gt;"",$W24&lt;&gt;"",AR$2&gt;=$G24,AR$2&lt;=$W24,WEEKDAY(AR$2,2)&lt;6),$R24/$V24,"")</f>
        <v/>
      </c>
      <c r="AS24" s="48">
        <f>IF(AND($G24&lt;&gt;"",$W24&lt;&gt;"",AS$2&gt;=$G24,AS$2&lt;=$W24,WEEKDAY(AS$2,2)&lt;6),$R24/$V24,"")</f>
        <v/>
      </c>
      <c r="AT24" s="48">
        <f>IF(AND($G24&lt;&gt;"",$W24&lt;&gt;"",AT$2&gt;=$G24,AT$2&lt;=$W24,WEEKDAY(AT$2,2)&lt;6),$R24/$V24,"")</f>
        <v/>
      </c>
      <c r="AU24" s="48">
        <f>IF(AND($G24&lt;&gt;"",$W24&lt;&gt;"",AU$2&gt;=$G24,AU$2&lt;=$W24,WEEKDAY(AU$2,2)&lt;6),$R24/$V24,"")</f>
        <v/>
      </c>
      <c r="AV24" s="48">
        <f>IF(AND($G24&lt;&gt;"",$W24&lt;&gt;"",AV$2&gt;=$G24,AV$2&lt;=$W24,WEEKDAY(AV$2,2)&lt;6),$R24/$V24,"")</f>
        <v/>
      </c>
      <c r="AW24" s="48">
        <f>IF(AND($G24&lt;&gt;"",$W24&lt;&gt;"",AW$2&gt;=$G24,AW$2&lt;=$W24,WEEKDAY(AW$2,2)&lt;6),$R24/$V24,"")</f>
        <v/>
      </c>
      <c r="AX24" s="48">
        <f>IF(AND($G24&lt;&gt;"",$W24&lt;&gt;"",AX$2&gt;=$G24,AX$2&lt;=$W24,WEEKDAY(AX$2,2)&lt;6),$R24/$V24,"")</f>
        <v/>
      </c>
      <c r="AY24" s="48">
        <f>IF(AND($G24&lt;&gt;"",$W24&lt;&gt;"",AY$2&gt;=$G24,AY$2&lt;=$W24,WEEKDAY(AY$2,2)&lt;6),$R24/$V24,"")</f>
        <v/>
      </c>
      <c r="AZ24" s="48">
        <f>IF(AND($G24&lt;&gt;"",$W24&lt;&gt;"",AZ$2&gt;=$G24,AZ$2&lt;=$W24,WEEKDAY(AZ$2,2)&lt;6),$R24/$V24,"")</f>
        <v/>
      </c>
      <c r="BA24" s="48">
        <f>IF(AND($G24&lt;&gt;"",$W24&lt;&gt;"",BA$2&gt;=$G24,BA$2&lt;=$W24,WEEKDAY(BA$2,2)&lt;6),$R24/$V24,"")</f>
        <v/>
      </c>
      <c r="BB24" s="48">
        <f>IF(AND($G24&lt;&gt;"",$W24&lt;&gt;"",BB$2&gt;=$G24,BB$2&lt;=$W24,WEEKDAY(BB$2,2)&lt;6),$R24/$V24,"")</f>
        <v/>
      </c>
      <c r="BC24" s="48">
        <f>IF(AND($G24&lt;&gt;"",$W24&lt;&gt;"",BC$2&gt;=$G24,BC$2&lt;=$W24,WEEKDAY(BC$2,2)&lt;6),$R24/$V24,"")</f>
        <v/>
      </c>
      <c r="BD24" s="48">
        <f>IF(AND($G24&lt;&gt;"",$W24&lt;&gt;"",BD$2&gt;=$G24,BD$2&lt;=$W24,WEEKDAY(BD$2,2)&lt;6),$R24/$V24,"")</f>
        <v/>
      </c>
      <c r="BE24" s="48">
        <f>IF(AND($G24&lt;&gt;"",$W24&lt;&gt;"",BE$2&gt;=$G24,BE$2&lt;=$W24,WEEKDAY(BE$2,2)&lt;6),$R24/$V24,"")</f>
        <v/>
      </c>
    </row>
    <row r="25">
      <c r="A25" s="40">
        <f>IF(F25="","",COUNTA($F$8:F25))</f>
        <v/>
      </c>
      <c r="B25" s="41">
        <f>IF(G25="","",MONTH(G25))</f>
        <v/>
      </c>
      <c r="C25" s="42" t="n"/>
      <c r="D25" s="43" t="n"/>
      <c r="E25" s="43" t="n"/>
      <c r="F25" s="42" t="n"/>
      <c r="G25" s="44" t="n"/>
      <c r="H25" s="44" t="n"/>
      <c r="I25" s="43" t="n"/>
      <c r="J25" s="43" t="n"/>
      <c r="K25" s="43" t="n"/>
      <c r="L25" s="42" t="n"/>
      <c r="M25" s="45" t="n"/>
      <c r="N25" s="42" t="n"/>
      <c r="O25" s="45" t="n"/>
      <c r="P25" s="42" t="n"/>
      <c r="Q25" s="45" t="n"/>
      <c r="R25" s="46">
        <f>IF(SUM(M25,O25,Q25)=0,"",SUM(M25,O25,Q25))</f>
        <v/>
      </c>
      <c r="S25" s="41">
        <f>IF(M25&gt;0,"영 ","")&amp;IF(O25&gt;0,"이 ","")&amp;IF(Q25&gt;0,"기 ","")</f>
        <v/>
      </c>
      <c r="T25" s="40">
        <f>IF(G25="","","W"&amp;ROUNDUP(DAY(G25)/7,0))</f>
        <v/>
      </c>
      <c r="U25" s="43" t="n"/>
      <c r="V25" s="40">
        <f>IF(R25="",0,ROUNDUP(MAX(M25,O25,Q25)/'마스터'!$J$6,0))</f>
        <v/>
      </c>
      <c r="W25" s="47">
        <f>IF(OR(G25="",V25=0),"",WORKDAY(G25,V25-1))</f>
        <v/>
      </c>
      <c r="X25" s="41">
        <f>IF(OR(H25="",W25=""),"",H25-W25)</f>
        <v/>
      </c>
      <c r="Y25" s="42" t="n"/>
      <c r="AA25" s="48">
        <f>IF(AND($G25&lt;&gt;"",$W25&lt;&gt;"",AA$2&gt;=$G25,AA$2&lt;=$W25,WEEKDAY(AA$2,2)&lt;6),$R25/$V25,"")</f>
        <v/>
      </c>
      <c r="AB25" s="48">
        <f>IF(AND($G25&lt;&gt;"",$W25&lt;&gt;"",AB$2&gt;=$G25,AB$2&lt;=$W25,WEEKDAY(AB$2,2)&lt;6),$R25/$V25,"")</f>
        <v/>
      </c>
      <c r="AC25" s="48">
        <f>IF(AND($G25&lt;&gt;"",$W25&lt;&gt;"",AC$2&gt;=$G25,AC$2&lt;=$W25,WEEKDAY(AC$2,2)&lt;6),$R25/$V25,"")</f>
        <v/>
      </c>
      <c r="AD25" s="48">
        <f>IF(AND($G25&lt;&gt;"",$W25&lt;&gt;"",AD$2&gt;=$G25,AD$2&lt;=$W25,WEEKDAY(AD$2,2)&lt;6),$R25/$V25,"")</f>
        <v/>
      </c>
      <c r="AE25" s="48">
        <f>IF(AND($G25&lt;&gt;"",$W25&lt;&gt;"",AE$2&gt;=$G25,AE$2&lt;=$W25,WEEKDAY(AE$2,2)&lt;6),$R25/$V25,"")</f>
        <v/>
      </c>
      <c r="AF25" s="48">
        <f>IF(AND($G25&lt;&gt;"",$W25&lt;&gt;"",AF$2&gt;=$G25,AF$2&lt;=$W25,WEEKDAY(AF$2,2)&lt;6),$R25/$V25,"")</f>
        <v/>
      </c>
      <c r="AG25" s="48">
        <f>IF(AND($G25&lt;&gt;"",$W25&lt;&gt;"",AG$2&gt;=$G25,AG$2&lt;=$W25,WEEKDAY(AG$2,2)&lt;6),$R25/$V25,"")</f>
        <v/>
      </c>
      <c r="AH25" s="48">
        <f>IF(AND($G25&lt;&gt;"",$W25&lt;&gt;"",AH$2&gt;=$G25,AH$2&lt;=$W25,WEEKDAY(AH$2,2)&lt;6),$R25/$V25,"")</f>
        <v/>
      </c>
      <c r="AI25" s="48">
        <f>IF(AND($G25&lt;&gt;"",$W25&lt;&gt;"",AI$2&gt;=$G25,AI$2&lt;=$W25,WEEKDAY(AI$2,2)&lt;6),$R25/$V25,"")</f>
        <v/>
      </c>
      <c r="AJ25" s="48">
        <f>IF(AND($G25&lt;&gt;"",$W25&lt;&gt;"",AJ$2&gt;=$G25,AJ$2&lt;=$W25,WEEKDAY(AJ$2,2)&lt;6),$R25/$V25,"")</f>
        <v/>
      </c>
      <c r="AK25" s="48">
        <f>IF(AND($G25&lt;&gt;"",$W25&lt;&gt;"",AK$2&gt;=$G25,AK$2&lt;=$W25,WEEKDAY(AK$2,2)&lt;6),$R25/$V25,"")</f>
        <v/>
      </c>
      <c r="AL25" s="48">
        <f>IF(AND($G25&lt;&gt;"",$W25&lt;&gt;"",AL$2&gt;=$G25,AL$2&lt;=$W25,WEEKDAY(AL$2,2)&lt;6),$R25/$V25,"")</f>
        <v/>
      </c>
      <c r="AM25" s="48">
        <f>IF(AND($G25&lt;&gt;"",$W25&lt;&gt;"",AM$2&gt;=$G25,AM$2&lt;=$W25,WEEKDAY(AM$2,2)&lt;6),$R25/$V25,"")</f>
        <v/>
      </c>
      <c r="AN25" s="48">
        <f>IF(AND($G25&lt;&gt;"",$W25&lt;&gt;"",AN$2&gt;=$G25,AN$2&lt;=$W25,WEEKDAY(AN$2,2)&lt;6),$R25/$V25,"")</f>
        <v/>
      </c>
      <c r="AO25" s="48">
        <f>IF(AND($G25&lt;&gt;"",$W25&lt;&gt;"",AO$2&gt;=$G25,AO$2&lt;=$W25,WEEKDAY(AO$2,2)&lt;6),$R25/$V25,"")</f>
        <v/>
      </c>
      <c r="AP25" s="48">
        <f>IF(AND($G25&lt;&gt;"",$W25&lt;&gt;"",AP$2&gt;=$G25,AP$2&lt;=$W25,WEEKDAY(AP$2,2)&lt;6),$R25/$V25,"")</f>
        <v/>
      </c>
      <c r="AQ25" s="48">
        <f>IF(AND($G25&lt;&gt;"",$W25&lt;&gt;"",AQ$2&gt;=$G25,AQ$2&lt;=$W25,WEEKDAY(AQ$2,2)&lt;6),$R25/$V25,"")</f>
        <v/>
      </c>
      <c r="AR25" s="48">
        <f>IF(AND($G25&lt;&gt;"",$W25&lt;&gt;"",AR$2&gt;=$G25,AR$2&lt;=$W25,WEEKDAY(AR$2,2)&lt;6),$R25/$V25,"")</f>
        <v/>
      </c>
      <c r="AS25" s="48">
        <f>IF(AND($G25&lt;&gt;"",$W25&lt;&gt;"",AS$2&gt;=$G25,AS$2&lt;=$W25,WEEKDAY(AS$2,2)&lt;6),$R25/$V25,"")</f>
        <v/>
      </c>
      <c r="AT25" s="48">
        <f>IF(AND($G25&lt;&gt;"",$W25&lt;&gt;"",AT$2&gt;=$G25,AT$2&lt;=$W25,WEEKDAY(AT$2,2)&lt;6),$R25/$V25,"")</f>
        <v/>
      </c>
      <c r="AU25" s="48">
        <f>IF(AND($G25&lt;&gt;"",$W25&lt;&gt;"",AU$2&gt;=$G25,AU$2&lt;=$W25,WEEKDAY(AU$2,2)&lt;6),$R25/$V25,"")</f>
        <v/>
      </c>
      <c r="AV25" s="48">
        <f>IF(AND($G25&lt;&gt;"",$W25&lt;&gt;"",AV$2&gt;=$G25,AV$2&lt;=$W25,WEEKDAY(AV$2,2)&lt;6),$R25/$V25,"")</f>
        <v/>
      </c>
      <c r="AW25" s="48">
        <f>IF(AND($G25&lt;&gt;"",$W25&lt;&gt;"",AW$2&gt;=$G25,AW$2&lt;=$W25,WEEKDAY(AW$2,2)&lt;6),$R25/$V25,"")</f>
        <v/>
      </c>
      <c r="AX25" s="48">
        <f>IF(AND($G25&lt;&gt;"",$W25&lt;&gt;"",AX$2&gt;=$G25,AX$2&lt;=$W25,WEEKDAY(AX$2,2)&lt;6),$R25/$V25,"")</f>
        <v/>
      </c>
      <c r="AY25" s="48">
        <f>IF(AND($G25&lt;&gt;"",$W25&lt;&gt;"",AY$2&gt;=$G25,AY$2&lt;=$W25,WEEKDAY(AY$2,2)&lt;6),$R25/$V25,"")</f>
        <v/>
      </c>
      <c r="AZ25" s="48">
        <f>IF(AND($G25&lt;&gt;"",$W25&lt;&gt;"",AZ$2&gt;=$G25,AZ$2&lt;=$W25,WEEKDAY(AZ$2,2)&lt;6),$R25/$V25,"")</f>
        <v/>
      </c>
      <c r="BA25" s="48">
        <f>IF(AND($G25&lt;&gt;"",$W25&lt;&gt;"",BA$2&gt;=$G25,BA$2&lt;=$W25,WEEKDAY(BA$2,2)&lt;6),$R25/$V25,"")</f>
        <v/>
      </c>
      <c r="BB25" s="48">
        <f>IF(AND($G25&lt;&gt;"",$W25&lt;&gt;"",BB$2&gt;=$G25,BB$2&lt;=$W25,WEEKDAY(BB$2,2)&lt;6),$R25/$V25,"")</f>
        <v/>
      </c>
      <c r="BC25" s="48">
        <f>IF(AND($G25&lt;&gt;"",$W25&lt;&gt;"",BC$2&gt;=$G25,BC$2&lt;=$W25,WEEKDAY(BC$2,2)&lt;6),$R25/$V25,"")</f>
        <v/>
      </c>
      <c r="BD25" s="48">
        <f>IF(AND($G25&lt;&gt;"",$W25&lt;&gt;"",BD$2&gt;=$G25,BD$2&lt;=$W25,WEEKDAY(BD$2,2)&lt;6),$R25/$V25,"")</f>
        <v/>
      </c>
      <c r="BE25" s="48">
        <f>IF(AND($G25&lt;&gt;"",$W25&lt;&gt;"",BE$2&gt;=$G25,BE$2&lt;=$W25,WEEKDAY(BE$2,2)&lt;6),$R25/$V25,"")</f>
        <v/>
      </c>
    </row>
    <row r="26">
      <c r="A26" s="40">
        <f>IF(F26="","",COUNTA($F$8:F26))</f>
        <v/>
      </c>
      <c r="B26" s="41">
        <f>IF(G26="","",MONTH(G26))</f>
        <v/>
      </c>
      <c r="C26" s="42" t="n"/>
      <c r="D26" s="43" t="n"/>
      <c r="E26" s="43" t="n"/>
      <c r="F26" s="42" t="n"/>
      <c r="G26" s="44" t="n"/>
      <c r="H26" s="44" t="n"/>
      <c r="I26" s="43" t="n"/>
      <c r="J26" s="43" t="n"/>
      <c r="K26" s="43" t="n"/>
      <c r="L26" s="42" t="n"/>
      <c r="M26" s="45" t="n"/>
      <c r="N26" s="42" t="n"/>
      <c r="O26" s="45" t="n"/>
      <c r="P26" s="42" t="n"/>
      <c r="Q26" s="45" t="n"/>
      <c r="R26" s="46">
        <f>IF(SUM(M26,O26,Q26)=0,"",SUM(M26,O26,Q26))</f>
        <v/>
      </c>
      <c r="S26" s="41">
        <f>IF(M26&gt;0,"영 ","")&amp;IF(O26&gt;0,"이 ","")&amp;IF(Q26&gt;0,"기 ","")</f>
        <v/>
      </c>
      <c r="T26" s="40">
        <f>IF(G26="","","W"&amp;ROUNDUP(DAY(G26)/7,0))</f>
        <v/>
      </c>
      <c r="U26" s="43" t="n"/>
      <c r="V26" s="40">
        <f>IF(R26="",0,ROUNDUP(MAX(M26,O26,Q26)/'마스터'!$J$6,0))</f>
        <v/>
      </c>
      <c r="W26" s="47">
        <f>IF(OR(G26="",V26=0),"",WORKDAY(G26,V26-1))</f>
        <v/>
      </c>
      <c r="X26" s="41">
        <f>IF(OR(H26="",W26=""),"",H26-W26)</f>
        <v/>
      </c>
      <c r="Y26" s="42" t="n"/>
      <c r="AA26" s="48">
        <f>IF(AND($G26&lt;&gt;"",$W26&lt;&gt;"",AA$2&gt;=$G26,AA$2&lt;=$W26,WEEKDAY(AA$2,2)&lt;6),$R26/$V26,"")</f>
        <v/>
      </c>
      <c r="AB26" s="48">
        <f>IF(AND($G26&lt;&gt;"",$W26&lt;&gt;"",AB$2&gt;=$G26,AB$2&lt;=$W26,WEEKDAY(AB$2,2)&lt;6),$R26/$V26,"")</f>
        <v/>
      </c>
      <c r="AC26" s="48">
        <f>IF(AND($G26&lt;&gt;"",$W26&lt;&gt;"",AC$2&gt;=$G26,AC$2&lt;=$W26,WEEKDAY(AC$2,2)&lt;6),$R26/$V26,"")</f>
        <v/>
      </c>
      <c r="AD26" s="48">
        <f>IF(AND($G26&lt;&gt;"",$W26&lt;&gt;"",AD$2&gt;=$G26,AD$2&lt;=$W26,WEEKDAY(AD$2,2)&lt;6),$R26/$V26,"")</f>
        <v/>
      </c>
      <c r="AE26" s="48">
        <f>IF(AND($G26&lt;&gt;"",$W26&lt;&gt;"",AE$2&gt;=$G26,AE$2&lt;=$W26,WEEKDAY(AE$2,2)&lt;6),$R26/$V26,"")</f>
        <v/>
      </c>
      <c r="AF26" s="48">
        <f>IF(AND($G26&lt;&gt;"",$W26&lt;&gt;"",AF$2&gt;=$G26,AF$2&lt;=$W26,WEEKDAY(AF$2,2)&lt;6),$R26/$V26,"")</f>
        <v/>
      </c>
      <c r="AG26" s="48">
        <f>IF(AND($G26&lt;&gt;"",$W26&lt;&gt;"",AG$2&gt;=$G26,AG$2&lt;=$W26,WEEKDAY(AG$2,2)&lt;6),$R26/$V26,"")</f>
        <v/>
      </c>
      <c r="AH26" s="48">
        <f>IF(AND($G26&lt;&gt;"",$W26&lt;&gt;"",AH$2&gt;=$G26,AH$2&lt;=$W26,WEEKDAY(AH$2,2)&lt;6),$R26/$V26,"")</f>
        <v/>
      </c>
      <c r="AI26" s="48">
        <f>IF(AND($G26&lt;&gt;"",$W26&lt;&gt;"",AI$2&gt;=$G26,AI$2&lt;=$W26,WEEKDAY(AI$2,2)&lt;6),$R26/$V26,"")</f>
        <v/>
      </c>
      <c r="AJ26" s="48">
        <f>IF(AND($G26&lt;&gt;"",$W26&lt;&gt;"",AJ$2&gt;=$G26,AJ$2&lt;=$W26,WEEKDAY(AJ$2,2)&lt;6),$R26/$V26,"")</f>
        <v/>
      </c>
      <c r="AK26" s="48">
        <f>IF(AND($G26&lt;&gt;"",$W26&lt;&gt;"",AK$2&gt;=$G26,AK$2&lt;=$W26,WEEKDAY(AK$2,2)&lt;6),$R26/$V26,"")</f>
        <v/>
      </c>
      <c r="AL26" s="48">
        <f>IF(AND($G26&lt;&gt;"",$W26&lt;&gt;"",AL$2&gt;=$G26,AL$2&lt;=$W26,WEEKDAY(AL$2,2)&lt;6),$R26/$V26,"")</f>
        <v/>
      </c>
      <c r="AM26" s="48">
        <f>IF(AND($G26&lt;&gt;"",$W26&lt;&gt;"",AM$2&gt;=$G26,AM$2&lt;=$W26,WEEKDAY(AM$2,2)&lt;6),$R26/$V26,"")</f>
        <v/>
      </c>
      <c r="AN26" s="48">
        <f>IF(AND($G26&lt;&gt;"",$W26&lt;&gt;"",AN$2&gt;=$G26,AN$2&lt;=$W26,WEEKDAY(AN$2,2)&lt;6),$R26/$V26,"")</f>
        <v/>
      </c>
      <c r="AO26" s="48">
        <f>IF(AND($G26&lt;&gt;"",$W26&lt;&gt;"",AO$2&gt;=$G26,AO$2&lt;=$W26,WEEKDAY(AO$2,2)&lt;6),$R26/$V26,"")</f>
        <v/>
      </c>
      <c r="AP26" s="48">
        <f>IF(AND($G26&lt;&gt;"",$W26&lt;&gt;"",AP$2&gt;=$G26,AP$2&lt;=$W26,WEEKDAY(AP$2,2)&lt;6),$R26/$V26,"")</f>
        <v/>
      </c>
      <c r="AQ26" s="48">
        <f>IF(AND($G26&lt;&gt;"",$W26&lt;&gt;"",AQ$2&gt;=$G26,AQ$2&lt;=$W26,WEEKDAY(AQ$2,2)&lt;6),$R26/$V26,"")</f>
        <v/>
      </c>
      <c r="AR26" s="48">
        <f>IF(AND($G26&lt;&gt;"",$W26&lt;&gt;"",AR$2&gt;=$G26,AR$2&lt;=$W26,WEEKDAY(AR$2,2)&lt;6),$R26/$V26,"")</f>
        <v/>
      </c>
      <c r="AS26" s="48">
        <f>IF(AND($G26&lt;&gt;"",$W26&lt;&gt;"",AS$2&gt;=$G26,AS$2&lt;=$W26,WEEKDAY(AS$2,2)&lt;6),$R26/$V26,"")</f>
        <v/>
      </c>
      <c r="AT26" s="48">
        <f>IF(AND($G26&lt;&gt;"",$W26&lt;&gt;"",AT$2&gt;=$G26,AT$2&lt;=$W26,WEEKDAY(AT$2,2)&lt;6),$R26/$V26,"")</f>
        <v/>
      </c>
      <c r="AU26" s="48">
        <f>IF(AND($G26&lt;&gt;"",$W26&lt;&gt;"",AU$2&gt;=$G26,AU$2&lt;=$W26,WEEKDAY(AU$2,2)&lt;6),$R26/$V26,"")</f>
        <v/>
      </c>
      <c r="AV26" s="48">
        <f>IF(AND($G26&lt;&gt;"",$W26&lt;&gt;"",AV$2&gt;=$G26,AV$2&lt;=$W26,WEEKDAY(AV$2,2)&lt;6),$R26/$V26,"")</f>
        <v/>
      </c>
      <c r="AW26" s="48">
        <f>IF(AND($G26&lt;&gt;"",$W26&lt;&gt;"",AW$2&gt;=$G26,AW$2&lt;=$W26,WEEKDAY(AW$2,2)&lt;6),$R26/$V26,"")</f>
        <v/>
      </c>
      <c r="AX26" s="48">
        <f>IF(AND($G26&lt;&gt;"",$W26&lt;&gt;"",AX$2&gt;=$G26,AX$2&lt;=$W26,WEEKDAY(AX$2,2)&lt;6),$R26/$V26,"")</f>
        <v/>
      </c>
      <c r="AY26" s="48">
        <f>IF(AND($G26&lt;&gt;"",$W26&lt;&gt;"",AY$2&gt;=$G26,AY$2&lt;=$W26,WEEKDAY(AY$2,2)&lt;6),$R26/$V26,"")</f>
        <v/>
      </c>
      <c r="AZ26" s="48">
        <f>IF(AND($G26&lt;&gt;"",$W26&lt;&gt;"",AZ$2&gt;=$G26,AZ$2&lt;=$W26,WEEKDAY(AZ$2,2)&lt;6),$R26/$V26,"")</f>
        <v/>
      </c>
      <c r="BA26" s="48">
        <f>IF(AND($G26&lt;&gt;"",$W26&lt;&gt;"",BA$2&gt;=$G26,BA$2&lt;=$W26,WEEKDAY(BA$2,2)&lt;6),$R26/$V26,"")</f>
        <v/>
      </c>
      <c r="BB26" s="48">
        <f>IF(AND($G26&lt;&gt;"",$W26&lt;&gt;"",BB$2&gt;=$G26,BB$2&lt;=$W26,WEEKDAY(BB$2,2)&lt;6),$R26/$V26,"")</f>
        <v/>
      </c>
      <c r="BC26" s="48">
        <f>IF(AND($G26&lt;&gt;"",$W26&lt;&gt;"",BC$2&gt;=$G26,BC$2&lt;=$W26,WEEKDAY(BC$2,2)&lt;6),$R26/$V26,"")</f>
        <v/>
      </c>
      <c r="BD26" s="48">
        <f>IF(AND($G26&lt;&gt;"",$W26&lt;&gt;"",BD$2&gt;=$G26,BD$2&lt;=$W26,WEEKDAY(BD$2,2)&lt;6),$R26/$V26,"")</f>
        <v/>
      </c>
      <c r="BE26" s="48">
        <f>IF(AND($G26&lt;&gt;"",$W26&lt;&gt;"",BE$2&gt;=$G26,BE$2&lt;=$W26,WEEKDAY(BE$2,2)&lt;6),$R26/$V26,"")</f>
        <v/>
      </c>
    </row>
    <row r="27">
      <c r="A27" s="40">
        <f>IF(F27="","",COUNTA($F$8:F27))</f>
        <v/>
      </c>
      <c r="B27" s="41">
        <f>IF(G27="","",MONTH(G27))</f>
        <v/>
      </c>
      <c r="C27" s="42" t="n"/>
      <c r="D27" s="43" t="n"/>
      <c r="E27" s="43" t="n"/>
      <c r="F27" s="42" t="n"/>
      <c r="G27" s="44" t="n"/>
      <c r="H27" s="44" t="n"/>
      <c r="I27" s="43" t="n"/>
      <c r="J27" s="43" t="n"/>
      <c r="K27" s="43" t="n"/>
      <c r="L27" s="42" t="n"/>
      <c r="M27" s="45" t="n"/>
      <c r="N27" s="42" t="n"/>
      <c r="O27" s="45" t="n"/>
      <c r="P27" s="42" t="n"/>
      <c r="Q27" s="45" t="n"/>
      <c r="R27" s="46">
        <f>IF(SUM(M27,O27,Q27)=0,"",SUM(M27,O27,Q27))</f>
        <v/>
      </c>
      <c r="S27" s="41">
        <f>IF(M27&gt;0,"영 ","")&amp;IF(O27&gt;0,"이 ","")&amp;IF(Q27&gt;0,"기 ","")</f>
        <v/>
      </c>
      <c r="T27" s="40">
        <f>IF(G27="","","W"&amp;ROUNDUP(DAY(G27)/7,0))</f>
        <v/>
      </c>
      <c r="U27" s="43" t="n"/>
      <c r="V27" s="40">
        <f>IF(R27="",0,ROUNDUP(MAX(M27,O27,Q27)/'마스터'!$J$6,0))</f>
        <v/>
      </c>
      <c r="W27" s="47">
        <f>IF(OR(G27="",V27=0),"",WORKDAY(G27,V27-1))</f>
        <v/>
      </c>
      <c r="X27" s="41">
        <f>IF(OR(H27="",W27=""),"",H27-W27)</f>
        <v/>
      </c>
      <c r="Y27" s="42" t="n"/>
      <c r="AA27" s="48">
        <f>IF(AND($G27&lt;&gt;"",$W27&lt;&gt;"",AA$2&gt;=$G27,AA$2&lt;=$W27,WEEKDAY(AA$2,2)&lt;6),$R27/$V27,"")</f>
        <v/>
      </c>
      <c r="AB27" s="48">
        <f>IF(AND($G27&lt;&gt;"",$W27&lt;&gt;"",AB$2&gt;=$G27,AB$2&lt;=$W27,WEEKDAY(AB$2,2)&lt;6),$R27/$V27,"")</f>
        <v/>
      </c>
      <c r="AC27" s="48">
        <f>IF(AND($G27&lt;&gt;"",$W27&lt;&gt;"",AC$2&gt;=$G27,AC$2&lt;=$W27,WEEKDAY(AC$2,2)&lt;6),$R27/$V27,"")</f>
        <v/>
      </c>
      <c r="AD27" s="48">
        <f>IF(AND($G27&lt;&gt;"",$W27&lt;&gt;"",AD$2&gt;=$G27,AD$2&lt;=$W27,WEEKDAY(AD$2,2)&lt;6),$R27/$V27,"")</f>
        <v/>
      </c>
      <c r="AE27" s="48">
        <f>IF(AND($G27&lt;&gt;"",$W27&lt;&gt;"",AE$2&gt;=$G27,AE$2&lt;=$W27,WEEKDAY(AE$2,2)&lt;6),$R27/$V27,"")</f>
        <v/>
      </c>
      <c r="AF27" s="48">
        <f>IF(AND($G27&lt;&gt;"",$W27&lt;&gt;"",AF$2&gt;=$G27,AF$2&lt;=$W27,WEEKDAY(AF$2,2)&lt;6),$R27/$V27,"")</f>
        <v/>
      </c>
      <c r="AG27" s="48">
        <f>IF(AND($G27&lt;&gt;"",$W27&lt;&gt;"",AG$2&gt;=$G27,AG$2&lt;=$W27,WEEKDAY(AG$2,2)&lt;6),$R27/$V27,"")</f>
        <v/>
      </c>
      <c r="AH27" s="48">
        <f>IF(AND($G27&lt;&gt;"",$W27&lt;&gt;"",AH$2&gt;=$G27,AH$2&lt;=$W27,WEEKDAY(AH$2,2)&lt;6),$R27/$V27,"")</f>
        <v/>
      </c>
      <c r="AI27" s="48">
        <f>IF(AND($G27&lt;&gt;"",$W27&lt;&gt;"",AI$2&gt;=$G27,AI$2&lt;=$W27,WEEKDAY(AI$2,2)&lt;6),$R27/$V27,"")</f>
        <v/>
      </c>
      <c r="AJ27" s="48">
        <f>IF(AND($G27&lt;&gt;"",$W27&lt;&gt;"",AJ$2&gt;=$G27,AJ$2&lt;=$W27,WEEKDAY(AJ$2,2)&lt;6),$R27/$V27,"")</f>
        <v/>
      </c>
      <c r="AK27" s="48">
        <f>IF(AND($G27&lt;&gt;"",$W27&lt;&gt;"",AK$2&gt;=$G27,AK$2&lt;=$W27,WEEKDAY(AK$2,2)&lt;6),$R27/$V27,"")</f>
        <v/>
      </c>
      <c r="AL27" s="48">
        <f>IF(AND($G27&lt;&gt;"",$W27&lt;&gt;"",AL$2&gt;=$G27,AL$2&lt;=$W27,WEEKDAY(AL$2,2)&lt;6),$R27/$V27,"")</f>
        <v/>
      </c>
      <c r="AM27" s="48">
        <f>IF(AND($G27&lt;&gt;"",$W27&lt;&gt;"",AM$2&gt;=$G27,AM$2&lt;=$W27,WEEKDAY(AM$2,2)&lt;6),$R27/$V27,"")</f>
        <v/>
      </c>
      <c r="AN27" s="48">
        <f>IF(AND($G27&lt;&gt;"",$W27&lt;&gt;"",AN$2&gt;=$G27,AN$2&lt;=$W27,WEEKDAY(AN$2,2)&lt;6),$R27/$V27,"")</f>
        <v/>
      </c>
      <c r="AO27" s="48">
        <f>IF(AND($G27&lt;&gt;"",$W27&lt;&gt;"",AO$2&gt;=$G27,AO$2&lt;=$W27,WEEKDAY(AO$2,2)&lt;6),$R27/$V27,"")</f>
        <v/>
      </c>
      <c r="AP27" s="48">
        <f>IF(AND($G27&lt;&gt;"",$W27&lt;&gt;"",AP$2&gt;=$G27,AP$2&lt;=$W27,WEEKDAY(AP$2,2)&lt;6),$R27/$V27,"")</f>
        <v/>
      </c>
      <c r="AQ27" s="48">
        <f>IF(AND($G27&lt;&gt;"",$W27&lt;&gt;"",AQ$2&gt;=$G27,AQ$2&lt;=$W27,WEEKDAY(AQ$2,2)&lt;6),$R27/$V27,"")</f>
        <v/>
      </c>
      <c r="AR27" s="48">
        <f>IF(AND($G27&lt;&gt;"",$W27&lt;&gt;"",AR$2&gt;=$G27,AR$2&lt;=$W27,WEEKDAY(AR$2,2)&lt;6),$R27/$V27,"")</f>
        <v/>
      </c>
      <c r="AS27" s="48">
        <f>IF(AND($G27&lt;&gt;"",$W27&lt;&gt;"",AS$2&gt;=$G27,AS$2&lt;=$W27,WEEKDAY(AS$2,2)&lt;6),$R27/$V27,"")</f>
        <v/>
      </c>
      <c r="AT27" s="48">
        <f>IF(AND($G27&lt;&gt;"",$W27&lt;&gt;"",AT$2&gt;=$G27,AT$2&lt;=$W27,WEEKDAY(AT$2,2)&lt;6),$R27/$V27,"")</f>
        <v/>
      </c>
      <c r="AU27" s="48">
        <f>IF(AND($G27&lt;&gt;"",$W27&lt;&gt;"",AU$2&gt;=$G27,AU$2&lt;=$W27,WEEKDAY(AU$2,2)&lt;6),$R27/$V27,"")</f>
        <v/>
      </c>
      <c r="AV27" s="48">
        <f>IF(AND($G27&lt;&gt;"",$W27&lt;&gt;"",AV$2&gt;=$G27,AV$2&lt;=$W27,WEEKDAY(AV$2,2)&lt;6),$R27/$V27,"")</f>
        <v/>
      </c>
      <c r="AW27" s="48">
        <f>IF(AND($G27&lt;&gt;"",$W27&lt;&gt;"",AW$2&gt;=$G27,AW$2&lt;=$W27,WEEKDAY(AW$2,2)&lt;6),$R27/$V27,"")</f>
        <v/>
      </c>
      <c r="AX27" s="48">
        <f>IF(AND($G27&lt;&gt;"",$W27&lt;&gt;"",AX$2&gt;=$G27,AX$2&lt;=$W27,WEEKDAY(AX$2,2)&lt;6),$R27/$V27,"")</f>
        <v/>
      </c>
      <c r="AY27" s="48">
        <f>IF(AND($G27&lt;&gt;"",$W27&lt;&gt;"",AY$2&gt;=$G27,AY$2&lt;=$W27,WEEKDAY(AY$2,2)&lt;6),$R27/$V27,"")</f>
        <v/>
      </c>
      <c r="AZ27" s="48">
        <f>IF(AND($G27&lt;&gt;"",$W27&lt;&gt;"",AZ$2&gt;=$G27,AZ$2&lt;=$W27,WEEKDAY(AZ$2,2)&lt;6),$R27/$V27,"")</f>
        <v/>
      </c>
      <c r="BA27" s="48">
        <f>IF(AND($G27&lt;&gt;"",$W27&lt;&gt;"",BA$2&gt;=$G27,BA$2&lt;=$W27,WEEKDAY(BA$2,2)&lt;6),$R27/$V27,"")</f>
        <v/>
      </c>
      <c r="BB27" s="48">
        <f>IF(AND($G27&lt;&gt;"",$W27&lt;&gt;"",BB$2&gt;=$G27,BB$2&lt;=$W27,WEEKDAY(BB$2,2)&lt;6),$R27/$V27,"")</f>
        <v/>
      </c>
      <c r="BC27" s="48">
        <f>IF(AND($G27&lt;&gt;"",$W27&lt;&gt;"",BC$2&gt;=$G27,BC$2&lt;=$W27,WEEKDAY(BC$2,2)&lt;6),$R27/$V27,"")</f>
        <v/>
      </c>
      <c r="BD27" s="48">
        <f>IF(AND($G27&lt;&gt;"",$W27&lt;&gt;"",BD$2&gt;=$G27,BD$2&lt;=$W27,WEEKDAY(BD$2,2)&lt;6),$R27/$V27,"")</f>
        <v/>
      </c>
      <c r="BE27" s="48">
        <f>IF(AND($G27&lt;&gt;"",$W27&lt;&gt;"",BE$2&gt;=$G27,BE$2&lt;=$W27,WEEKDAY(BE$2,2)&lt;6),$R27/$V27,"")</f>
        <v/>
      </c>
    </row>
    <row r="28">
      <c r="A28" s="40">
        <f>IF(F28="","",COUNTA($F$8:F28))</f>
        <v/>
      </c>
      <c r="B28" s="41">
        <f>IF(G28="","",MONTH(G28))</f>
        <v/>
      </c>
      <c r="C28" s="42" t="n"/>
      <c r="D28" s="43" t="n"/>
      <c r="E28" s="43" t="n"/>
      <c r="F28" s="42" t="n"/>
      <c r="G28" s="44" t="n"/>
      <c r="H28" s="44" t="n"/>
      <c r="I28" s="43" t="n"/>
      <c r="J28" s="43" t="n"/>
      <c r="K28" s="43" t="n"/>
      <c r="L28" s="42" t="n"/>
      <c r="M28" s="45" t="n"/>
      <c r="N28" s="42" t="n"/>
      <c r="O28" s="45" t="n"/>
      <c r="P28" s="42" t="n"/>
      <c r="Q28" s="45" t="n"/>
      <c r="R28" s="46">
        <f>IF(SUM(M28,O28,Q28)=0,"",SUM(M28,O28,Q28))</f>
        <v/>
      </c>
      <c r="S28" s="41">
        <f>IF(M28&gt;0,"영 ","")&amp;IF(O28&gt;0,"이 ","")&amp;IF(Q28&gt;0,"기 ","")</f>
        <v/>
      </c>
      <c r="T28" s="40">
        <f>IF(G28="","","W"&amp;ROUNDUP(DAY(G28)/7,0))</f>
        <v/>
      </c>
      <c r="U28" s="43" t="n"/>
      <c r="V28" s="40">
        <f>IF(R28="",0,ROUNDUP(MAX(M28,O28,Q28)/'마스터'!$J$6,0))</f>
        <v/>
      </c>
      <c r="W28" s="47">
        <f>IF(OR(G28="",V28=0),"",WORKDAY(G28,V28-1))</f>
        <v/>
      </c>
      <c r="X28" s="41">
        <f>IF(OR(H28="",W28=""),"",H28-W28)</f>
        <v/>
      </c>
      <c r="Y28" s="42" t="n"/>
      <c r="AA28" s="48">
        <f>IF(AND($G28&lt;&gt;"",$W28&lt;&gt;"",AA$2&gt;=$G28,AA$2&lt;=$W28,WEEKDAY(AA$2,2)&lt;6),$R28/$V28,"")</f>
        <v/>
      </c>
      <c r="AB28" s="48">
        <f>IF(AND($G28&lt;&gt;"",$W28&lt;&gt;"",AB$2&gt;=$G28,AB$2&lt;=$W28,WEEKDAY(AB$2,2)&lt;6),$R28/$V28,"")</f>
        <v/>
      </c>
      <c r="AC28" s="48">
        <f>IF(AND($G28&lt;&gt;"",$W28&lt;&gt;"",AC$2&gt;=$G28,AC$2&lt;=$W28,WEEKDAY(AC$2,2)&lt;6),$R28/$V28,"")</f>
        <v/>
      </c>
      <c r="AD28" s="48">
        <f>IF(AND($G28&lt;&gt;"",$W28&lt;&gt;"",AD$2&gt;=$G28,AD$2&lt;=$W28,WEEKDAY(AD$2,2)&lt;6),$R28/$V28,"")</f>
        <v/>
      </c>
      <c r="AE28" s="48">
        <f>IF(AND($G28&lt;&gt;"",$W28&lt;&gt;"",AE$2&gt;=$G28,AE$2&lt;=$W28,WEEKDAY(AE$2,2)&lt;6),$R28/$V28,"")</f>
        <v/>
      </c>
      <c r="AF28" s="48">
        <f>IF(AND($G28&lt;&gt;"",$W28&lt;&gt;"",AF$2&gt;=$G28,AF$2&lt;=$W28,WEEKDAY(AF$2,2)&lt;6),$R28/$V28,"")</f>
        <v/>
      </c>
      <c r="AG28" s="48">
        <f>IF(AND($G28&lt;&gt;"",$W28&lt;&gt;"",AG$2&gt;=$G28,AG$2&lt;=$W28,WEEKDAY(AG$2,2)&lt;6),$R28/$V28,"")</f>
        <v/>
      </c>
      <c r="AH28" s="48">
        <f>IF(AND($G28&lt;&gt;"",$W28&lt;&gt;"",AH$2&gt;=$G28,AH$2&lt;=$W28,WEEKDAY(AH$2,2)&lt;6),$R28/$V28,"")</f>
        <v/>
      </c>
      <c r="AI28" s="48">
        <f>IF(AND($G28&lt;&gt;"",$W28&lt;&gt;"",AI$2&gt;=$G28,AI$2&lt;=$W28,WEEKDAY(AI$2,2)&lt;6),$R28/$V28,"")</f>
        <v/>
      </c>
      <c r="AJ28" s="48">
        <f>IF(AND($G28&lt;&gt;"",$W28&lt;&gt;"",AJ$2&gt;=$G28,AJ$2&lt;=$W28,WEEKDAY(AJ$2,2)&lt;6),$R28/$V28,"")</f>
        <v/>
      </c>
      <c r="AK28" s="48">
        <f>IF(AND($G28&lt;&gt;"",$W28&lt;&gt;"",AK$2&gt;=$G28,AK$2&lt;=$W28,WEEKDAY(AK$2,2)&lt;6),$R28/$V28,"")</f>
        <v/>
      </c>
      <c r="AL28" s="48">
        <f>IF(AND($G28&lt;&gt;"",$W28&lt;&gt;"",AL$2&gt;=$G28,AL$2&lt;=$W28,WEEKDAY(AL$2,2)&lt;6),$R28/$V28,"")</f>
        <v/>
      </c>
      <c r="AM28" s="48">
        <f>IF(AND($G28&lt;&gt;"",$W28&lt;&gt;"",AM$2&gt;=$G28,AM$2&lt;=$W28,WEEKDAY(AM$2,2)&lt;6),$R28/$V28,"")</f>
        <v/>
      </c>
      <c r="AN28" s="48">
        <f>IF(AND($G28&lt;&gt;"",$W28&lt;&gt;"",AN$2&gt;=$G28,AN$2&lt;=$W28,WEEKDAY(AN$2,2)&lt;6),$R28/$V28,"")</f>
        <v/>
      </c>
      <c r="AO28" s="48">
        <f>IF(AND($G28&lt;&gt;"",$W28&lt;&gt;"",AO$2&gt;=$G28,AO$2&lt;=$W28,WEEKDAY(AO$2,2)&lt;6),$R28/$V28,"")</f>
        <v/>
      </c>
      <c r="AP28" s="48">
        <f>IF(AND($G28&lt;&gt;"",$W28&lt;&gt;"",AP$2&gt;=$G28,AP$2&lt;=$W28,WEEKDAY(AP$2,2)&lt;6),$R28/$V28,"")</f>
        <v/>
      </c>
      <c r="AQ28" s="48">
        <f>IF(AND($G28&lt;&gt;"",$W28&lt;&gt;"",AQ$2&gt;=$G28,AQ$2&lt;=$W28,WEEKDAY(AQ$2,2)&lt;6),$R28/$V28,"")</f>
        <v/>
      </c>
      <c r="AR28" s="48">
        <f>IF(AND($G28&lt;&gt;"",$W28&lt;&gt;"",AR$2&gt;=$G28,AR$2&lt;=$W28,WEEKDAY(AR$2,2)&lt;6),$R28/$V28,"")</f>
        <v/>
      </c>
      <c r="AS28" s="48">
        <f>IF(AND($G28&lt;&gt;"",$W28&lt;&gt;"",AS$2&gt;=$G28,AS$2&lt;=$W28,WEEKDAY(AS$2,2)&lt;6),$R28/$V28,"")</f>
        <v/>
      </c>
      <c r="AT28" s="48">
        <f>IF(AND($G28&lt;&gt;"",$W28&lt;&gt;"",AT$2&gt;=$G28,AT$2&lt;=$W28,WEEKDAY(AT$2,2)&lt;6),$R28/$V28,"")</f>
        <v/>
      </c>
      <c r="AU28" s="48">
        <f>IF(AND($G28&lt;&gt;"",$W28&lt;&gt;"",AU$2&gt;=$G28,AU$2&lt;=$W28,WEEKDAY(AU$2,2)&lt;6),$R28/$V28,"")</f>
        <v/>
      </c>
      <c r="AV28" s="48">
        <f>IF(AND($G28&lt;&gt;"",$W28&lt;&gt;"",AV$2&gt;=$G28,AV$2&lt;=$W28,WEEKDAY(AV$2,2)&lt;6),$R28/$V28,"")</f>
        <v/>
      </c>
      <c r="AW28" s="48">
        <f>IF(AND($G28&lt;&gt;"",$W28&lt;&gt;"",AW$2&gt;=$G28,AW$2&lt;=$W28,WEEKDAY(AW$2,2)&lt;6),$R28/$V28,"")</f>
        <v/>
      </c>
      <c r="AX28" s="48">
        <f>IF(AND($G28&lt;&gt;"",$W28&lt;&gt;"",AX$2&gt;=$G28,AX$2&lt;=$W28,WEEKDAY(AX$2,2)&lt;6),$R28/$V28,"")</f>
        <v/>
      </c>
      <c r="AY28" s="48">
        <f>IF(AND($G28&lt;&gt;"",$W28&lt;&gt;"",AY$2&gt;=$G28,AY$2&lt;=$W28,WEEKDAY(AY$2,2)&lt;6),$R28/$V28,"")</f>
        <v/>
      </c>
      <c r="AZ28" s="48">
        <f>IF(AND($G28&lt;&gt;"",$W28&lt;&gt;"",AZ$2&gt;=$G28,AZ$2&lt;=$W28,WEEKDAY(AZ$2,2)&lt;6),$R28/$V28,"")</f>
        <v/>
      </c>
      <c r="BA28" s="48">
        <f>IF(AND($G28&lt;&gt;"",$W28&lt;&gt;"",BA$2&gt;=$G28,BA$2&lt;=$W28,WEEKDAY(BA$2,2)&lt;6),$R28/$V28,"")</f>
        <v/>
      </c>
      <c r="BB28" s="48">
        <f>IF(AND($G28&lt;&gt;"",$W28&lt;&gt;"",BB$2&gt;=$G28,BB$2&lt;=$W28,WEEKDAY(BB$2,2)&lt;6),$R28/$V28,"")</f>
        <v/>
      </c>
      <c r="BC28" s="48">
        <f>IF(AND($G28&lt;&gt;"",$W28&lt;&gt;"",BC$2&gt;=$G28,BC$2&lt;=$W28,WEEKDAY(BC$2,2)&lt;6),$R28/$V28,"")</f>
        <v/>
      </c>
      <c r="BD28" s="48">
        <f>IF(AND($G28&lt;&gt;"",$W28&lt;&gt;"",BD$2&gt;=$G28,BD$2&lt;=$W28,WEEKDAY(BD$2,2)&lt;6),$R28/$V28,"")</f>
        <v/>
      </c>
      <c r="BE28" s="48">
        <f>IF(AND($G28&lt;&gt;"",$W28&lt;&gt;"",BE$2&gt;=$G28,BE$2&lt;=$W28,WEEKDAY(BE$2,2)&lt;6),$R28/$V28,"")</f>
        <v/>
      </c>
    </row>
    <row r="29">
      <c r="A29" s="40">
        <f>IF(F29="","",COUNTA($F$8:F29))</f>
        <v/>
      </c>
      <c r="B29" s="41">
        <f>IF(G29="","",MONTH(G29))</f>
        <v/>
      </c>
      <c r="C29" s="42" t="n"/>
      <c r="D29" s="43" t="n"/>
      <c r="E29" s="43" t="n"/>
      <c r="F29" s="42" t="n"/>
      <c r="G29" s="44" t="n"/>
      <c r="H29" s="44" t="n"/>
      <c r="I29" s="43" t="n"/>
      <c r="J29" s="43" t="n"/>
      <c r="K29" s="43" t="n"/>
      <c r="L29" s="42" t="n"/>
      <c r="M29" s="45" t="n"/>
      <c r="N29" s="42" t="n"/>
      <c r="O29" s="45" t="n"/>
      <c r="P29" s="42" t="n"/>
      <c r="Q29" s="45" t="n"/>
      <c r="R29" s="46">
        <f>IF(SUM(M29,O29,Q29)=0,"",SUM(M29,O29,Q29))</f>
        <v/>
      </c>
      <c r="S29" s="41">
        <f>IF(M29&gt;0,"영 ","")&amp;IF(O29&gt;0,"이 ","")&amp;IF(Q29&gt;0,"기 ","")</f>
        <v/>
      </c>
      <c r="T29" s="40">
        <f>IF(G29="","","W"&amp;ROUNDUP(DAY(G29)/7,0))</f>
        <v/>
      </c>
      <c r="U29" s="43" t="n"/>
      <c r="V29" s="40">
        <f>IF(R29="",0,ROUNDUP(MAX(M29,O29,Q29)/'마스터'!$J$6,0))</f>
        <v/>
      </c>
      <c r="W29" s="47">
        <f>IF(OR(G29="",V29=0),"",WORKDAY(G29,V29-1))</f>
        <v/>
      </c>
      <c r="X29" s="41">
        <f>IF(OR(H29="",W29=""),"",H29-W29)</f>
        <v/>
      </c>
      <c r="Y29" s="42" t="n"/>
      <c r="AA29" s="48">
        <f>IF(AND($G29&lt;&gt;"",$W29&lt;&gt;"",AA$2&gt;=$G29,AA$2&lt;=$W29,WEEKDAY(AA$2,2)&lt;6),$R29/$V29,"")</f>
        <v/>
      </c>
      <c r="AB29" s="48">
        <f>IF(AND($G29&lt;&gt;"",$W29&lt;&gt;"",AB$2&gt;=$G29,AB$2&lt;=$W29,WEEKDAY(AB$2,2)&lt;6),$R29/$V29,"")</f>
        <v/>
      </c>
      <c r="AC29" s="48">
        <f>IF(AND($G29&lt;&gt;"",$W29&lt;&gt;"",AC$2&gt;=$G29,AC$2&lt;=$W29,WEEKDAY(AC$2,2)&lt;6),$R29/$V29,"")</f>
        <v/>
      </c>
      <c r="AD29" s="48">
        <f>IF(AND($G29&lt;&gt;"",$W29&lt;&gt;"",AD$2&gt;=$G29,AD$2&lt;=$W29,WEEKDAY(AD$2,2)&lt;6),$R29/$V29,"")</f>
        <v/>
      </c>
      <c r="AE29" s="48">
        <f>IF(AND($G29&lt;&gt;"",$W29&lt;&gt;"",AE$2&gt;=$G29,AE$2&lt;=$W29,WEEKDAY(AE$2,2)&lt;6),$R29/$V29,"")</f>
        <v/>
      </c>
      <c r="AF29" s="48">
        <f>IF(AND($G29&lt;&gt;"",$W29&lt;&gt;"",AF$2&gt;=$G29,AF$2&lt;=$W29,WEEKDAY(AF$2,2)&lt;6),$R29/$V29,"")</f>
        <v/>
      </c>
      <c r="AG29" s="48">
        <f>IF(AND($G29&lt;&gt;"",$W29&lt;&gt;"",AG$2&gt;=$G29,AG$2&lt;=$W29,WEEKDAY(AG$2,2)&lt;6),$R29/$V29,"")</f>
        <v/>
      </c>
      <c r="AH29" s="48">
        <f>IF(AND($G29&lt;&gt;"",$W29&lt;&gt;"",AH$2&gt;=$G29,AH$2&lt;=$W29,WEEKDAY(AH$2,2)&lt;6),$R29/$V29,"")</f>
        <v/>
      </c>
      <c r="AI29" s="48">
        <f>IF(AND($G29&lt;&gt;"",$W29&lt;&gt;"",AI$2&gt;=$G29,AI$2&lt;=$W29,WEEKDAY(AI$2,2)&lt;6),$R29/$V29,"")</f>
        <v/>
      </c>
      <c r="AJ29" s="48">
        <f>IF(AND($G29&lt;&gt;"",$W29&lt;&gt;"",AJ$2&gt;=$G29,AJ$2&lt;=$W29,WEEKDAY(AJ$2,2)&lt;6),$R29/$V29,"")</f>
        <v/>
      </c>
      <c r="AK29" s="48">
        <f>IF(AND($G29&lt;&gt;"",$W29&lt;&gt;"",AK$2&gt;=$G29,AK$2&lt;=$W29,WEEKDAY(AK$2,2)&lt;6),$R29/$V29,"")</f>
        <v/>
      </c>
      <c r="AL29" s="48">
        <f>IF(AND($G29&lt;&gt;"",$W29&lt;&gt;"",AL$2&gt;=$G29,AL$2&lt;=$W29,WEEKDAY(AL$2,2)&lt;6),$R29/$V29,"")</f>
        <v/>
      </c>
      <c r="AM29" s="48">
        <f>IF(AND($G29&lt;&gt;"",$W29&lt;&gt;"",AM$2&gt;=$G29,AM$2&lt;=$W29,WEEKDAY(AM$2,2)&lt;6),$R29/$V29,"")</f>
        <v/>
      </c>
      <c r="AN29" s="48">
        <f>IF(AND($G29&lt;&gt;"",$W29&lt;&gt;"",AN$2&gt;=$G29,AN$2&lt;=$W29,WEEKDAY(AN$2,2)&lt;6),$R29/$V29,"")</f>
        <v/>
      </c>
      <c r="AO29" s="48">
        <f>IF(AND($G29&lt;&gt;"",$W29&lt;&gt;"",AO$2&gt;=$G29,AO$2&lt;=$W29,WEEKDAY(AO$2,2)&lt;6),$R29/$V29,"")</f>
        <v/>
      </c>
      <c r="AP29" s="48">
        <f>IF(AND($G29&lt;&gt;"",$W29&lt;&gt;"",AP$2&gt;=$G29,AP$2&lt;=$W29,WEEKDAY(AP$2,2)&lt;6),$R29/$V29,"")</f>
        <v/>
      </c>
      <c r="AQ29" s="48">
        <f>IF(AND($G29&lt;&gt;"",$W29&lt;&gt;"",AQ$2&gt;=$G29,AQ$2&lt;=$W29,WEEKDAY(AQ$2,2)&lt;6),$R29/$V29,"")</f>
        <v/>
      </c>
      <c r="AR29" s="48">
        <f>IF(AND($G29&lt;&gt;"",$W29&lt;&gt;"",AR$2&gt;=$G29,AR$2&lt;=$W29,WEEKDAY(AR$2,2)&lt;6),$R29/$V29,"")</f>
        <v/>
      </c>
      <c r="AS29" s="48">
        <f>IF(AND($G29&lt;&gt;"",$W29&lt;&gt;"",AS$2&gt;=$G29,AS$2&lt;=$W29,WEEKDAY(AS$2,2)&lt;6),$R29/$V29,"")</f>
        <v/>
      </c>
      <c r="AT29" s="48">
        <f>IF(AND($G29&lt;&gt;"",$W29&lt;&gt;"",AT$2&gt;=$G29,AT$2&lt;=$W29,WEEKDAY(AT$2,2)&lt;6),$R29/$V29,"")</f>
        <v/>
      </c>
      <c r="AU29" s="48">
        <f>IF(AND($G29&lt;&gt;"",$W29&lt;&gt;"",AU$2&gt;=$G29,AU$2&lt;=$W29,WEEKDAY(AU$2,2)&lt;6),$R29/$V29,"")</f>
        <v/>
      </c>
      <c r="AV29" s="48">
        <f>IF(AND($G29&lt;&gt;"",$W29&lt;&gt;"",AV$2&gt;=$G29,AV$2&lt;=$W29,WEEKDAY(AV$2,2)&lt;6),$R29/$V29,"")</f>
        <v/>
      </c>
      <c r="AW29" s="48">
        <f>IF(AND($G29&lt;&gt;"",$W29&lt;&gt;"",AW$2&gt;=$G29,AW$2&lt;=$W29,WEEKDAY(AW$2,2)&lt;6),$R29/$V29,"")</f>
        <v/>
      </c>
      <c r="AX29" s="48">
        <f>IF(AND($G29&lt;&gt;"",$W29&lt;&gt;"",AX$2&gt;=$G29,AX$2&lt;=$W29,WEEKDAY(AX$2,2)&lt;6),$R29/$V29,"")</f>
        <v/>
      </c>
      <c r="AY29" s="48">
        <f>IF(AND($G29&lt;&gt;"",$W29&lt;&gt;"",AY$2&gt;=$G29,AY$2&lt;=$W29,WEEKDAY(AY$2,2)&lt;6),$R29/$V29,"")</f>
        <v/>
      </c>
      <c r="AZ29" s="48">
        <f>IF(AND($G29&lt;&gt;"",$W29&lt;&gt;"",AZ$2&gt;=$G29,AZ$2&lt;=$W29,WEEKDAY(AZ$2,2)&lt;6),$R29/$V29,"")</f>
        <v/>
      </c>
      <c r="BA29" s="48">
        <f>IF(AND($G29&lt;&gt;"",$W29&lt;&gt;"",BA$2&gt;=$G29,BA$2&lt;=$W29,WEEKDAY(BA$2,2)&lt;6),$R29/$V29,"")</f>
        <v/>
      </c>
      <c r="BB29" s="48">
        <f>IF(AND($G29&lt;&gt;"",$W29&lt;&gt;"",BB$2&gt;=$G29,BB$2&lt;=$W29,WEEKDAY(BB$2,2)&lt;6),$R29/$V29,"")</f>
        <v/>
      </c>
      <c r="BC29" s="48">
        <f>IF(AND($G29&lt;&gt;"",$W29&lt;&gt;"",BC$2&gt;=$G29,BC$2&lt;=$W29,WEEKDAY(BC$2,2)&lt;6),$R29/$V29,"")</f>
        <v/>
      </c>
      <c r="BD29" s="48">
        <f>IF(AND($G29&lt;&gt;"",$W29&lt;&gt;"",BD$2&gt;=$G29,BD$2&lt;=$W29,WEEKDAY(BD$2,2)&lt;6),$R29/$V29,"")</f>
        <v/>
      </c>
      <c r="BE29" s="48">
        <f>IF(AND($G29&lt;&gt;"",$W29&lt;&gt;"",BE$2&gt;=$G29,BE$2&lt;=$W29,WEEKDAY(BE$2,2)&lt;6),$R29/$V29,"")</f>
        <v/>
      </c>
    </row>
    <row r="30">
      <c r="A30" s="40">
        <f>IF(F30="","",COUNTA($F$8:F30))</f>
        <v/>
      </c>
      <c r="B30" s="41">
        <f>IF(G30="","",MONTH(G30))</f>
        <v/>
      </c>
      <c r="C30" s="42" t="n"/>
      <c r="D30" s="43" t="n"/>
      <c r="E30" s="43" t="n"/>
      <c r="F30" s="42" t="n"/>
      <c r="G30" s="44" t="n"/>
      <c r="H30" s="44" t="n"/>
      <c r="I30" s="43" t="n"/>
      <c r="J30" s="43" t="n"/>
      <c r="K30" s="43" t="n"/>
      <c r="L30" s="42" t="n"/>
      <c r="M30" s="45" t="n"/>
      <c r="N30" s="42" t="n"/>
      <c r="O30" s="45" t="n"/>
      <c r="P30" s="42" t="n"/>
      <c r="Q30" s="45" t="n"/>
      <c r="R30" s="46">
        <f>IF(SUM(M30,O30,Q30)=0,"",SUM(M30,O30,Q30))</f>
        <v/>
      </c>
      <c r="S30" s="41">
        <f>IF(M30&gt;0,"영 ","")&amp;IF(O30&gt;0,"이 ","")&amp;IF(Q30&gt;0,"기 ","")</f>
        <v/>
      </c>
      <c r="T30" s="40">
        <f>IF(G30="","","W"&amp;ROUNDUP(DAY(G30)/7,0))</f>
        <v/>
      </c>
      <c r="U30" s="43" t="n"/>
      <c r="V30" s="40">
        <f>IF(R30="",0,ROUNDUP(MAX(M30,O30,Q30)/'마스터'!$J$6,0))</f>
        <v/>
      </c>
      <c r="W30" s="47">
        <f>IF(OR(G30="",V30=0),"",WORKDAY(G30,V30-1))</f>
        <v/>
      </c>
      <c r="X30" s="41">
        <f>IF(OR(H30="",W30=""),"",H30-W30)</f>
        <v/>
      </c>
      <c r="Y30" s="42" t="n"/>
      <c r="AA30" s="48">
        <f>IF(AND($G30&lt;&gt;"",$W30&lt;&gt;"",AA$2&gt;=$G30,AA$2&lt;=$W30,WEEKDAY(AA$2,2)&lt;6),$R30/$V30,"")</f>
        <v/>
      </c>
      <c r="AB30" s="48">
        <f>IF(AND($G30&lt;&gt;"",$W30&lt;&gt;"",AB$2&gt;=$G30,AB$2&lt;=$W30,WEEKDAY(AB$2,2)&lt;6),$R30/$V30,"")</f>
        <v/>
      </c>
      <c r="AC30" s="48">
        <f>IF(AND($G30&lt;&gt;"",$W30&lt;&gt;"",AC$2&gt;=$G30,AC$2&lt;=$W30,WEEKDAY(AC$2,2)&lt;6),$R30/$V30,"")</f>
        <v/>
      </c>
      <c r="AD30" s="48">
        <f>IF(AND($G30&lt;&gt;"",$W30&lt;&gt;"",AD$2&gt;=$G30,AD$2&lt;=$W30,WEEKDAY(AD$2,2)&lt;6),$R30/$V30,"")</f>
        <v/>
      </c>
      <c r="AE30" s="48">
        <f>IF(AND($G30&lt;&gt;"",$W30&lt;&gt;"",AE$2&gt;=$G30,AE$2&lt;=$W30,WEEKDAY(AE$2,2)&lt;6),$R30/$V30,"")</f>
        <v/>
      </c>
      <c r="AF30" s="48">
        <f>IF(AND($G30&lt;&gt;"",$W30&lt;&gt;"",AF$2&gt;=$G30,AF$2&lt;=$W30,WEEKDAY(AF$2,2)&lt;6),$R30/$V30,"")</f>
        <v/>
      </c>
      <c r="AG30" s="48">
        <f>IF(AND($G30&lt;&gt;"",$W30&lt;&gt;"",AG$2&gt;=$G30,AG$2&lt;=$W30,WEEKDAY(AG$2,2)&lt;6),$R30/$V30,"")</f>
        <v/>
      </c>
      <c r="AH30" s="48">
        <f>IF(AND($G30&lt;&gt;"",$W30&lt;&gt;"",AH$2&gt;=$G30,AH$2&lt;=$W30,WEEKDAY(AH$2,2)&lt;6),$R30/$V30,"")</f>
        <v/>
      </c>
      <c r="AI30" s="48">
        <f>IF(AND($G30&lt;&gt;"",$W30&lt;&gt;"",AI$2&gt;=$G30,AI$2&lt;=$W30,WEEKDAY(AI$2,2)&lt;6),$R30/$V30,"")</f>
        <v/>
      </c>
      <c r="AJ30" s="48">
        <f>IF(AND($G30&lt;&gt;"",$W30&lt;&gt;"",AJ$2&gt;=$G30,AJ$2&lt;=$W30,WEEKDAY(AJ$2,2)&lt;6),$R30/$V30,"")</f>
        <v/>
      </c>
      <c r="AK30" s="48">
        <f>IF(AND($G30&lt;&gt;"",$W30&lt;&gt;"",AK$2&gt;=$G30,AK$2&lt;=$W30,WEEKDAY(AK$2,2)&lt;6),$R30/$V30,"")</f>
        <v/>
      </c>
      <c r="AL30" s="48">
        <f>IF(AND($G30&lt;&gt;"",$W30&lt;&gt;"",AL$2&gt;=$G30,AL$2&lt;=$W30,WEEKDAY(AL$2,2)&lt;6),$R30/$V30,"")</f>
        <v/>
      </c>
      <c r="AM30" s="48">
        <f>IF(AND($G30&lt;&gt;"",$W30&lt;&gt;"",AM$2&gt;=$G30,AM$2&lt;=$W30,WEEKDAY(AM$2,2)&lt;6),$R30/$V30,"")</f>
        <v/>
      </c>
      <c r="AN30" s="48">
        <f>IF(AND($G30&lt;&gt;"",$W30&lt;&gt;"",AN$2&gt;=$G30,AN$2&lt;=$W30,WEEKDAY(AN$2,2)&lt;6),$R30/$V30,"")</f>
        <v/>
      </c>
      <c r="AO30" s="48">
        <f>IF(AND($G30&lt;&gt;"",$W30&lt;&gt;"",AO$2&gt;=$G30,AO$2&lt;=$W30,WEEKDAY(AO$2,2)&lt;6),$R30/$V30,"")</f>
        <v/>
      </c>
      <c r="AP30" s="48">
        <f>IF(AND($G30&lt;&gt;"",$W30&lt;&gt;"",AP$2&gt;=$G30,AP$2&lt;=$W30,WEEKDAY(AP$2,2)&lt;6),$R30/$V30,"")</f>
        <v/>
      </c>
      <c r="AQ30" s="48">
        <f>IF(AND($G30&lt;&gt;"",$W30&lt;&gt;"",AQ$2&gt;=$G30,AQ$2&lt;=$W30,WEEKDAY(AQ$2,2)&lt;6),$R30/$V30,"")</f>
        <v/>
      </c>
      <c r="AR30" s="48">
        <f>IF(AND($G30&lt;&gt;"",$W30&lt;&gt;"",AR$2&gt;=$G30,AR$2&lt;=$W30,WEEKDAY(AR$2,2)&lt;6),$R30/$V30,"")</f>
        <v/>
      </c>
      <c r="AS30" s="48">
        <f>IF(AND($G30&lt;&gt;"",$W30&lt;&gt;"",AS$2&gt;=$G30,AS$2&lt;=$W30,WEEKDAY(AS$2,2)&lt;6),$R30/$V30,"")</f>
        <v/>
      </c>
      <c r="AT30" s="48">
        <f>IF(AND($G30&lt;&gt;"",$W30&lt;&gt;"",AT$2&gt;=$G30,AT$2&lt;=$W30,WEEKDAY(AT$2,2)&lt;6),$R30/$V30,"")</f>
        <v/>
      </c>
      <c r="AU30" s="48">
        <f>IF(AND($G30&lt;&gt;"",$W30&lt;&gt;"",AU$2&gt;=$G30,AU$2&lt;=$W30,WEEKDAY(AU$2,2)&lt;6),$R30/$V30,"")</f>
        <v/>
      </c>
      <c r="AV30" s="48">
        <f>IF(AND($G30&lt;&gt;"",$W30&lt;&gt;"",AV$2&gt;=$G30,AV$2&lt;=$W30,WEEKDAY(AV$2,2)&lt;6),$R30/$V30,"")</f>
        <v/>
      </c>
      <c r="AW30" s="48">
        <f>IF(AND($G30&lt;&gt;"",$W30&lt;&gt;"",AW$2&gt;=$G30,AW$2&lt;=$W30,WEEKDAY(AW$2,2)&lt;6),$R30/$V30,"")</f>
        <v/>
      </c>
      <c r="AX30" s="48">
        <f>IF(AND($G30&lt;&gt;"",$W30&lt;&gt;"",AX$2&gt;=$G30,AX$2&lt;=$W30,WEEKDAY(AX$2,2)&lt;6),$R30/$V30,"")</f>
        <v/>
      </c>
      <c r="AY30" s="48">
        <f>IF(AND($G30&lt;&gt;"",$W30&lt;&gt;"",AY$2&gt;=$G30,AY$2&lt;=$W30,WEEKDAY(AY$2,2)&lt;6),$R30/$V30,"")</f>
        <v/>
      </c>
      <c r="AZ30" s="48">
        <f>IF(AND($G30&lt;&gt;"",$W30&lt;&gt;"",AZ$2&gt;=$G30,AZ$2&lt;=$W30,WEEKDAY(AZ$2,2)&lt;6),$R30/$V30,"")</f>
        <v/>
      </c>
      <c r="BA30" s="48">
        <f>IF(AND($G30&lt;&gt;"",$W30&lt;&gt;"",BA$2&gt;=$G30,BA$2&lt;=$W30,WEEKDAY(BA$2,2)&lt;6),$R30/$V30,"")</f>
        <v/>
      </c>
      <c r="BB30" s="48">
        <f>IF(AND($G30&lt;&gt;"",$W30&lt;&gt;"",BB$2&gt;=$G30,BB$2&lt;=$W30,WEEKDAY(BB$2,2)&lt;6),$R30/$V30,"")</f>
        <v/>
      </c>
      <c r="BC30" s="48">
        <f>IF(AND($G30&lt;&gt;"",$W30&lt;&gt;"",BC$2&gt;=$G30,BC$2&lt;=$W30,WEEKDAY(BC$2,2)&lt;6),$R30/$V30,"")</f>
        <v/>
      </c>
      <c r="BD30" s="48">
        <f>IF(AND($G30&lt;&gt;"",$W30&lt;&gt;"",BD$2&gt;=$G30,BD$2&lt;=$W30,WEEKDAY(BD$2,2)&lt;6),$R30/$V30,"")</f>
        <v/>
      </c>
      <c r="BE30" s="48">
        <f>IF(AND($G30&lt;&gt;"",$W30&lt;&gt;"",BE$2&gt;=$G30,BE$2&lt;=$W30,WEEKDAY(BE$2,2)&lt;6),$R30/$V30,"")</f>
        <v/>
      </c>
    </row>
    <row r="31">
      <c r="A31" s="40">
        <f>IF(F31="","",COUNTA($F$8:F31))</f>
        <v/>
      </c>
      <c r="B31" s="41">
        <f>IF(G31="","",MONTH(G31))</f>
        <v/>
      </c>
      <c r="C31" s="42" t="n"/>
      <c r="D31" s="43" t="n"/>
      <c r="E31" s="43" t="n"/>
      <c r="F31" s="42" t="n"/>
      <c r="G31" s="44" t="n"/>
      <c r="H31" s="44" t="n"/>
      <c r="I31" s="43" t="n"/>
      <c r="J31" s="43" t="n"/>
      <c r="K31" s="43" t="n"/>
      <c r="L31" s="42" t="n"/>
      <c r="M31" s="45" t="n"/>
      <c r="N31" s="42" t="n"/>
      <c r="O31" s="45" t="n"/>
      <c r="P31" s="42" t="n"/>
      <c r="Q31" s="45" t="n"/>
      <c r="R31" s="46">
        <f>IF(SUM(M31,O31,Q31)=0,"",SUM(M31,O31,Q31))</f>
        <v/>
      </c>
      <c r="S31" s="41">
        <f>IF(M31&gt;0,"영 ","")&amp;IF(O31&gt;0,"이 ","")&amp;IF(Q31&gt;0,"기 ","")</f>
        <v/>
      </c>
      <c r="T31" s="40">
        <f>IF(G31="","","W"&amp;ROUNDUP(DAY(G31)/7,0))</f>
        <v/>
      </c>
      <c r="U31" s="43" t="n"/>
      <c r="V31" s="40">
        <f>IF(R31="",0,ROUNDUP(MAX(M31,O31,Q31)/'마스터'!$J$6,0))</f>
        <v/>
      </c>
      <c r="W31" s="47">
        <f>IF(OR(G31="",V31=0),"",WORKDAY(G31,V31-1))</f>
        <v/>
      </c>
      <c r="X31" s="41">
        <f>IF(OR(H31="",W31=""),"",H31-W31)</f>
        <v/>
      </c>
      <c r="Y31" s="42" t="n"/>
      <c r="AA31" s="48">
        <f>IF(AND($G31&lt;&gt;"",$W31&lt;&gt;"",AA$2&gt;=$G31,AA$2&lt;=$W31,WEEKDAY(AA$2,2)&lt;6),$R31/$V31,"")</f>
        <v/>
      </c>
      <c r="AB31" s="48">
        <f>IF(AND($G31&lt;&gt;"",$W31&lt;&gt;"",AB$2&gt;=$G31,AB$2&lt;=$W31,WEEKDAY(AB$2,2)&lt;6),$R31/$V31,"")</f>
        <v/>
      </c>
      <c r="AC31" s="48">
        <f>IF(AND($G31&lt;&gt;"",$W31&lt;&gt;"",AC$2&gt;=$G31,AC$2&lt;=$W31,WEEKDAY(AC$2,2)&lt;6),$R31/$V31,"")</f>
        <v/>
      </c>
      <c r="AD31" s="48">
        <f>IF(AND($G31&lt;&gt;"",$W31&lt;&gt;"",AD$2&gt;=$G31,AD$2&lt;=$W31,WEEKDAY(AD$2,2)&lt;6),$R31/$V31,"")</f>
        <v/>
      </c>
      <c r="AE31" s="48">
        <f>IF(AND($G31&lt;&gt;"",$W31&lt;&gt;"",AE$2&gt;=$G31,AE$2&lt;=$W31,WEEKDAY(AE$2,2)&lt;6),$R31/$V31,"")</f>
        <v/>
      </c>
      <c r="AF31" s="48">
        <f>IF(AND($G31&lt;&gt;"",$W31&lt;&gt;"",AF$2&gt;=$G31,AF$2&lt;=$W31,WEEKDAY(AF$2,2)&lt;6),$R31/$V31,"")</f>
        <v/>
      </c>
      <c r="AG31" s="48">
        <f>IF(AND($G31&lt;&gt;"",$W31&lt;&gt;"",AG$2&gt;=$G31,AG$2&lt;=$W31,WEEKDAY(AG$2,2)&lt;6),$R31/$V31,"")</f>
        <v/>
      </c>
      <c r="AH31" s="48">
        <f>IF(AND($G31&lt;&gt;"",$W31&lt;&gt;"",AH$2&gt;=$G31,AH$2&lt;=$W31,WEEKDAY(AH$2,2)&lt;6),$R31/$V31,"")</f>
        <v/>
      </c>
      <c r="AI31" s="48">
        <f>IF(AND($G31&lt;&gt;"",$W31&lt;&gt;"",AI$2&gt;=$G31,AI$2&lt;=$W31,WEEKDAY(AI$2,2)&lt;6),$R31/$V31,"")</f>
        <v/>
      </c>
      <c r="AJ31" s="48">
        <f>IF(AND($G31&lt;&gt;"",$W31&lt;&gt;"",AJ$2&gt;=$G31,AJ$2&lt;=$W31,WEEKDAY(AJ$2,2)&lt;6),$R31/$V31,"")</f>
        <v/>
      </c>
      <c r="AK31" s="48">
        <f>IF(AND($G31&lt;&gt;"",$W31&lt;&gt;"",AK$2&gt;=$G31,AK$2&lt;=$W31,WEEKDAY(AK$2,2)&lt;6),$R31/$V31,"")</f>
        <v/>
      </c>
      <c r="AL31" s="48">
        <f>IF(AND($G31&lt;&gt;"",$W31&lt;&gt;"",AL$2&gt;=$G31,AL$2&lt;=$W31,WEEKDAY(AL$2,2)&lt;6),$R31/$V31,"")</f>
        <v/>
      </c>
      <c r="AM31" s="48">
        <f>IF(AND($G31&lt;&gt;"",$W31&lt;&gt;"",AM$2&gt;=$G31,AM$2&lt;=$W31,WEEKDAY(AM$2,2)&lt;6),$R31/$V31,"")</f>
        <v/>
      </c>
      <c r="AN31" s="48">
        <f>IF(AND($G31&lt;&gt;"",$W31&lt;&gt;"",AN$2&gt;=$G31,AN$2&lt;=$W31,WEEKDAY(AN$2,2)&lt;6),$R31/$V31,"")</f>
        <v/>
      </c>
      <c r="AO31" s="48">
        <f>IF(AND($G31&lt;&gt;"",$W31&lt;&gt;"",AO$2&gt;=$G31,AO$2&lt;=$W31,WEEKDAY(AO$2,2)&lt;6),$R31/$V31,"")</f>
        <v/>
      </c>
      <c r="AP31" s="48">
        <f>IF(AND($G31&lt;&gt;"",$W31&lt;&gt;"",AP$2&gt;=$G31,AP$2&lt;=$W31,WEEKDAY(AP$2,2)&lt;6),$R31/$V31,"")</f>
        <v/>
      </c>
      <c r="AQ31" s="48">
        <f>IF(AND($G31&lt;&gt;"",$W31&lt;&gt;"",AQ$2&gt;=$G31,AQ$2&lt;=$W31,WEEKDAY(AQ$2,2)&lt;6),$R31/$V31,"")</f>
        <v/>
      </c>
      <c r="AR31" s="48">
        <f>IF(AND($G31&lt;&gt;"",$W31&lt;&gt;"",AR$2&gt;=$G31,AR$2&lt;=$W31,WEEKDAY(AR$2,2)&lt;6),$R31/$V31,"")</f>
        <v/>
      </c>
      <c r="AS31" s="48">
        <f>IF(AND($G31&lt;&gt;"",$W31&lt;&gt;"",AS$2&gt;=$G31,AS$2&lt;=$W31,WEEKDAY(AS$2,2)&lt;6),$R31/$V31,"")</f>
        <v/>
      </c>
      <c r="AT31" s="48">
        <f>IF(AND($G31&lt;&gt;"",$W31&lt;&gt;"",AT$2&gt;=$G31,AT$2&lt;=$W31,WEEKDAY(AT$2,2)&lt;6),$R31/$V31,"")</f>
        <v/>
      </c>
      <c r="AU31" s="48">
        <f>IF(AND($G31&lt;&gt;"",$W31&lt;&gt;"",AU$2&gt;=$G31,AU$2&lt;=$W31,WEEKDAY(AU$2,2)&lt;6),$R31/$V31,"")</f>
        <v/>
      </c>
      <c r="AV31" s="48">
        <f>IF(AND($G31&lt;&gt;"",$W31&lt;&gt;"",AV$2&gt;=$G31,AV$2&lt;=$W31,WEEKDAY(AV$2,2)&lt;6),$R31/$V31,"")</f>
        <v/>
      </c>
      <c r="AW31" s="48">
        <f>IF(AND($G31&lt;&gt;"",$W31&lt;&gt;"",AW$2&gt;=$G31,AW$2&lt;=$W31,WEEKDAY(AW$2,2)&lt;6),$R31/$V31,"")</f>
        <v/>
      </c>
      <c r="AX31" s="48">
        <f>IF(AND($G31&lt;&gt;"",$W31&lt;&gt;"",AX$2&gt;=$G31,AX$2&lt;=$W31,WEEKDAY(AX$2,2)&lt;6),$R31/$V31,"")</f>
        <v/>
      </c>
      <c r="AY31" s="48">
        <f>IF(AND($G31&lt;&gt;"",$W31&lt;&gt;"",AY$2&gt;=$G31,AY$2&lt;=$W31,WEEKDAY(AY$2,2)&lt;6),$R31/$V31,"")</f>
        <v/>
      </c>
      <c r="AZ31" s="48">
        <f>IF(AND($G31&lt;&gt;"",$W31&lt;&gt;"",AZ$2&gt;=$G31,AZ$2&lt;=$W31,WEEKDAY(AZ$2,2)&lt;6),$R31/$V31,"")</f>
        <v/>
      </c>
      <c r="BA31" s="48">
        <f>IF(AND($G31&lt;&gt;"",$W31&lt;&gt;"",BA$2&gt;=$G31,BA$2&lt;=$W31,WEEKDAY(BA$2,2)&lt;6),$R31/$V31,"")</f>
        <v/>
      </c>
      <c r="BB31" s="48">
        <f>IF(AND($G31&lt;&gt;"",$W31&lt;&gt;"",BB$2&gt;=$G31,BB$2&lt;=$W31,WEEKDAY(BB$2,2)&lt;6),$R31/$V31,"")</f>
        <v/>
      </c>
      <c r="BC31" s="48">
        <f>IF(AND($G31&lt;&gt;"",$W31&lt;&gt;"",BC$2&gt;=$G31,BC$2&lt;=$W31,WEEKDAY(BC$2,2)&lt;6),$R31/$V31,"")</f>
        <v/>
      </c>
      <c r="BD31" s="48">
        <f>IF(AND($G31&lt;&gt;"",$W31&lt;&gt;"",BD$2&gt;=$G31,BD$2&lt;=$W31,WEEKDAY(BD$2,2)&lt;6),$R31/$V31,"")</f>
        <v/>
      </c>
      <c r="BE31" s="48">
        <f>IF(AND($G31&lt;&gt;"",$W31&lt;&gt;"",BE$2&gt;=$G31,BE$2&lt;=$W31,WEEKDAY(BE$2,2)&lt;6),$R31/$V31,"")</f>
        <v/>
      </c>
    </row>
    <row r="32">
      <c r="A32" s="40">
        <f>IF(F32="","",COUNTA($F$8:F32))</f>
        <v/>
      </c>
      <c r="B32" s="41">
        <f>IF(G32="","",MONTH(G32))</f>
        <v/>
      </c>
      <c r="C32" s="42" t="n"/>
      <c r="D32" s="43" t="n"/>
      <c r="E32" s="43" t="n"/>
      <c r="F32" s="42" t="n"/>
      <c r="G32" s="44" t="n"/>
      <c r="H32" s="44" t="n"/>
      <c r="I32" s="43" t="n"/>
      <c r="J32" s="43" t="n"/>
      <c r="K32" s="43" t="n"/>
      <c r="L32" s="42" t="n"/>
      <c r="M32" s="45" t="n"/>
      <c r="N32" s="42" t="n"/>
      <c r="O32" s="45" t="n"/>
      <c r="P32" s="42" t="n"/>
      <c r="Q32" s="45" t="n"/>
      <c r="R32" s="46">
        <f>IF(SUM(M32,O32,Q32)=0,"",SUM(M32,O32,Q32))</f>
        <v/>
      </c>
      <c r="S32" s="41">
        <f>IF(M32&gt;0,"영 ","")&amp;IF(O32&gt;0,"이 ","")&amp;IF(Q32&gt;0,"기 ","")</f>
        <v/>
      </c>
      <c r="T32" s="40">
        <f>IF(G32="","","W"&amp;ROUNDUP(DAY(G32)/7,0))</f>
        <v/>
      </c>
      <c r="U32" s="43" t="n"/>
      <c r="V32" s="40">
        <f>IF(R32="",0,ROUNDUP(MAX(M32,O32,Q32)/'마스터'!$J$6,0))</f>
        <v/>
      </c>
      <c r="W32" s="47">
        <f>IF(OR(G32="",V32=0),"",WORKDAY(G32,V32-1))</f>
        <v/>
      </c>
      <c r="X32" s="41">
        <f>IF(OR(H32="",W32=""),"",H32-W32)</f>
        <v/>
      </c>
      <c r="Y32" s="42" t="n"/>
      <c r="AA32" s="48">
        <f>IF(AND($G32&lt;&gt;"",$W32&lt;&gt;"",AA$2&gt;=$G32,AA$2&lt;=$W32,WEEKDAY(AA$2,2)&lt;6),$R32/$V32,"")</f>
        <v/>
      </c>
      <c r="AB32" s="48">
        <f>IF(AND($G32&lt;&gt;"",$W32&lt;&gt;"",AB$2&gt;=$G32,AB$2&lt;=$W32,WEEKDAY(AB$2,2)&lt;6),$R32/$V32,"")</f>
        <v/>
      </c>
      <c r="AC32" s="48">
        <f>IF(AND($G32&lt;&gt;"",$W32&lt;&gt;"",AC$2&gt;=$G32,AC$2&lt;=$W32,WEEKDAY(AC$2,2)&lt;6),$R32/$V32,"")</f>
        <v/>
      </c>
      <c r="AD32" s="48">
        <f>IF(AND($G32&lt;&gt;"",$W32&lt;&gt;"",AD$2&gt;=$G32,AD$2&lt;=$W32,WEEKDAY(AD$2,2)&lt;6),$R32/$V32,"")</f>
        <v/>
      </c>
      <c r="AE32" s="48">
        <f>IF(AND($G32&lt;&gt;"",$W32&lt;&gt;"",AE$2&gt;=$G32,AE$2&lt;=$W32,WEEKDAY(AE$2,2)&lt;6),$R32/$V32,"")</f>
        <v/>
      </c>
      <c r="AF32" s="48">
        <f>IF(AND($G32&lt;&gt;"",$W32&lt;&gt;"",AF$2&gt;=$G32,AF$2&lt;=$W32,WEEKDAY(AF$2,2)&lt;6),$R32/$V32,"")</f>
        <v/>
      </c>
      <c r="AG32" s="48">
        <f>IF(AND($G32&lt;&gt;"",$W32&lt;&gt;"",AG$2&gt;=$G32,AG$2&lt;=$W32,WEEKDAY(AG$2,2)&lt;6),$R32/$V32,"")</f>
        <v/>
      </c>
      <c r="AH32" s="48">
        <f>IF(AND($G32&lt;&gt;"",$W32&lt;&gt;"",AH$2&gt;=$G32,AH$2&lt;=$W32,WEEKDAY(AH$2,2)&lt;6),$R32/$V32,"")</f>
        <v/>
      </c>
      <c r="AI32" s="48">
        <f>IF(AND($G32&lt;&gt;"",$W32&lt;&gt;"",AI$2&gt;=$G32,AI$2&lt;=$W32,WEEKDAY(AI$2,2)&lt;6),$R32/$V32,"")</f>
        <v/>
      </c>
      <c r="AJ32" s="48">
        <f>IF(AND($G32&lt;&gt;"",$W32&lt;&gt;"",AJ$2&gt;=$G32,AJ$2&lt;=$W32,WEEKDAY(AJ$2,2)&lt;6),$R32/$V32,"")</f>
        <v/>
      </c>
      <c r="AK32" s="48">
        <f>IF(AND($G32&lt;&gt;"",$W32&lt;&gt;"",AK$2&gt;=$G32,AK$2&lt;=$W32,WEEKDAY(AK$2,2)&lt;6),$R32/$V32,"")</f>
        <v/>
      </c>
      <c r="AL32" s="48">
        <f>IF(AND($G32&lt;&gt;"",$W32&lt;&gt;"",AL$2&gt;=$G32,AL$2&lt;=$W32,WEEKDAY(AL$2,2)&lt;6),$R32/$V32,"")</f>
        <v/>
      </c>
      <c r="AM32" s="48">
        <f>IF(AND($G32&lt;&gt;"",$W32&lt;&gt;"",AM$2&gt;=$G32,AM$2&lt;=$W32,WEEKDAY(AM$2,2)&lt;6),$R32/$V32,"")</f>
        <v/>
      </c>
      <c r="AN32" s="48">
        <f>IF(AND($G32&lt;&gt;"",$W32&lt;&gt;"",AN$2&gt;=$G32,AN$2&lt;=$W32,WEEKDAY(AN$2,2)&lt;6),$R32/$V32,"")</f>
        <v/>
      </c>
      <c r="AO32" s="48">
        <f>IF(AND($G32&lt;&gt;"",$W32&lt;&gt;"",AO$2&gt;=$G32,AO$2&lt;=$W32,WEEKDAY(AO$2,2)&lt;6),$R32/$V32,"")</f>
        <v/>
      </c>
      <c r="AP32" s="48">
        <f>IF(AND($G32&lt;&gt;"",$W32&lt;&gt;"",AP$2&gt;=$G32,AP$2&lt;=$W32,WEEKDAY(AP$2,2)&lt;6),$R32/$V32,"")</f>
        <v/>
      </c>
      <c r="AQ32" s="48">
        <f>IF(AND($G32&lt;&gt;"",$W32&lt;&gt;"",AQ$2&gt;=$G32,AQ$2&lt;=$W32,WEEKDAY(AQ$2,2)&lt;6),$R32/$V32,"")</f>
        <v/>
      </c>
      <c r="AR32" s="48">
        <f>IF(AND($G32&lt;&gt;"",$W32&lt;&gt;"",AR$2&gt;=$G32,AR$2&lt;=$W32,WEEKDAY(AR$2,2)&lt;6),$R32/$V32,"")</f>
        <v/>
      </c>
      <c r="AS32" s="48">
        <f>IF(AND($G32&lt;&gt;"",$W32&lt;&gt;"",AS$2&gt;=$G32,AS$2&lt;=$W32,WEEKDAY(AS$2,2)&lt;6),$R32/$V32,"")</f>
        <v/>
      </c>
      <c r="AT32" s="48">
        <f>IF(AND($G32&lt;&gt;"",$W32&lt;&gt;"",AT$2&gt;=$G32,AT$2&lt;=$W32,WEEKDAY(AT$2,2)&lt;6),$R32/$V32,"")</f>
        <v/>
      </c>
      <c r="AU32" s="48">
        <f>IF(AND($G32&lt;&gt;"",$W32&lt;&gt;"",AU$2&gt;=$G32,AU$2&lt;=$W32,WEEKDAY(AU$2,2)&lt;6),$R32/$V32,"")</f>
        <v/>
      </c>
      <c r="AV32" s="48">
        <f>IF(AND($G32&lt;&gt;"",$W32&lt;&gt;"",AV$2&gt;=$G32,AV$2&lt;=$W32,WEEKDAY(AV$2,2)&lt;6),$R32/$V32,"")</f>
        <v/>
      </c>
      <c r="AW32" s="48">
        <f>IF(AND($G32&lt;&gt;"",$W32&lt;&gt;"",AW$2&gt;=$G32,AW$2&lt;=$W32,WEEKDAY(AW$2,2)&lt;6),$R32/$V32,"")</f>
        <v/>
      </c>
      <c r="AX32" s="48">
        <f>IF(AND($G32&lt;&gt;"",$W32&lt;&gt;"",AX$2&gt;=$G32,AX$2&lt;=$W32,WEEKDAY(AX$2,2)&lt;6),$R32/$V32,"")</f>
        <v/>
      </c>
      <c r="AY32" s="48">
        <f>IF(AND($G32&lt;&gt;"",$W32&lt;&gt;"",AY$2&gt;=$G32,AY$2&lt;=$W32,WEEKDAY(AY$2,2)&lt;6),$R32/$V32,"")</f>
        <v/>
      </c>
      <c r="AZ32" s="48">
        <f>IF(AND($G32&lt;&gt;"",$W32&lt;&gt;"",AZ$2&gt;=$G32,AZ$2&lt;=$W32,WEEKDAY(AZ$2,2)&lt;6),$R32/$V32,"")</f>
        <v/>
      </c>
      <c r="BA32" s="48">
        <f>IF(AND($G32&lt;&gt;"",$W32&lt;&gt;"",BA$2&gt;=$G32,BA$2&lt;=$W32,WEEKDAY(BA$2,2)&lt;6),$R32/$V32,"")</f>
        <v/>
      </c>
      <c r="BB32" s="48">
        <f>IF(AND($G32&lt;&gt;"",$W32&lt;&gt;"",BB$2&gt;=$G32,BB$2&lt;=$W32,WEEKDAY(BB$2,2)&lt;6),$R32/$V32,"")</f>
        <v/>
      </c>
      <c r="BC32" s="48">
        <f>IF(AND($G32&lt;&gt;"",$W32&lt;&gt;"",BC$2&gt;=$G32,BC$2&lt;=$W32,WEEKDAY(BC$2,2)&lt;6),$R32/$V32,"")</f>
        <v/>
      </c>
      <c r="BD32" s="48">
        <f>IF(AND($G32&lt;&gt;"",$W32&lt;&gt;"",BD$2&gt;=$G32,BD$2&lt;=$W32,WEEKDAY(BD$2,2)&lt;6),$R32/$V32,"")</f>
        <v/>
      </c>
      <c r="BE32" s="48">
        <f>IF(AND($G32&lt;&gt;"",$W32&lt;&gt;"",BE$2&gt;=$G32,BE$2&lt;=$W32,WEEKDAY(BE$2,2)&lt;6),$R32/$V32,"")</f>
        <v/>
      </c>
    </row>
    <row r="33">
      <c r="A33" s="40">
        <f>IF(F33="","",COUNTA($F$8:F33))</f>
        <v/>
      </c>
      <c r="B33" s="41">
        <f>IF(G33="","",MONTH(G33))</f>
        <v/>
      </c>
      <c r="C33" s="42" t="n"/>
      <c r="D33" s="43" t="n"/>
      <c r="E33" s="43" t="n"/>
      <c r="F33" s="42" t="n"/>
      <c r="G33" s="44" t="n"/>
      <c r="H33" s="44" t="n"/>
      <c r="I33" s="43" t="n"/>
      <c r="J33" s="43" t="n"/>
      <c r="K33" s="43" t="n"/>
      <c r="L33" s="42" t="n"/>
      <c r="M33" s="45" t="n"/>
      <c r="N33" s="42" t="n"/>
      <c r="O33" s="45" t="n"/>
      <c r="P33" s="42" t="n"/>
      <c r="Q33" s="45" t="n"/>
      <c r="R33" s="46">
        <f>IF(SUM(M33,O33,Q33)=0,"",SUM(M33,O33,Q33))</f>
        <v/>
      </c>
      <c r="S33" s="41">
        <f>IF(M33&gt;0,"영 ","")&amp;IF(O33&gt;0,"이 ","")&amp;IF(Q33&gt;0,"기 ","")</f>
        <v/>
      </c>
      <c r="T33" s="40">
        <f>IF(G33="","","W"&amp;ROUNDUP(DAY(G33)/7,0))</f>
        <v/>
      </c>
      <c r="U33" s="43" t="n"/>
      <c r="V33" s="40">
        <f>IF(R33="",0,ROUNDUP(MAX(M33,O33,Q33)/'마스터'!$J$6,0))</f>
        <v/>
      </c>
      <c r="W33" s="47">
        <f>IF(OR(G33="",V33=0),"",WORKDAY(G33,V33-1))</f>
        <v/>
      </c>
      <c r="X33" s="41">
        <f>IF(OR(H33="",W33=""),"",H33-W33)</f>
        <v/>
      </c>
      <c r="Y33" s="42" t="n"/>
      <c r="AA33" s="48">
        <f>IF(AND($G33&lt;&gt;"",$W33&lt;&gt;"",AA$2&gt;=$G33,AA$2&lt;=$W33,WEEKDAY(AA$2,2)&lt;6),$R33/$V33,"")</f>
        <v/>
      </c>
      <c r="AB33" s="48">
        <f>IF(AND($G33&lt;&gt;"",$W33&lt;&gt;"",AB$2&gt;=$G33,AB$2&lt;=$W33,WEEKDAY(AB$2,2)&lt;6),$R33/$V33,"")</f>
        <v/>
      </c>
      <c r="AC33" s="48">
        <f>IF(AND($G33&lt;&gt;"",$W33&lt;&gt;"",AC$2&gt;=$G33,AC$2&lt;=$W33,WEEKDAY(AC$2,2)&lt;6),$R33/$V33,"")</f>
        <v/>
      </c>
      <c r="AD33" s="48">
        <f>IF(AND($G33&lt;&gt;"",$W33&lt;&gt;"",AD$2&gt;=$G33,AD$2&lt;=$W33,WEEKDAY(AD$2,2)&lt;6),$R33/$V33,"")</f>
        <v/>
      </c>
      <c r="AE33" s="48">
        <f>IF(AND($G33&lt;&gt;"",$W33&lt;&gt;"",AE$2&gt;=$G33,AE$2&lt;=$W33,WEEKDAY(AE$2,2)&lt;6),$R33/$V33,"")</f>
        <v/>
      </c>
      <c r="AF33" s="48">
        <f>IF(AND($G33&lt;&gt;"",$W33&lt;&gt;"",AF$2&gt;=$G33,AF$2&lt;=$W33,WEEKDAY(AF$2,2)&lt;6),$R33/$V33,"")</f>
        <v/>
      </c>
      <c r="AG33" s="48">
        <f>IF(AND($G33&lt;&gt;"",$W33&lt;&gt;"",AG$2&gt;=$G33,AG$2&lt;=$W33,WEEKDAY(AG$2,2)&lt;6),$R33/$V33,"")</f>
        <v/>
      </c>
      <c r="AH33" s="48">
        <f>IF(AND($G33&lt;&gt;"",$W33&lt;&gt;"",AH$2&gt;=$G33,AH$2&lt;=$W33,WEEKDAY(AH$2,2)&lt;6),$R33/$V33,"")</f>
        <v/>
      </c>
      <c r="AI33" s="48">
        <f>IF(AND($G33&lt;&gt;"",$W33&lt;&gt;"",AI$2&gt;=$G33,AI$2&lt;=$W33,WEEKDAY(AI$2,2)&lt;6),$R33/$V33,"")</f>
        <v/>
      </c>
      <c r="AJ33" s="48">
        <f>IF(AND($G33&lt;&gt;"",$W33&lt;&gt;"",AJ$2&gt;=$G33,AJ$2&lt;=$W33,WEEKDAY(AJ$2,2)&lt;6),$R33/$V33,"")</f>
        <v/>
      </c>
      <c r="AK33" s="48">
        <f>IF(AND($G33&lt;&gt;"",$W33&lt;&gt;"",AK$2&gt;=$G33,AK$2&lt;=$W33,WEEKDAY(AK$2,2)&lt;6),$R33/$V33,"")</f>
        <v/>
      </c>
      <c r="AL33" s="48">
        <f>IF(AND($G33&lt;&gt;"",$W33&lt;&gt;"",AL$2&gt;=$G33,AL$2&lt;=$W33,WEEKDAY(AL$2,2)&lt;6),$R33/$V33,"")</f>
        <v/>
      </c>
      <c r="AM33" s="48">
        <f>IF(AND($G33&lt;&gt;"",$W33&lt;&gt;"",AM$2&gt;=$G33,AM$2&lt;=$W33,WEEKDAY(AM$2,2)&lt;6),$R33/$V33,"")</f>
        <v/>
      </c>
      <c r="AN33" s="48">
        <f>IF(AND($G33&lt;&gt;"",$W33&lt;&gt;"",AN$2&gt;=$G33,AN$2&lt;=$W33,WEEKDAY(AN$2,2)&lt;6),$R33/$V33,"")</f>
        <v/>
      </c>
      <c r="AO33" s="48">
        <f>IF(AND($G33&lt;&gt;"",$W33&lt;&gt;"",AO$2&gt;=$G33,AO$2&lt;=$W33,WEEKDAY(AO$2,2)&lt;6),$R33/$V33,"")</f>
        <v/>
      </c>
      <c r="AP33" s="48">
        <f>IF(AND($G33&lt;&gt;"",$W33&lt;&gt;"",AP$2&gt;=$G33,AP$2&lt;=$W33,WEEKDAY(AP$2,2)&lt;6),$R33/$V33,"")</f>
        <v/>
      </c>
      <c r="AQ33" s="48">
        <f>IF(AND($G33&lt;&gt;"",$W33&lt;&gt;"",AQ$2&gt;=$G33,AQ$2&lt;=$W33,WEEKDAY(AQ$2,2)&lt;6),$R33/$V33,"")</f>
        <v/>
      </c>
      <c r="AR33" s="48">
        <f>IF(AND($G33&lt;&gt;"",$W33&lt;&gt;"",AR$2&gt;=$G33,AR$2&lt;=$W33,WEEKDAY(AR$2,2)&lt;6),$R33/$V33,"")</f>
        <v/>
      </c>
      <c r="AS33" s="48">
        <f>IF(AND($G33&lt;&gt;"",$W33&lt;&gt;"",AS$2&gt;=$G33,AS$2&lt;=$W33,WEEKDAY(AS$2,2)&lt;6),$R33/$V33,"")</f>
        <v/>
      </c>
      <c r="AT33" s="48">
        <f>IF(AND($G33&lt;&gt;"",$W33&lt;&gt;"",AT$2&gt;=$G33,AT$2&lt;=$W33,WEEKDAY(AT$2,2)&lt;6),$R33/$V33,"")</f>
        <v/>
      </c>
      <c r="AU33" s="48">
        <f>IF(AND($G33&lt;&gt;"",$W33&lt;&gt;"",AU$2&gt;=$G33,AU$2&lt;=$W33,WEEKDAY(AU$2,2)&lt;6),$R33/$V33,"")</f>
        <v/>
      </c>
      <c r="AV33" s="48">
        <f>IF(AND($G33&lt;&gt;"",$W33&lt;&gt;"",AV$2&gt;=$G33,AV$2&lt;=$W33,WEEKDAY(AV$2,2)&lt;6),$R33/$V33,"")</f>
        <v/>
      </c>
      <c r="AW33" s="48">
        <f>IF(AND($G33&lt;&gt;"",$W33&lt;&gt;"",AW$2&gt;=$G33,AW$2&lt;=$W33,WEEKDAY(AW$2,2)&lt;6),$R33/$V33,"")</f>
        <v/>
      </c>
      <c r="AX33" s="48">
        <f>IF(AND($G33&lt;&gt;"",$W33&lt;&gt;"",AX$2&gt;=$G33,AX$2&lt;=$W33,WEEKDAY(AX$2,2)&lt;6),$R33/$V33,"")</f>
        <v/>
      </c>
      <c r="AY33" s="48">
        <f>IF(AND($G33&lt;&gt;"",$W33&lt;&gt;"",AY$2&gt;=$G33,AY$2&lt;=$W33,WEEKDAY(AY$2,2)&lt;6),$R33/$V33,"")</f>
        <v/>
      </c>
      <c r="AZ33" s="48">
        <f>IF(AND($G33&lt;&gt;"",$W33&lt;&gt;"",AZ$2&gt;=$G33,AZ$2&lt;=$W33,WEEKDAY(AZ$2,2)&lt;6),$R33/$V33,"")</f>
        <v/>
      </c>
      <c r="BA33" s="48">
        <f>IF(AND($G33&lt;&gt;"",$W33&lt;&gt;"",BA$2&gt;=$G33,BA$2&lt;=$W33,WEEKDAY(BA$2,2)&lt;6),$R33/$V33,"")</f>
        <v/>
      </c>
      <c r="BB33" s="48">
        <f>IF(AND($G33&lt;&gt;"",$W33&lt;&gt;"",BB$2&gt;=$G33,BB$2&lt;=$W33,WEEKDAY(BB$2,2)&lt;6),$R33/$V33,"")</f>
        <v/>
      </c>
      <c r="BC33" s="48">
        <f>IF(AND($G33&lt;&gt;"",$W33&lt;&gt;"",BC$2&gt;=$G33,BC$2&lt;=$W33,WEEKDAY(BC$2,2)&lt;6),$R33/$V33,"")</f>
        <v/>
      </c>
      <c r="BD33" s="48">
        <f>IF(AND($G33&lt;&gt;"",$W33&lt;&gt;"",BD$2&gt;=$G33,BD$2&lt;=$W33,WEEKDAY(BD$2,2)&lt;6),$R33/$V33,"")</f>
        <v/>
      </c>
      <c r="BE33" s="48">
        <f>IF(AND($G33&lt;&gt;"",$W33&lt;&gt;"",BE$2&gt;=$G33,BE$2&lt;=$W33,WEEKDAY(BE$2,2)&lt;6),$R33/$V33,"")</f>
        <v/>
      </c>
    </row>
    <row r="34">
      <c r="A34" s="40">
        <f>IF(F34="","",COUNTA($F$8:F34))</f>
        <v/>
      </c>
      <c r="B34" s="41">
        <f>IF(G34="","",MONTH(G34))</f>
        <v/>
      </c>
      <c r="C34" s="42" t="n"/>
      <c r="D34" s="43" t="n"/>
      <c r="E34" s="43" t="n"/>
      <c r="F34" s="42" t="n"/>
      <c r="G34" s="44" t="n"/>
      <c r="H34" s="44" t="n"/>
      <c r="I34" s="43" t="n"/>
      <c r="J34" s="43" t="n"/>
      <c r="K34" s="43" t="n"/>
      <c r="L34" s="42" t="n"/>
      <c r="M34" s="45" t="n"/>
      <c r="N34" s="42" t="n"/>
      <c r="O34" s="45" t="n"/>
      <c r="P34" s="42" t="n"/>
      <c r="Q34" s="45" t="n"/>
      <c r="R34" s="46">
        <f>IF(SUM(M34,O34,Q34)=0,"",SUM(M34,O34,Q34))</f>
        <v/>
      </c>
      <c r="S34" s="41">
        <f>IF(M34&gt;0,"영 ","")&amp;IF(O34&gt;0,"이 ","")&amp;IF(Q34&gt;0,"기 ","")</f>
        <v/>
      </c>
      <c r="T34" s="40">
        <f>IF(G34="","","W"&amp;ROUNDUP(DAY(G34)/7,0))</f>
        <v/>
      </c>
      <c r="U34" s="43" t="n"/>
      <c r="V34" s="40">
        <f>IF(R34="",0,ROUNDUP(MAX(M34,O34,Q34)/'마스터'!$J$6,0))</f>
        <v/>
      </c>
      <c r="W34" s="47">
        <f>IF(OR(G34="",V34=0),"",WORKDAY(G34,V34-1))</f>
        <v/>
      </c>
      <c r="X34" s="41">
        <f>IF(OR(H34="",W34=""),"",H34-W34)</f>
        <v/>
      </c>
      <c r="Y34" s="42" t="n"/>
      <c r="AA34" s="48">
        <f>IF(AND($G34&lt;&gt;"",$W34&lt;&gt;"",AA$2&gt;=$G34,AA$2&lt;=$W34,WEEKDAY(AA$2,2)&lt;6),$R34/$V34,"")</f>
        <v/>
      </c>
      <c r="AB34" s="48">
        <f>IF(AND($G34&lt;&gt;"",$W34&lt;&gt;"",AB$2&gt;=$G34,AB$2&lt;=$W34,WEEKDAY(AB$2,2)&lt;6),$R34/$V34,"")</f>
        <v/>
      </c>
      <c r="AC34" s="48">
        <f>IF(AND($G34&lt;&gt;"",$W34&lt;&gt;"",AC$2&gt;=$G34,AC$2&lt;=$W34,WEEKDAY(AC$2,2)&lt;6),$R34/$V34,"")</f>
        <v/>
      </c>
      <c r="AD34" s="48">
        <f>IF(AND($G34&lt;&gt;"",$W34&lt;&gt;"",AD$2&gt;=$G34,AD$2&lt;=$W34,WEEKDAY(AD$2,2)&lt;6),$R34/$V34,"")</f>
        <v/>
      </c>
      <c r="AE34" s="48">
        <f>IF(AND($G34&lt;&gt;"",$W34&lt;&gt;"",AE$2&gt;=$G34,AE$2&lt;=$W34,WEEKDAY(AE$2,2)&lt;6),$R34/$V34,"")</f>
        <v/>
      </c>
      <c r="AF34" s="48">
        <f>IF(AND($G34&lt;&gt;"",$W34&lt;&gt;"",AF$2&gt;=$G34,AF$2&lt;=$W34,WEEKDAY(AF$2,2)&lt;6),$R34/$V34,"")</f>
        <v/>
      </c>
      <c r="AG34" s="48">
        <f>IF(AND($G34&lt;&gt;"",$W34&lt;&gt;"",AG$2&gt;=$G34,AG$2&lt;=$W34,WEEKDAY(AG$2,2)&lt;6),$R34/$V34,"")</f>
        <v/>
      </c>
      <c r="AH34" s="48">
        <f>IF(AND($G34&lt;&gt;"",$W34&lt;&gt;"",AH$2&gt;=$G34,AH$2&lt;=$W34,WEEKDAY(AH$2,2)&lt;6),$R34/$V34,"")</f>
        <v/>
      </c>
      <c r="AI34" s="48">
        <f>IF(AND($G34&lt;&gt;"",$W34&lt;&gt;"",AI$2&gt;=$G34,AI$2&lt;=$W34,WEEKDAY(AI$2,2)&lt;6),$R34/$V34,"")</f>
        <v/>
      </c>
      <c r="AJ34" s="48">
        <f>IF(AND($G34&lt;&gt;"",$W34&lt;&gt;"",AJ$2&gt;=$G34,AJ$2&lt;=$W34,WEEKDAY(AJ$2,2)&lt;6),$R34/$V34,"")</f>
        <v/>
      </c>
      <c r="AK34" s="48">
        <f>IF(AND($G34&lt;&gt;"",$W34&lt;&gt;"",AK$2&gt;=$G34,AK$2&lt;=$W34,WEEKDAY(AK$2,2)&lt;6),$R34/$V34,"")</f>
        <v/>
      </c>
      <c r="AL34" s="48">
        <f>IF(AND($G34&lt;&gt;"",$W34&lt;&gt;"",AL$2&gt;=$G34,AL$2&lt;=$W34,WEEKDAY(AL$2,2)&lt;6),$R34/$V34,"")</f>
        <v/>
      </c>
      <c r="AM34" s="48">
        <f>IF(AND($G34&lt;&gt;"",$W34&lt;&gt;"",AM$2&gt;=$G34,AM$2&lt;=$W34,WEEKDAY(AM$2,2)&lt;6),$R34/$V34,"")</f>
        <v/>
      </c>
      <c r="AN34" s="48">
        <f>IF(AND($G34&lt;&gt;"",$W34&lt;&gt;"",AN$2&gt;=$G34,AN$2&lt;=$W34,WEEKDAY(AN$2,2)&lt;6),$R34/$V34,"")</f>
        <v/>
      </c>
      <c r="AO34" s="48">
        <f>IF(AND($G34&lt;&gt;"",$W34&lt;&gt;"",AO$2&gt;=$G34,AO$2&lt;=$W34,WEEKDAY(AO$2,2)&lt;6),$R34/$V34,"")</f>
        <v/>
      </c>
      <c r="AP34" s="48">
        <f>IF(AND($G34&lt;&gt;"",$W34&lt;&gt;"",AP$2&gt;=$G34,AP$2&lt;=$W34,WEEKDAY(AP$2,2)&lt;6),$R34/$V34,"")</f>
        <v/>
      </c>
      <c r="AQ34" s="48">
        <f>IF(AND($G34&lt;&gt;"",$W34&lt;&gt;"",AQ$2&gt;=$G34,AQ$2&lt;=$W34,WEEKDAY(AQ$2,2)&lt;6),$R34/$V34,"")</f>
        <v/>
      </c>
      <c r="AR34" s="48">
        <f>IF(AND($G34&lt;&gt;"",$W34&lt;&gt;"",AR$2&gt;=$G34,AR$2&lt;=$W34,WEEKDAY(AR$2,2)&lt;6),$R34/$V34,"")</f>
        <v/>
      </c>
      <c r="AS34" s="48">
        <f>IF(AND($G34&lt;&gt;"",$W34&lt;&gt;"",AS$2&gt;=$G34,AS$2&lt;=$W34,WEEKDAY(AS$2,2)&lt;6),$R34/$V34,"")</f>
        <v/>
      </c>
      <c r="AT34" s="48">
        <f>IF(AND($G34&lt;&gt;"",$W34&lt;&gt;"",AT$2&gt;=$G34,AT$2&lt;=$W34,WEEKDAY(AT$2,2)&lt;6),$R34/$V34,"")</f>
        <v/>
      </c>
      <c r="AU34" s="48">
        <f>IF(AND($G34&lt;&gt;"",$W34&lt;&gt;"",AU$2&gt;=$G34,AU$2&lt;=$W34,WEEKDAY(AU$2,2)&lt;6),$R34/$V34,"")</f>
        <v/>
      </c>
      <c r="AV34" s="48">
        <f>IF(AND($G34&lt;&gt;"",$W34&lt;&gt;"",AV$2&gt;=$G34,AV$2&lt;=$W34,WEEKDAY(AV$2,2)&lt;6),$R34/$V34,"")</f>
        <v/>
      </c>
      <c r="AW34" s="48">
        <f>IF(AND($G34&lt;&gt;"",$W34&lt;&gt;"",AW$2&gt;=$G34,AW$2&lt;=$W34,WEEKDAY(AW$2,2)&lt;6),$R34/$V34,"")</f>
        <v/>
      </c>
      <c r="AX34" s="48">
        <f>IF(AND($G34&lt;&gt;"",$W34&lt;&gt;"",AX$2&gt;=$G34,AX$2&lt;=$W34,WEEKDAY(AX$2,2)&lt;6),$R34/$V34,"")</f>
        <v/>
      </c>
      <c r="AY34" s="48">
        <f>IF(AND($G34&lt;&gt;"",$W34&lt;&gt;"",AY$2&gt;=$G34,AY$2&lt;=$W34,WEEKDAY(AY$2,2)&lt;6),$R34/$V34,"")</f>
        <v/>
      </c>
      <c r="AZ34" s="48">
        <f>IF(AND($G34&lt;&gt;"",$W34&lt;&gt;"",AZ$2&gt;=$G34,AZ$2&lt;=$W34,WEEKDAY(AZ$2,2)&lt;6),$R34/$V34,"")</f>
        <v/>
      </c>
      <c r="BA34" s="48">
        <f>IF(AND($G34&lt;&gt;"",$W34&lt;&gt;"",BA$2&gt;=$G34,BA$2&lt;=$W34,WEEKDAY(BA$2,2)&lt;6),$R34/$V34,"")</f>
        <v/>
      </c>
      <c r="BB34" s="48">
        <f>IF(AND($G34&lt;&gt;"",$W34&lt;&gt;"",BB$2&gt;=$G34,BB$2&lt;=$W34,WEEKDAY(BB$2,2)&lt;6),$R34/$V34,"")</f>
        <v/>
      </c>
      <c r="BC34" s="48">
        <f>IF(AND($G34&lt;&gt;"",$W34&lt;&gt;"",BC$2&gt;=$G34,BC$2&lt;=$W34,WEEKDAY(BC$2,2)&lt;6),$R34/$V34,"")</f>
        <v/>
      </c>
      <c r="BD34" s="48">
        <f>IF(AND($G34&lt;&gt;"",$W34&lt;&gt;"",BD$2&gt;=$G34,BD$2&lt;=$W34,WEEKDAY(BD$2,2)&lt;6),$R34/$V34,"")</f>
        <v/>
      </c>
      <c r="BE34" s="48">
        <f>IF(AND($G34&lt;&gt;"",$W34&lt;&gt;"",BE$2&gt;=$G34,BE$2&lt;=$W34,WEEKDAY(BE$2,2)&lt;6),$R34/$V34,"")</f>
        <v/>
      </c>
    </row>
    <row r="35">
      <c r="A35" s="40">
        <f>IF(F35="","",COUNTA($F$8:F35))</f>
        <v/>
      </c>
      <c r="B35" s="41">
        <f>IF(G35="","",MONTH(G35))</f>
        <v/>
      </c>
      <c r="C35" s="42" t="n"/>
      <c r="D35" s="43" t="n"/>
      <c r="E35" s="43" t="n"/>
      <c r="F35" s="42" t="n"/>
      <c r="G35" s="44" t="n"/>
      <c r="H35" s="44" t="n"/>
      <c r="I35" s="43" t="n"/>
      <c r="J35" s="43" t="n"/>
      <c r="K35" s="43" t="n"/>
      <c r="L35" s="42" t="n"/>
      <c r="M35" s="45" t="n"/>
      <c r="N35" s="42" t="n"/>
      <c r="O35" s="45" t="n"/>
      <c r="P35" s="42" t="n"/>
      <c r="Q35" s="45" t="n"/>
      <c r="R35" s="46">
        <f>IF(SUM(M35,O35,Q35)=0,"",SUM(M35,O35,Q35))</f>
        <v/>
      </c>
      <c r="S35" s="41">
        <f>IF(M35&gt;0,"영 ","")&amp;IF(O35&gt;0,"이 ","")&amp;IF(Q35&gt;0,"기 ","")</f>
        <v/>
      </c>
      <c r="T35" s="40">
        <f>IF(G35="","","W"&amp;ROUNDUP(DAY(G35)/7,0))</f>
        <v/>
      </c>
      <c r="U35" s="43" t="n"/>
      <c r="V35" s="40">
        <f>IF(R35="",0,ROUNDUP(MAX(M35,O35,Q35)/'마스터'!$J$6,0))</f>
        <v/>
      </c>
      <c r="W35" s="47">
        <f>IF(OR(G35="",V35=0),"",WORKDAY(G35,V35-1))</f>
        <v/>
      </c>
      <c r="X35" s="41">
        <f>IF(OR(H35="",W35=""),"",H35-W35)</f>
        <v/>
      </c>
      <c r="Y35" s="42" t="n"/>
      <c r="AA35" s="48">
        <f>IF(AND($G35&lt;&gt;"",$W35&lt;&gt;"",AA$2&gt;=$G35,AA$2&lt;=$W35,WEEKDAY(AA$2,2)&lt;6),$R35/$V35,"")</f>
        <v/>
      </c>
      <c r="AB35" s="48">
        <f>IF(AND($G35&lt;&gt;"",$W35&lt;&gt;"",AB$2&gt;=$G35,AB$2&lt;=$W35,WEEKDAY(AB$2,2)&lt;6),$R35/$V35,"")</f>
        <v/>
      </c>
      <c r="AC35" s="48">
        <f>IF(AND($G35&lt;&gt;"",$W35&lt;&gt;"",AC$2&gt;=$G35,AC$2&lt;=$W35,WEEKDAY(AC$2,2)&lt;6),$R35/$V35,"")</f>
        <v/>
      </c>
      <c r="AD35" s="48">
        <f>IF(AND($G35&lt;&gt;"",$W35&lt;&gt;"",AD$2&gt;=$G35,AD$2&lt;=$W35,WEEKDAY(AD$2,2)&lt;6),$R35/$V35,"")</f>
        <v/>
      </c>
      <c r="AE35" s="48">
        <f>IF(AND($G35&lt;&gt;"",$W35&lt;&gt;"",AE$2&gt;=$G35,AE$2&lt;=$W35,WEEKDAY(AE$2,2)&lt;6),$R35/$V35,"")</f>
        <v/>
      </c>
      <c r="AF35" s="48">
        <f>IF(AND($G35&lt;&gt;"",$W35&lt;&gt;"",AF$2&gt;=$G35,AF$2&lt;=$W35,WEEKDAY(AF$2,2)&lt;6),$R35/$V35,"")</f>
        <v/>
      </c>
      <c r="AG35" s="48">
        <f>IF(AND($G35&lt;&gt;"",$W35&lt;&gt;"",AG$2&gt;=$G35,AG$2&lt;=$W35,WEEKDAY(AG$2,2)&lt;6),$R35/$V35,"")</f>
        <v/>
      </c>
      <c r="AH35" s="48">
        <f>IF(AND($G35&lt;&gt;"",$W35&lt;&gt;"",AH$2&gt;=$G35,AH$2&lt;=$W35,WEEKDAY(AH$2,2)&lt;6),$R35/$V35,"")</f>
        <v/>
      </c>
      <c r="AI35" s="48">
        <f>IF(AND($G35&lt;&gt;"",$W35&lt;&gt;"",AI$2&gt;=$G35,AI$2&lt;=$W35,WEEKDAY(AI$2,2)&lt;6),$R35/$V35,"")</f>
        <v/>
      </c>
      <c r="AJ35" s="48">
        <f>IF(AND($G35&lt;&gt;"",$W35&lt;&gt;"",AJ$2&gt;=$G35,AJ$2&lt;=$W35,WEEKDAY(AJ$2,2)&lt;6),$R35/$V35,"")</f>
        <v/>
      </c>
      <c r="AK35" s="48">
        <f>IF(AND($G35&lt;&gt;"",$W35&lt;&gt;"",AK$2&gt;=$G35,AK$2&lt;=$W35,WEEKDAY(AK$2,2)&lt;6),$R35/$V35,"")</f>
        <v/>
      </c>
      <c r="AL35" s="48">
        <f>IF(AND($G35&lt;&gt;"",$W35&lt;&gt;"",AL$2&gt;=$G35,AL$2&lt;=$W35,WEEKDAY(AL$2,2)&lt;6),$R35/$V35,"")</f>
        <v/>
      </c>
      <c r="AM35" s="48">
        <f>IF(AND($G35&lt;&gt;"",$W35&lt;&gt;"",AM$2&gt;=$G35,AM$2&lt;=$W35,WEEKDAY(AM$2,2)&lt;6),$R35/$V35,"")</f>
        <v/>
      </c>
      <c r="AN35" s="48">
        <f>IF(AND($G35&lt;&gt;"",$W35&lt;&gt;"",AN$2&gt;=$G35,AN$2&lt;=$W35,WEEKDAY(AN$2,2)&lt;6),$R35/$V35,"")</f>
        <v/>
      </c>
      <c r="AO35" s="48">
        <f>IF(AND($G35&lt;&gt;"",$W35&lt;&gt;"",AO$2&gt;=$G35,AO$2&lt;=$W35,WEEKDAY(AO$2,2)&lt;6),$R35/$V35,"")</f>
        <v/>
      </c>
      <c r="AP35" s="48">
        <f>IF(AND($G35&lt;&gt;"",$W35&lt;&gt;"",AP$2&gt;=$G35,AP$2&lt;=$W35,WEEKDAY(AP$2,2)&lt;6),$R35/$V35,"")</f>
        <v/>
      </c>
      <c r="AQ35" s="48">
        <f>IF(AND($G35&lt;&gt;"",$W35&lt;&gt;"",AQ$2&gt;=$G35,AQ$2&lt;=$W35,WEEKDAY(AQ$2,2)&lt;6),$R35/$V35,"")</f>
        <v/>
      </c>
      <c r="AR35" s="48">
        <f>IF(AND($G35&lt;&gt;"",$W35&lt;&gt;"",AR$2&gt;=$G35,AR$2&lt;=$W35,WEEKDAY(AR$2,2)&lt;6),$R35/$V35,"")</f>
        <v/>
      </c>
      <c r="AS35" s="48">
        <f>IF(AND($G35&lt;&gt;"",$W35&lt;&gt;"",AS$2&gt;=$G35,AS$2&lt;=$W35,WEEKDAY(AS$2,2)&lt;6),$R35/$V35,"")</f>
        <v/>
      </c>
      <c r="AT35" s="48">
        <f>IF(AND($G35&lt;&gt;"",$W35&lt;&gt;"",AT$2&gt;=$G35,AT$2&lt;=$W35,WEEKDAY(AT$2,2)&lt;6),$R35/$V35,"")</f>
        <v/>
      </c>
      <c r="AU35" s="48">
        <f>IF(AND($G35&lt;&gt;"",$W35&lt;&gt;"",AU$2&gt;=$G35,AU$2&lt;=$W35,WEEKDAY(AU$2,2)&lt;6),$R35/$V35,"")</f>
        <v/>
      </c>
      <c r="AV35" s="48">
        <f>IF(AND($G35&lt;&gt;"",$W35&lt;&gt;"",AV$2&gt;=$G35,AV$2&lt;=$W35,WEEKDAY(AV$2,2)&lt;6),$R35/$V35,"")</f>
        <v/>
      </c>
      <c r="AW35" s="48">
        <f>IF(AND($G35&lt;&gt;"",$W35&lt;&gt;"",AW$2&gt;=$G35,AW$2&lt;=$W35,WEEKDAY(AW$2,2)&lt;6),$R35/$V35,"")</f>
        <v/>
      </c>
      <c r="AX35" s="48">
        <f>IF(AND($G35&lt;&gt;"",$W35&lt;&gt;"",AX$2&gt;=$G35,AX$2&lt;=$W35,WEEKDAY(AX$2,2)&lt;6),$R35/$V35,"")</f>
        <v/>
      </c>
      <c r="AY35" s="48">
        <f>IF(AND($G35&lt;&gt;"",$W35&lt;&gt;"",AY$2&gt;=$G35,AY$2&lt;=$W35,WEEKDAY(AY$2,2)&lt;6),$R35/$V35,"")</f>
        <v/>
      </c>
      <c r="AZ35" s="48">
        <f>IF(AND($G35&lt;&gt;"",$W35&lt;&gt;"",AZ$2&gt;=$G35,AZ$2&lt;=$W35,WEEKDAY(AZ$2,2)&lt;6),$R35/$V35,"")</f>
        <v/>
      </c>
      <c r="BA35" s="48">
        <f>IF(AND($G35&lt;&gt;"",$W35&lt;&gt;"",BA$2&gt;=$G35,BA$2&lt;=$W35,WEEKDAY(BA$2,2)&lt;6),$R35/$V35,"")</f>
        <v/>
      </c>
      <c r="BB35" s="48">
        <f>IF(AND($G35&lt;&gt;"",$W35&lt;&gt;"",BB$2&gt;=$G35,BB$2&lt;=$W35,WEEKDAY(BB$2,2)&lt;6),$R35/$V35,"")</f>
        <v/>
      </c>
      <c r="BC35" s="48">
        <f>IF(AND($G35&lt;&gt;"",$W35&lt;&gt;"",BC$2&gt;=$G35,BC$2&lt;=$W35,WEEKDAY(BC$2,2)&lt;6),$R35/$V35,"")</f>
        <v/>
      </c>
      <c r="BD35" s="48">
        <f>IF(AND($G35&lt;&gt;"",$W35&lt;&gt;"",BD$2&gt;=$G35,BD$2&lt;=$W35,WEEKDAY(BD$2,2)&lt;6),$R35/$V35,"")</f>
        <v/>
      </c>
      <c r="BE35" s="48">
        <f>IF(AND($G35&lt;&gt;"",$W35&lt;&gt;"",BE$2&gt;=$G35,BE$2&lt;=$W35,WEEKDAY(BE$2,2)&lt;6),$R35/$V35,"")</f>
        <v/>
      </c>
    </row>
    <row r="36">
      <c r="A36" s="40">
        <f>IF(F36="","",COUNTA($F$8:F36))</f>
        <v/>
      </c>
      <c r="B36" s="41">
        <f>IF(G36="","",MONTH(G36))</f>
        <v/>
      </c>
      <c r="C36" s="42" t="n"/>
      <c r="D36" s="43" t="n"/>
      <c r="E36" s="43" t="n"/>
      <c r="F36" s="42" t="n"/>
      <c r="G36" s="44" t="n"/>
      <c r="H36" s="44" t="n"/>
      <c r="I36" s="43" t="n"/>
      <c r="J36" s="43" t="n"/>
      <c r="K36" s="43" t="n"/>
      <c r="L36" s="42" t="n"/>
      <c r="M36" s="45" t="n"/>
      <c r="N36" s="42" t="n"/>
      <c r="O36" s="45" t="n"/>
      <c r="P36" s="42" t="n"/>
      <c r="Q36" s="45" t="n"/>
      <c r="R36" s="46">
        <f>IF(SUM(M36,O36,Q36)=0,"",SUM(M36,O36,Q36))</f>
        <v/>
      </c>
      <c r="S36" s="41">
        <f>IF(M36&gt;0,"영 ","")&amp;IF(O36&gt;0,"이 ","")&amp;IF(Q36&gt;0,"기 ","")</f>
        <v/>
      </c>
      <c r="T36" s="40">
        <f>IF(G36="","","W"&amp;ROUNDUP(DAY(G36)/7,0))</f>
        <v/>
      </c>
      <c r="U36" s="43" t="n"/>
      <c r="V36" s="40">
        <f>IF(R36="",0,ROUNDUP(MAX(M36,O36,Q36)/'마스터'!$J$6,0))</f>
        <v/>
      </c>
      <c r="W36" s="47">
        <f>IF(OR(G36="",V36=0),"",WORKDAY(G36,V36-1))</f>
        <v/>
      </c>
      <c r="X36" s="41">
        <f>IF(OR(H36="",W36=""),"",H36-W36)</f>
        <v/>
      </c>
      <c r="Y36" s="42" t="n"/>
      <c r="AA36" s="48">
        <f>IF(AND($G36&lt;&gt;"",$W36&lt;&gt;"",AA$2&gt;=$G36,AA$2&lt;=$W36,WEEKDAY(AA$2,2)&lt;6),$R36/$V36,"")</f>
        <v/>
      </c>
      <c r="AB36" s="48">
        <f>IF(AND($G36&lt;&gt;"",$W36&lt;&gt;"",AB$2&gt;=$G36,AB$2&lt;=$W36,WEEKDAY(AB$2,2)&lt;6),$R36/$V36,"")</f>
        <v/>
      </c>
      <c r="AC36" s="48">
        <f>IF(AND($G36&lt;&gt;"",$W36&lt;&gt;"",AC$2&gt;=$G36,AC$2&lt;=$W36,WEEKDAY(AC$2,2)&lt;6),$R36/$V36,"")</f>
        <v/>
      </c>
      <c r="AD36" s="48">
        <f>IF(AND($G36&lt;&gt;"",$W36&lt;&gt;"",AD$2&gt;=$G36,AD$2&lt;=$W36,WEEKDAY(AD$2,2)&lt;6),$R36/$V36,"")</f>
        <v/>
      </c>
      <c r="AE36" s="48">
        <f>IF(AND($G36&lt;&gt;"",$W36&lt;&gt;"",AE$2&gt;=$G36,AE$2&lt;=$W36,WEEKDAY(AE$2,2)&lt;6),$R36/$V36,"")</f>
        <v/>
      </c>
      <c r="AF36" s="48">
        <f>IF(AND($G36&lt;&gt;"",$W36&lt;&gt;"",AF$2&gt;=$G36,AF$2&lt;=$W36,WEEKDAY(AF$2,2)&lt;6),$R36/$V36,"")</f>
        <v/>
      </c>
      <c r="AG36" s="48">
        <f>IF(AND($G36&lt;&gt;"",$W36&lt;&gt;"",AG$2&gt;=$G36,AG$2&lt;=$W36,WEEKDAY(AG$2,2)&lt;6),$R36/$V36,"")</f>
        <v/>
      </c>
      <c r="AH36" s="48">
        <f>IF(AND($G36&lt;&gt;"",$W36&lt;&gt;"",AH$2&gt;=$G36,AH$2&lt;=$W36,WEEKDAY(AH$2,2)&lt;6),$R36/$V36,"")</f>
        <v/>
      </c>
      <c r="AI36" s="48">
        <f>IF(AND($G36&lt;&gt;"",$W36&lt;&gt;"",AI$2&gt;=$G36,AI$2&lt;=$W36,WEEKDAY(AI$2,2)&lt;6),$R36/$V36,"")</f>
        <v/>
      </c>
      <c r="AJ36" s="48">
        <f>IF(AND($G36&lt;&gt;"",$W36&lt;&gt;"",AJ$2&gt;=$G36,AJ$2&lt;=$W36,WEEKDAY(AJ$2,2)&lt;6),$R36/$V36,"")</f>
        <v/>
      </c>
      <c r="AK36" s="48">
        <f>IF(AND($G36&lt;&gt;"",$W36&lt;&gt;"",AK$2&gt;=$G36,AK$2&lt;=$W36,WEEKDAY(AK$2,2)&lt;6),$R36/$V36,"")</f>
        <v/>
      </c>
      <c r="AL36" s="48">
        <f>IF(AND($G36&lt;&gt;"",$W36&lt;&gt;"",AL$2&gt;=$G36,AL$2&lt;=$W36,WEEKDAY(AL$2,2)&lt;6),$R36/$V36,"")</f>
        <v/>
      </c>
      <c r="AM36" s="48">
        <f>IF(AND($G36&lt;&gt;"",$W36&lt;&gt;"",AM$2&gt;=$G36,AM$2&lt;=$W36,WEEKDAY(AM$2,2)&lt;6),$R36/$V36,"")</f>
        <v/>
      </c>
      <c r="AN36" s="48">
        <f>IF(AND($G36&lt;&gt;"",$W36&lt;&gt;"",AN$2&gt;=$G36,AN$2&lt;=$W36,WEEKDAY(AN$2,2)&lt;6),$R36/$V36,"")</f>
        <v/>
      </c>
      <c r="AO36" s="48">
        <f>IF(AND($G36&lt;&gt;"",$W36&lt;&gt;"",AO$2&gt;=$G36,AO$2&lt;=$W36,WEEKDAY(AO$2,2)&lt;6),$R36/$V36,"")</f>
        <v/>
      </c>
      <c r="AP36" s="48">
        <f>IF(AND($G36&lt;&gt;"",$W36&lt;&gt;"",AP$2&gt;=$G36,AP$2&lt;=$W36,WEEKDAY(AP$2,2)&lt;6),$R36/$V36,"")</f>
        <v/>
      </c>
      <c r="AQ36" s="48">
        <f>IF(AND($G36&lt;&gt;"",$W36&lt;&gt;"",AQ$2&gt;=$G36,AQ$2&lt;=$W36,WEEKDAY(AQ$2,2)&lt;6),$R36/$V36,"")</f>
        <v/>
      </c>
      <c r="AR36" s="48">
        <f>IF(AND($G36&lt;&gt;"",$W36&lt;&gt;"",AR$2&gt;=$G36,AR$2&lt;=$W36,WEEKDAY(AR$2,2)&lt;6),$R36/$V36,"")</f>
        <v/>
      </c>
      <c r="AS36" s="48">
        <f>IF(AND($G36&lt;&gt;"",$W36&lt;&gt;"",AS$2&gt;=$G36,AS$2&lt;=$W36,WEEKDAY(AS$2,2)&lt;6),$R36/$V36,"")</f>
        <v/>
      </c>
      <c r="AT36" s="48">
        <f>IF(AND($G36&lt;&gt;"",$W36&lt;&gt;"",AT$2&gt;=$G36,AT$2&lt;=$W36,WEEKDAY(AT$2,2)&lt;6),$R36/$V36,"")</f>
        <v/>
      </c>
      <c r="AU36" s="48">
        <f>IF(AND($G36&lt;&gt;"",$W36&lt;&gt;"",AU$2&gt;=$G36,AU$2&lt;=$W36,WEEKDAY(AU$2,2)&lt;6),$R36/$V36,"")</f>
        <v/>
      </c>
      <c r="AV36" s="48">
        <f>IF(AND($G36&lt;&gt;"",$W36&lt;&gt;"",AV$2&gt;=$G36,AV$2&lt;=$W36,WEEKDAY(AV$2,2)&lt;6),$R36/$V36,"")</f>
        <v/>
      </c>
      <c r="AW36" s="48">
        <f>IF(AND($G36&lt;&gt;"",$W36&lt;&gt;"",AW$2&gt;=$G36,AW$2&lt;=$W36,WEEKDAY(AW$2,2)&lt;6),$R36/$V36,"")</f>
        <v/>
      </c>
      <c r="AX36" s="48">
        <f>IF(AND($G36&lt;&gt;"",$W36&lt;&gt;"",AX$2&gt;=$G36,AX$2&lt;=$W36,WEEKDAY(AX$2,2)&lt;6),$R36/$V36,"")</f>
        <v/>
      </c>
      <c r="AY36" s="48">
        <f>IF(AND($G36&lt;&gt;"",$W36&lt;&gt;"",AY$2&gt;=$G36,AY$2&lt;=$W36,WEEKDAY(AY$2,2)&lt;6),$R36/$V36,"")</f>
        <v/>
      </c>
      <c r="AZ36" s="48">
        <f>IF(AND($G36&lt;&gt;"",$W36&lt;&gt;"",AZ$2&gt;=$G36,AZ$2&lt;=$W36,WEEKDAY(AZ$2,2)&lt;6),$R36/$V36,"")</f>
        <v/>
      </c>
      <c r="BA36" s="48">
        <f>IF(AND($G36&lt;&gt;"",$W36&lt;&gt;"",BA$2&gt;=$G36,BA$2&lt;=$W36,WEEKDAY(BA$2,2)&lt;6),$R36/$V36,"")</f>
        <v/>
      </c>
      <c r="BB36" s="48">
        <f>IF(AND($G36&lt;&gt;"",$W36&lt;&gt;"",BB$2&gt;=$G36,BB$2&lt;=$W36,WEEKDAY(BB$2,2)&lt;6),$R36/$V36,"")</f>
        <v/>
      </c>
      <c r="BC36" s="48">
        <f>IF(AND($G36&lt;&gt;"",$W36&lt;&gt;"",BC$2&gt;=$G36,BC$2&lt;=$W36,WEEKDAY(BC$2,2)&lt;6),$R36/$V36,"")</f>
        <v/>
      </c>
      <c r="BD36" s="48">
        <f>IF(AND($G36&lt;&gt;"",$W36&lt;&gt;"",BD$2&gt;=$G36,BD$2&lt;=$W36,WEEKDAY(BD$2,2)&lt;6),$R36/$V36,"")</f>
        <v/>
      </c>
      <c r="BE36" s="48">
        <f>IF(AND($G36&lt;&gt;"",$W36&lt;&gt;"",BE$2&gt;=$G36,BE$2&lt;=$W36,WEEKDAY(BE$2,2)&lt;6),$R36/$V36,"")</f>
        <v/>
      </c>
    </row>
    <row r="37">
      <c r="A37" s="40">
        <f>IF(F37="","",COUNTA($F$8:F37))</f>
        <v/>
      </c>
      <c r="B37" s="41">
        <f>IF(G37="","",MONTH(G37))</f>
        <v/>
      </c>
      <c r="C37" s="42" t="n"/>
      <c r="D37" s="43" t="n"/>
      <c r="E37" s="43" t="n"/>
      <c r="F37" s="42" t="n"/>
      <c r="G37" s="44" t="n"/>
      <c r="H37" s="44" t="n"/>
      <c r="I37" s="43" t="n"/>
      <c r="J37" s="43" t="n"/>
      <c r="K37" s="43" t="n"/>
      <c r="L37" s="42" t="n"/>
      <c r="M37" s="45" t="n"/>
      <c r="N37" s="42" t="n"/>
      <c r="O37" s="45" t="n"/>
      <c r="P37" s="42" t="n"/>
      <c r="Q37" s="45" t="n"/>
      <c r="R37" s="46">
        <f>IF(SUM(M37,O37,Q37)=0,"",SUM(M37,O37,Q37))</f>
        <v/>
      </c>
      <c r="S37" s="41">
        <f>IF(M37&gt;0,"영 ","")&amp;IF(O37&gt;0,"이 ","")&amp;IF(Q37&gt;0,"기 ","")</f>
        <v/>
      </c>
      <c r="T37" s="40">
        <f>IF(G37="","","W"&amp;ROUNDUP(DAY(G37)/7,0))</f>
        <v/>
      </c>
      <c r="U37" s="43" t="n"/>
      <c r="V37" s="40">
        <f>IF(R37="",0,ROUNDUP(MAX(M37,O37,Q37)/'마스터'!$J$6,0))</f>
        <v/>
      </c>
      <c r="W37" s="47">
        <f>IF(OR(G37="",V37=0),"",WORKDAY(G37,V37-1))</f>
        <v/>
      </c>
      <c r="X37" s="41">
        <f>IF(OR(H37="",W37=""),"",H37-W37)</f>
        <v/>
      </c>
      <c r="Y37" s="42" t="n"/>
      <c r="AA37" s="48">
        <f>IF(AND($G37&lt;&gt;"",$W37&lt;&gt;"",AA$2&gt;=$G37,AA$2&lt;=$W37,WEEKDAY(AA$2,2)&lt;6),$R37/$V37,"")</f>
        <v/>
      </c>
      <c r="AB37" s="48">
        <f>IF(AND($G37&lt;&gt;"",$W37&lt;&gt;"",AB$2&gt;=$G37,AB$2&lt;=$W37,WEEKDAY(AB$2,2)&lt;6),$R37/$V37,"")</f>
        <v/>
      </c>
      <c r="AC37" s="48">
        <f>IF(AND($G37&lt;&gt;"",$W37&lt;&gt;"",AC$2&gt;=$G37,AC$2&lt;=$W37,WEEKDAY(AC$2,2)&lt;6),$R37/$V37,"")</f>
        <v/>
      </c>
      <c r="AD37" s="48">
        <f>IF(AND($G37&lt;&gt;"",$W37&lt;&gt;"",AD$2&gt;=$G37,AD$2&lt;=$W37,WEEKDAY(AD$2,2)&lt;6),$R37/$V37,"")</f>
        <v/>
      </c>
      <c r="AE37" s="48">
        <f>IF(AND($G37&lt;&gt;"",$W37&lt;&gt;"",AE$2&gt;=$G37,AE$2&lt;=$W37,WEEKDAY(AE$2,2)&lt;6),$R37/$V37,"")</f>
        <v/>
      </c>
      <c r="AF37" s="48">
        <f>IF(AND($G37&lt;&gt;"",$W37&lt;&gt;"",AF$2&gt;=$G37,AF$2&lt;=$W37,WEEKDAY(AF$2,2)&lt;6),$R37/$V37,"")</f>
        <v/>
      </c>
      <c r="AG37" s="48">
        <f>IF(AND($G37&lt;&gt;"",$W37&lt;&gt;"",AG$2&gt;=$G37,AG$2&lt;=$W37,WEEKDAY(AG$2,2)&lt;6),$R37/$V37,"")</f>
        <v/>
      </c>
      <c r="AH37" s="48">
        <f>IF(AND($G37&lt;&gt;"",$W37&lt;&gt;"",AH$2&gt;=$G37,AH$2&lt;=$W37,WEEKDAY(AH$2,2)&lt;6),$R37/$V37,"")</f>
        <v/>
      </c>
      <c r="AI37" s="48">
        <f>IF(AND($G37&lt;&gt;"",$W37&lt;&gt;"",AI$2&gt;=$G37,AI$2&lt;=$W37,WEEKDAY(AI$2,2)&lt;6),$R37/$V37,"")</f>
        <v/>
      </c>
      <c r="AJ37" s="48">
        <f>IF(AND($G37&lt;&gt;"",$W37&lt;&gt;"",AJ$2&gt;=$G37,AJ$2&lt;=$W37,WEEKDAY(AJ$2,2)&lt;6),$R37/$V37,"")</f>
        <v/>
      </c>
      <c r="AK37" s="48">
        <f>IF(AND($G37&lt;&gt;"",$W37&lt;&gt;"",AK$2&gt;=$G37,AK$2&lt;=$W37,WEEKDAY(AK$2,2)&lt;6),$R37/$V37,"")</f>
        <v/>
      </c>
      <c r="AL37" s="48">
        <f>IF(AND($G37&lt;&gt;"",$W37&lt;&gt;"",AL$2&gt;=$G37,AL$2&lt;=$W37,WEEKDAY(AL$2,2)&lt;6),$R37/$V37,"")</f>
        <v/>
      </c>
      <c r="AM37" s="48">
        <f>IF(AND($G37&lt;&gt;"",$W37&lt;&gt;"",AM$2&gt;=$G37,AM$2&lt;=$W37,WEEKDAY(AM$2,2)&lt;6),$R37/$V37,"")</f>
        <v/>
      </c>
      <c r="AN37" s="48">
        <f>IF(AND($G37&lt;&gt;"",$W37&lt;&gt;"",AN$2&gt;=$G37,AN$2&lt;=$W37,WEEKDAY(AN$2,2)&lt;6),$R37/$V37,"")</f>
        <v/>
      </c>
      <c r="AO37" s="48">
        <f>IF(AND($G37&lt;&gt;"",$W37&lt;&gt;"",AO$2&gt;=$G37,AO$2&lt;=$W37,WEEKDAY(AO$2,2)&lt;6),$R37/$V37,"")</f>
        <v/>
      </c>
      <c r="AP37" s="48">
        <f>IF(AND($G37&lt;&gt;"",$W37&lt;&gt;"",AP$2&gt;=$G37,AP$2&lt;=$W37,WEEKDAY(AP$2,2)&lt;6),$R37/$V37,"")</f>
        <v/>
      </c>
      <c r="AQ37" s="48">
        <f>IF(AND($G37&lt;&gt;"",$W37&lt;&gt;"",AQ$2&gt;=$G37,AQ$2&lt;=$W37,WEEKDAY(AQ$2,2)&lt;6),$R37/$V37,"")</f>
        <v/>
      </c>
      <c r="AR37" s="48">
        <f>IF(AND($G37&lt;&gt;"",$W37&lt;&gt;"",AR$2&gt;=$G37,AR$2&lt;=$W37,WEEKDAY(AR$2,2)&lt;6),$R37/$V37,"")</f>
        <v/>
      </c>
      <c r="AS37" s="48">
        <f>IF(AND($G37&lt;&gt;"",$W37&lt;&gt;"",AS$2&gt;=$G37,AS$2&lt;=$W37,WEEKDAY(AS$2,2)&lt;6),$R37/$V37,"")</f>
        <v/>
      </c>
      <c r="AT37" s="48">
        <f>IF(AND($G37&lt;&gt;"",$W37&lt;&gt;"",AT$2&gt;=$G37,AT$2&lt;=$W37,WEEKDAY(AT$2,2)&lt;6),$R37/$V37,"")</f>
        <v/>
      </c>
      <c r="AU37" s="48">
        <f>IF(AND($G37&lt;&gt;"",$W37&lt;&gt;"",AU$2&gt;=$G37,AU$2&lt;=$W37,WEEKDAY(AU$2,2)&lt;6),$R37/$V37,"")</f>
        <v/>
      </c>
      <c r="AV37" s="48">
        <f>IF(AND($G37&lt;&gt;"",$W37&lt;&gt;"",AV$2&gt;=$G37,AV$2&lt;=$W37,WEEKDAY(AV$2,2)&lt;6),$R37/$V37,"")</f>
        <v/>
      </c>
      <c r="AW37" s="48">
        <f>IF(AND($G37&lt;&gt;"",$W37&lt;&gt;"",AW$2&gt;=$G37,AW$2&lt;=$W37,WEEKDAY(AW$2,2)&lt;6),$R37/$V37,"")</f>
        <v/>
      </c>
      <c r="AX37" s="48">
        <f>IF(AND($G37&lt;&gt;"",$W37&lt;&gt;"",AX$2&gt;=$G37,AX$2&lt;=$W37,WEEKDAY(AX$2,2)&lt;6),$R37/$V37,"")</f>
        <v/>
      </c>
      <c r="AY37" s="48">
        <f>IF(AND($G37&lt;&gt;"",$W37&lt;&gt;"",AY$2&gt;=$G37,AY$2&lt;=$W37,WEEKDAY(AY$2,2)&lt;6),$R37/$V37,"")</f>
        <v/>
      </c>
      <c r="AZ37" s="48">
        <f>IF(AND($G37&lt;&gt;"",$W37&lt;&gt;"",AZ$2&gt;=$G37,AZ$2&lt;=$W37,WEEKDAY(AZ$2,2)&lt;6),$R37/$V37,"")</f>
        <v/>
      </c>
      <c r="BA37" s="48">
        <f>IF(AND($G37&lt;&gt;"",$W37&lt;&gt;"",BA$2&gt;=$G37,BA$2&lt;=$W37,WEEKDAY(BA$2,2)&lt;6),$R37/$V37,"")</f>
        <v/>
      </c>
      <c r="BB37" s="48">
        <f>IF(AND($G37&lt;&gt;"",$W37&lt;&gt;"",BB$2&gt;=$G37,BB$2&lt;=$W37,WEEKDAY(BB$2,2)&lt;6),$R37/$V37,"")</f>
        <v/>
      </c>
      <c r="BC37" s="48">
        <f>IF(AND($G37&lt;&gt;"",$W37&lt;&gt;"",BC$2&gt;=$G37,BC$2&lt;=$W37,WEEKDAY(BC$2,2)&lt;6),$R37/$V37,"")</f>
        <v/>
      </c>
      <c r="BD37" s="48">
        <f>IF(AND($G37&lt;&gt;"",$W37&lt;&gt;"",BD$2&gt;=$G37,BD$2&lt;=$W37,WEEKDAY(BD$2,2)&lt;6),$R37/$V37,"")</f>
        <v/>
      </c>
      <c r="BE37" s="48">
        <f>IF(AND($G37&lt;&gt;"",$W37&lt;&gt;"",BE$2&gt;=$G37,BE$2&lt;=$W37,WEEKDAY(BE$2,2)&lt;6),$R37/$V37,"")</f>
        <v/>
      </c>
    </row>
    <row r="38">
      <c r="A38" s="40">
        <f>IF(F38="","",COUNTA($F$8:F38))</f>
        <v/>
      </c>
      <c r="B38" s="41">
        <f>IF(G38="","",MONTH(G38))</f>
        <v/>
      </c>
      <c r="C38" s="42" t="n"/>
      <c r="D38" s="43" t="n"/>
      <c r="E38" s="43" t="n"/>
      <c r="F38" s="42" t="n"/>
      <c r="G38" s="44" t="n"/>
      <c r="H38" s="44" t="n"/>
      <c r="I38" s="43" t="n"/>
      <c r="J38" s="43" t="n"/>
      <c r="K38" s="43" t="n"/>
      <c r="L38" s="42" t="n"/>
      <c r="M38" s="45" t="n"/>
      <c r="N38" s="42" t="n"/>
      <c r="O38" s="45" t="n"/>
      <c r="P38" s="42" t="n"/>
      <c r="Q38" s="45" t="n"/>
      <c r="R38" s="46">
        <f>IF(SUM(M38,O38,Q38)=0,"",SUM(M38,O38,Q38))</f>
        <v/>
      </c>
      <c r="S38" s="41">
        <f>IF(M38&gt;0,"영 ","")&amp;IF(O38&gt;0,"이 ","")&amp;IF(Q38&gt;0,"기 ","")</f>
        <v/>
      </c>
      <c r="T38" s="40">
        <f>IF(G38="","","W"&amp;ROUNDUP(DAY(G38)/7,0))</f>
        <v/>
      </c>
      <c r="U38" s="43" t="n"/>
      <c r="V38" s="40">
        <f>IF(R38="",0,ROUNDUP(MAX(M38,O38,Q38)/'마스터'!$J$6,0))</f>
        <v/>
      </c>
      <c r="W38" s="47">
        <f>IF(OR(G38="",V38=0),"",WORKDAY(G38,V38-1))</f>
        <v/>
      </c>
      <c r="X38" s="41">
        <f>IF(OR(H38="",W38=""),"",H38-W38)</f>
        <v/>
      </c>
      <c r="Y38" s="42" t="n"/>
      <c r="AA38" s="48">
        <f>IF(AND($G38&lt;&gt;"",$W38&lt;&gt;"",AA$2&gt;=$G38,AA$2&lt;=$W38,WEEKDAY(AA$2,2)&lt;6),$R38/$V38,"")</f>
        <v/>
      </c>
      <c r="AB38" s="48">
        <f>IF(AND($G38&lt;&gt;"",$W38&lt;&gt;"",AB$2&gt;=$G38,AB$2&lt;=$W38,WEEKDAY(AB$2,2)&lt;6),$R38/$V38,"")</f>
        <v/>
      </c>
      <c r="AC38" s="48">
        <f>IF(AND($G38&lt;&gt;"",$W38&lt;&gt;"",AC$2&gt;=$G38,AC$2&lt;=$W38,WEEKDAY(AC$2,2)&lt;6),$R38/$V38,"")</f>
        <v/>
      </c>
      <c r="AD38" s="48">
        <f>IF(AND($G38&lt;&gt;"",$W38&lt;&gt;"",AD$2&gt;=$G38,AD$2&lt;=$W38,WEEKDAY(AD$2,2)&lt;6),$R38/$V38,"")</f>
        <v/>
      </c>
      <c r="AE38" s="48">
        <f>IF(AND($G38&lt;&gt;"",$W38&lt;&gt;"",AE$2&gt;=$G38,AE$2&lt;=$W38,WEEKDAY(AE$2,2)&lt;6),$R38/$V38,"")</f>
        <v/>
      </c>
      <c r="AF38" s="48">
        <f>IF(AND($G38&lt;&gt;"",$W38&lt;&gt;"",AF$2&gt;=$G38,AF$2&lt;=$W38,WEEKDAY(AF$2,2)&lt;6),$R38/$V38,"")</f>
        <v/>
      </c>
      <c r="AG38" s="48">
        <f>IF(AND($G38&lt;&gt;"",$W38&lt;&gt;"",AG$2&gt;=$G38,AG$2&lt;=$W38,WEEKDAY(AG$2,2)&lt;6),$R38/$V38,"")</f>
        <v/>
      </c>
      <c r="AH38" s="48">
        <f>IF(AND($G38&lt;&gt;"",$W38&lt;&gt;"",AH$2&gt;=$G38,AH$2&lt;=$W38,WEEKDAY(AH$2,2)&lt;6),$R38/$V38,"")</f>
        <v/>
      </c>
      <c r="AI38" s="48">
        <f>IF(AND($G38&lt;&gt;"",$W38&lt;&gt;"",AI$2&gt;=$G38,AI$2&lt;=$W38,WEEKDAY(AI$2,2)&lt;6),$R38/$V38,"")</f>
        <v/>
      </c>
      <c r="AJ38" s="48">
        <f>IF(AND($G38&lt;&gt;"",$W38&lt;&gt;"",AJ$2&gt;=$G38,AJ$2&lt;=$W38,WEEKDAY(AJ$2,2)&lt;6),$R38/$V38,"")</f>
        <v/>
      </c>
      <c r="AK38" s="48">
        <f>IF(AND($G38&lt;&gt;"",$W38&lt;&gt;"",AK$2&gt;=$G38,AK$2&lt;=$W38,WEEKDAY(AK$2,2)&lt;6),$R38/$V38,"")</f>
        <v/>
      </c>
      <c r="AL38" s="48">
        <f>IF(AND($G38&lt;&gt;"",$W38&lt;&gt;"",AL$2&gt;=$G38,AL$2&lt;=$W38,WEEKDAY(AL$2,2)&lt;6),$R38/$V38,"")</f>
        <v/>
      </c>
      <c r="AM38" s="48">
        <f>IF(AND($G38&lt;&gt;"",$W38&lt;&gt;"",AM$2&gt;=$G38,AM$2&lt;=$W38,WEEKDAY(AM$2,2)&lt;6),$R38/$V38,"")</f>
        <v/>
      </c>
      <c r="AN38" s="48">
        <f>IF(AND($G38&lt;&gt;"",$W38&lt;&gt;"",AN$2&gt;=$G38,AN$2&lt;=$W38,WEEKDAY(AN$2,2)&lt;6),$R38/$V38,"")</f>
        <v/>
      </c>
      <c r="AO38" s="48">
        <f>IF(AND($G38&lt;&gt;"",$W38&lt;&gt;"",AO$2&gt;=$G38,AO$2&lt;=$W38,WEEKDAY(AO$2,2)&lt;6),$R38/$V38,"")</f>
        <v/>
      </c>
      <c r="AP38" s="48">
        <f>IF(AND($G38&lt;&gt;"",$W38&lt;&gt;"",AP$2&gt;=$G38,AP$2&lt;=$W38,WEEKDAY(AP$2,2)&lt;6),$R38/$V38,"")</f>
        <v/>
      </c>
      <c r="AQ38" s="48">
        <f>IF(AND($G38&lt;&gt;"",$W38&lt;&gt;"",AQ$2&gt;=$G38,AQ$2&lt;=$W38,WEEKDAY(AQ$2,2)&lt;6),$R38/$V38,"")</f>
        <v/>
      </c>
      <c r="AR38" s="48">
        <f>IF(AND($G38&lt;&gt;"",$W38&lt;&gt;"",AR$2&gt;=$G38,AR$2&lt;=$W38,WEEKDAY(AR$2,2)&lt;6),$R38/$V38,"")</f>
        <v/>
      </c>
      <c r="AS38" s="48">
        <f>IF(AND($G38&lt;&gt;"",$W38&lt;&gt;"",AS$2&gt;=$G38,AS$2&lt;=$W38,WEEKDAY(AS$2,2)&lt;6),$R38/$V38,"")</f>
        <v/>
      </c>
      <c r="AT38" s="48">
        <f>IF(AND($G38&lt;&gt;"",$W38&lt;&gt;"",AT$2&gt;=$G38,AT$2&lt;=$W38,WEEKDAY(AT$2,2)&lt;6),$R38/$V38,"")</f>
        <v/>
      </c>
      <c r="AU38" s="48">
        <f>IF(AND($G38&lt;&gt;"",$W38&lt;&gt;"",AU$2&gt;=$G38,AU$2&lt;=$W38,WEEKDAY(AU$2,2)&lt;6),$R38/$V38,"")</f>
        <v/>
      </c>
      <c r="AV38" s="48">
        <f>IF(AND($G38&lt;&gt;"",$W38&lt;&gt;"",AV$2&gt;=$G38,AV$2&lt;=$W38,WEEKDAY(AV$2,2)&lt;6),$R38/$V38,"")</f>
        <v/>
      </c>
      <c r="AW38" s="48">
        <f>IF(AND($G38&lt;&gt;"",$W38&lt;&gt;"",AW$2&gt;=$G38,AW$2&lt;=$W38,WEEKDAY(AW$2,2)&lt;6),$R38/$V38,"")</f>
        <v/>
      </c>
      <c r="AX38" s="48">
        <f>IF(AND($G38&lt;&gt;"",$W38&lt;&gt;"",AX$2&gt;=$G38,AX$2&lt;=$W38,WEEKDAY(AX$2,2)&lt;6),$R38/$V38,"")</f>
        <v/>
      </c>
      <c r="AY38" s="48">
        <f>IF(AND($G38&lt;&gt;"",$W38&lt;&gt;"",AY$2&gt;=$G38,AY$2&lt;=$W38,WEEKDAY(AY$2,2)&lt;6),$R38/$V38,"")</f>
        <v/>
      </c>
      <c r="AZ38" s="48">
        <f>IF(AND($G38&lt;&gt;"",$W38&lt;&gt;"",AZ$2&gt;=$G38,AZ$2&lt;=$W38,WEEKDAY(AZ$2,2)&lt;6),$R38/$V38,"")</f>
        <v/>
      </c>
      <c r="BA38" s="48">
        <f>IF(AND($G38&lt;&gt;"",$W38&lt;&gt;"",BA$2&gt;=$G38,BA$2&lt;=$W38,WEEKDAY(BA$2,2)&lt;6),$R38/$V38,"")</f>
        <v/>
      </c>
      <c r="BB38" s="48">
        <f>IF(AND($G38&lt;&gt;"",$W38&lt;&gt;"",BB$2&gt;=$G38,BB$2&lt;=$W38,WEEKDAY(BB$2,2)&lt;6),$R38/$V38,"")</f>
        <v/>
      </c>
      <c r="BC38" s="48">
        <f>IF(AND($G38&lt;&gt;"",$W38&lt;&gt;"",BC$2&gt;=$G38,BC$2&lt;=$W38,WEEKDAY(BC$2,2)&lt;6),$R38/$V38,"")</f>
        <v/>
      </c>
      <c r="BD38" s="48">
        <f>IF(AND($G38&lt;&gt;"",$W38&lt;&gt;"",BD$2&gt;=$G38,BD$2&lt;=$W38,WEEKDAY(BD$2,2)&lt;6),$R38/$V38,"")</f>
        <v/>
      </c>
      <c r="BE38" s="48">
        <f>IF(AND($G38&lt;&gt;"",$W38&lt;&gt;"",BE$2&gt;=$G38,BE$2&lt;=$W38,WEEKDAY(BE$2,2)&lt;6),$R38/$V38,"")</f>
        <v/>
      </c>
    </row>
    <row r="39">
      <c r="A39" s="40">
        <f>IF(F39="","",COUNTA($F$8:F39))</f>
        <v/>
      </c>
      <c r="B39" s="41">
        <f>IF(G39="","",MONTH(G39))</f>
        <v/>
      </c>
      <c r="C39" s="42" t="n"/>
      <c r="D39" s="43" t="n"/>
      <c r="E39" s="43" t="n"/>
      <c r="F39" s="42" t="n"/>
      <c r="G39" s="44" t="n"/>
      <c r="H39" s="44" t="n"/>
      <c r="I39" s="43" t="n"/>
      <c r="J39" s="43" t="n"/>
      <c r="K39" s="43" t="n"/>
      <c r="L39" s="42" t="n"/>
      <c r="M39" s="45" t="n"/>
      <c r="N39" s="42" t="n"/>
      <c r="O39" s="45" t="n"/>
      <c r="P39" s="42" t="n"/>
      <c r="Q39" s="45" t="n"/>
      <c r="R39" s="46">
        <f>IF(SUM(M39,O39,Q39)=0,"",SUM(M39,O39,Q39))</f>
        <v/>
      </c>
      <c r="S39" s="41">
        <f>IF(M39&gt;0,"영 ","")&amp;IF(O39&gt;0,"이 ","")&amp;IF(Q39&gt;0,"기 ","")</f>
        <v/>
      </c>
      <c r="T39" s="40">
        <f>IF(G39="","","W"&amp;ROUNDUP(DAY(G39)/7,0))</f>
        <v/>
      </c>
      <c r="U39" s="43" t="n"/>
      <c r="V39" s="40">
        <f>IF(R39="",0,ROUNDUP(MAX(M39,O39,Q39)/'마스터'!$J$6,0))</f>
        <v/>
      </c>
      <c r="W39" s="47">
        <f>IF(OR(G39="",V39=0),"",WORKDAY(G39,V39-1))</f>
        <v/>
      </c>
      <c r="X39" s="41">
        <f>IF(OR(H39="",W39=""),"",H39-W39)</f>
        <v/>
      </c>
      <c r="Y39" s="42" t="n"/>
      <c r="AA39" s="48">
        <f>IF(AND($G39&lt;&gt;"",$W39&lt;&gt;"",AA$2&gt;=$G39,AA$2&lt;=$W39,WEEKDAY(AA$2,2)&lt;6),$R39/$V39,"")</f>
        <v/>
      </c>
      <c r="AB39" s="48">
        <f>IF(AND($G39&lt;&gt;"",$W39&lt;&gt;"",AB$2&gt;=$G39,AB$2&lt;=$W39,WEEKDAY(AB$2,2)&lt;6),$R39/$V39,"")</f>
        <v/>
      </c>
      <c r="AC39" s="48">
        <f>IF(AND($G39&lt;&gt;"",$W39&lt;&gt;"",AC$2&gt;=$G39,AC$2&lt;=$W39,WEEKDAY(AC$2,2)&lt;6),$R39/$V39,"")</f>
        <v/>
      </c>
      <c r="AD39" s="48">
        <f>IF(AND($G39&lt;&gt;"",$W39&lt;&gt;"",AD$2&gt;=$G39,AD$2&lt;=$W39,WEEKDAY(AD$2,2)&lt;6),$R39/$V39,"")</f>
        <v/>
      </c>
      <c r="AE39" s="48">
        <f>IF(AND($G39&lt;&gt;"",$W39&lt;&gt;"",AE$2&gt;=$G39,AE$2&lt;=$W39,WEEKDAY(AE$2,2)&lt;6),$R39/$V39,"")</f>
        <v/>
      </c>
      <c r="AF39" s="48">
        <f>IF(AND($G39&lt;&gt;"",$W39&lt;&gt;"",AF$2&gt;=$G39,AF$2&lt;=$W39,WEEKDAY(AF$2,2)&lt;6),$R39/$V39,"")</f>
        <v/>
      </c>
      <c r="AG39" s="48">
        <f>IF(AND($G39&lt;&gt;"",$W39&lt;&gt;"",AG$2&gt;=$G39,AG$2&lt;=$W39,WEEKDAY(AG$2,2)&lt;6),$R39/$V39,"")</f>
        <v/>
      </c>
      <c r="AH39" s="48">
        <f>IF(AND($G39&lt;&gt;"",$W39&lt;&gt;"",AH$2&gt;=$G39,AH$2&lt;=$W39,WEEKDAY(AH$2,2)&lt;6),$R39/$V39,"")</f>
        <v/>
      </c>
      <c r="AI39" s="48">
        <f>IF(AND($G39&lt;&gt;"",$W39&lt;&gt;"",AI$2&gt;=$G39,AI$2&lt;=$W39,WEEKDAY(AI$2,2)&lt;6),$R39/$V39,"")</f>
        <v/>
      </c>
      <c r="AJ39" s="48">
        <f>IF(AND($G39&lt;&gt;"",$W39&lt;&gt;"",AJ$2&gt;=$G39,AJ$2&lt;=$W39,WEEKDAY(AJ$2,2)&lt;6),$R39/$V39,"")</f>
        <v/>
      </c>
      <c r="AK39" s="48">
        <f>IF(AND($G39&lt;&gt;"",$W39&lt;&gt;"",AK$2&gt;=$G39,AK$2&lt;=$W39,WEEKDAY(AK$2,2)&lt;6),$R39/$V39,"")</f>
        <v/>
      </c>
      <c r="AL39" s="48">
        <f>IF(AND($G39&lt;&gt;"",$W39&lt;&gt;"",AL$2&gt;=$G39,AL$2&lt;=$W39,WEEKDAY(AL$2,2)&lt;6),$R39/$V39,"")</f>
        <v/>
      </c>
      <c r="AM39" s="48">
        <f>IF(AND($G39&lt;&gt;"",$W39&lt;&gt;"",AM$2&gt;=$G39,AM$2&lt;=$W39,WEEKDAY(AM$2,2)&lt;6),$R39/$V39,"")</f>
        <v/>
      </c>
      <c r="AN39" s="48">
        <f>IF(AND($G39&lt;&gt;"",$W39&lt;&gt;"",AN$2&gt;=$G39,AN$2&lt;=$W39,WEEKDAY(AN$2,2)&lt;6),$R39/$V39,"")</f>
        <v/>
      </c>
      <c r="AO39" s="48">
        <f>IF(AND($G39&lt;&gt;"",$W39&lt;&gt;"",AO$2&gt;=$G39,AO$2&lt;=$W39,WEEKDAY(AO$2,2)&lt;6),$R39/$V39,"")</f>
        <v/>
      </c>
      <c r="AP39" s="48">
        <f>IF(AND($G39&lt;&gt;"",$W39&lt;&gt;"",AP$2&gt;=$G39,AP$2&lt;=$W39,WEEKDAY(AP$2,2)&lt;6),$R39/$V39,"")</f>
        <v/>
      </c>
      <c r="AQ39" s="48">
        <f>IF(AND($G39&lt;&gt;"",$W39&lt;&gt;"",AQ$2&gt;=$G39,AQ$2&lt;=$W39,WEEKDAY(AQ$2,2)&lt;6),$R39/$V39,"")</f>
        <v/>
      </c>
      <c r="AR39" s="48">
        <f>IF(AND($G39&lt;&gt;"",$W39&lt;&gt;"",AR$2&gt;=$G39,AR$2&lt;=$W39,WEEKDAY(AR$2,2)&lt;6),$R39/$V39,"")</f>
        <v/>
      </c>
      <c r="AS39" s="48">
        <f>IF(AND($G39&lt;&gt;"",$W39&lt;&gt;"",AS$2&gt;=$G39,AS$2&lt;=$W39,WEEKDAY(AS$2,2)&lt;6),$R39/$V39,"")</f>
        <v/>
      </c>
      <c r="AT39" s="48">
        <f>IF(AND($G39&lt;&gt;"",$W39&lt;&gt;"",AT$2&gt;=$G39,AT$2&lt;=$W39,WEEKDAY(AT$2,2)&lt;6),$R39/$V39,"")</f>
        <v/>
      </c>
      <c r="AU39" s="48">
        <f>IF(AND($G39&lt;&gt;"",$W39&lt;&gt;"",AU$2&gt;=$G39,AU$2&lt;=$W39,WEEKDAY(AU$2,2)&lt;6),$R39/$V39,"")</f>
        <v/>
      </c>
      <c r="AV39" s="48">
        <f>IF(AND($G39&lt;&gt;"",$W39&lt;&gt;"",AV$2&gt;=$G39,AV$2&lt;=$W39,WEEKDAY(AV$2,2)&lt;6),$R39/$V39,"")</f>
        <v/>
      </c>
      <c r="AW39" s="48">
        <f>IF(AND($G39&lt;&gt;"",$W39&lt;&gt;"",AW$2&gt;=$G39,AW$2&lt;=$W39,WEEKDAY(AW$2,2)&lt;6),$R39/$V39,"")</f>
        <v/>
      </c>
      <c r="AX39" s="48">
        <f>IF(AND($G39&lt;&gt;"",$W39&lt;&gt;"",AX$2&gt;=$G39,AX$2&lt;=$W39,WEEKDAY(AX$2,2)&lt;6),$R39/$V39,"")</f>
        <v/>
      </c>
      <c r="AY39" s="48">
        <f>IF(AND($G39&lt;&gt;"",$W39&lt;&gt;"",AY$2&gt;=$G39,AY$2&lt;=$W39,WEEKDAY(AY$2,2)&lt;6),$R39/$V39,"")</f>
        <v/>
      </c>
      <c r="AZ39" s="48">
        <f>IF(AND($G39&lt;&gt;"",$W39&lt;&gt;"",AZ$2&gt;=$G39,AZ$2&lt;=$W39,WEEKDAY(AZ$2,2)&lt;6),$R39/$V39,"")</f>
        <v/>
      </c>
      <c r="BA39" s="48">
        <f>IF(AND($G39&lt;&gt;"",$W39&lt;&gt;"",BA$2&gt;=$G39,BA$2&lt;=$W39,WEEKDAY(BA$2,2)&lt;6),$R39/$V39,"")</f>
        <v/>
      </c>
      <c r="BB39" s="48">
        <f>IF(AND($G39&lt;&gt;"",$W39&lt;&gt;"",BB$2&gt;=$G39,BB$2&lt;=$W39,WEEKDAY(BB$2,2)&lt;6),$R39/$V39,"")</f>
        <v/>
      </c>
      <c r="BC39" s="48">
        <f>IF(AND($G39&lt;&gt;"",$W39&lt;&gt;"",BC$2&gt;=$G39,BC$2&lt;=$W39,WEEKDAY(BC$2,2)&lt;6),$R39/$V39,"")</f>
        <v/>
      </c>
      <c r="BD39" s="48">
        <f>IF(AND($G39&lt;&gt;"",$W39&lt;&gt;"",BD$2&gt;=$G39,BD$2&lt;=$W39,WEEKDAY(BD$2,2)&lt;6),$R39/$V39,"")</f>
        <v/>
      </c>
      <c r="BE39" s="48">
        <f>IF(AND($G39&lt;&gt;"",$W39&lt;&gt;"",BE$2&gt;=$G39,BE$2&lt;=$W39,WEEKDAY(BE$2,2)&lt;6),$R39/$V39,"")</f>
        <v/>
      </c>
    </row>
    <row r="40">
      <c r="A40" s="40">
        <f>IF(F40="","",COUNTA($F$8:F40))</f>
        <v/>
      </c>
      <c r="B40" s="41">
        <f>IF(G40="","",MONTH(G40))</f>
        <v/>
      </c>
      <c r="C40" s="42" t="n"/>
      <c r="D40" s="43" t="n"/>
      <c r="E40" s="43" t="n"/>
      <c r="F40" s="42" t="n"/>
      <c r="G40" s="44" t="n"/>
      <c r="H40" s="44" t="n"/>
      <c r="I40" s="43" t="n"/>
      <c r="J40" s="43" t="n"/>
      <c r="K40" s="43" t="n"/>
      <c r="L40" s="42" t="n"/>
      <c r="M40" s="45" t="n"/>
      <c r="N40" s="42" t="n"/>
      <c r="O40" s="45" t="n"/>
      <c r="P40" s="42" t="n"/>
      <c r="Q40" s="45" t="n"/>
      <c r="R40" s="46">
        <f>IF(SUM(M40,O40,Q40)=0,"",SUM(M40,O40,Q40))</f>
        <v/>
      </c>
      <c r="S40" s="41">
        <f>IF(M40&gt;0,"영 ","")&amp;IF(O40&gt;0,"이 ","")&amp;IF(Q40&gt;0,"기 ","")</f>
        <v/>
      </c>
      <c r="T40" s="40">
        <f>IF(G40="","","W"&amp;ROUNDUP(DAY(G40)/7,0))</f>
        <v/>
      </c>
      <c r="U40" s="43" t="n"/>
      <c r="V40" s="40">
        <f>IF(R40="",0,ROUNDUP(MAX(M40,O40,Q40)/'마스터'!$J$6,0))</f>
        <v/>
      </c>
      <c r="W40" s="47">
        <f>IF(OR(G40="",V40=0),"",WORKDAY(G40,V40-1))</f>
        <v/>
      </c>
      <c r="X40" s="41">
        <f>IF(OR(H40="",W40=""),"",H40-W40)</f>
        <v/>
      </c>
      <c r="Y40" s="42" t="n"/>
      <c r="AA40" s="48">
        <f>IF(AND($G40&lt;&gt;"",$W40&lt;&gt;"",AA$2&gt;=$G40,AA$2&lt;=$W40,WEEKDAY(AA$2,2)&lt;6),$R40/$V40,"")</f>
        <v/>
      </c>
      <c r="AB40" s="48">
        <f>IF(AND($G40&lt;&gt;"",$W40&lt;&gt;"",AB$2&gt;=$G40,AB$2&lt;=$W40,WEEKDAY(AB$2,2)&lt;6),$R40/$V40,"")</f>
        <v/>
      </c>
      <c r="AC40" s="48">
        <f>IF(AND($G40&lt;&gt;"",$W40&lt;&gt;"",AC$2&gt;=$G40,AC$2&lt;=$W40,WEEKDAY(AC$2,2)&lt;6),$R40/$V40,"")</f>
        <v/>
      </c>
      <c r="AD40" s="48">
        <f>IF(AND($G40&lt;&gt;"",$W40&lt;&gt;"",AD$2&gt;=$G40,AD$2&lt;=$W40,WEEKDAY(AD$2,2)&lt;6),$R40/$V40,"")</f>
        <v/>
      </c>
      <c r="AE40" s="48">
        <f>IF(AND($G40&lt;&gt;"",$W40&lt;&gt;"",AE$2&gt;=$G40,AE$2&lt;=$W40,WEEKDAY(AE$2,2)&lt;6),$R40/$V40,"")</f>
        <v/>
      </c>
      <c r="AF40" s="48">
        <f>IF(AND($G40&lt;&gt;"",$W40&lt;&gt;"",AF$2&gt;=$G40,AF$2&lt;=$W40,WEEKDAY(AF$2,2)&lt;6),$R40/$V40,"")</f>
        <v/>
      </c>
      <c r="AG40" s="48">
        <f>IF(AND($G40&lt;&gt;"",$W40&lt;&gt;"",AG$2&gt;=$G40,AG$2&lt;=$W40,WEEKDAY(AG$2,2)&lt;6),$R40/$V40,"")</f>
        <v/>
      </c>
      <c r="AH40" s="48">
        <f>IF(AND($G40&lt;&gt;"",$W40&lt;&gt;"",AH$2&gt;=$G40,AH$2&lt;=$W40,WEEKDAY(AH$2,2)&lt;6),$R40/$V40,"")</f>
        <v/>
      </c>
      <c r="AI40" s="48">
        <f>IF(AND($G40&lt;&gt;"",$W40&lt;&gt;"",AI$2&gt;=$G40,AI$2&lt;=$W40,WEEKDAY(AI$2,2)&lt;6),$R40/$V40,"")</f>
        <v/>
      </c>
      <c r="AJ40" s="48">
        <f>IF(AND($G40&lt;&gt;"",$W40&lt;&gt;"",AJ$2&gt;=$G40,AJ$2&lt;=$W40,WEEKDAY(AJ$2,2)&lt;6),$R40/$V40,"")</f>
        <v/>
      </c>
      <c r="AK40" s="48">
        <f>IF(AND($G40&lt;&gt;"",$W40&lt;&gt;"",AK$2&gt;=$G40,AK$2&lt;=$W40,WEEKDAY(AK$2,2)&lt;6),$R40/$V40,"")</f>
        <v/>
      </c>
      <c r="AL40" s="48">
        <f>IF(AND($G40&lt;&gt;"",$W40&lt;&gt;"",AL$2&gt;=$G40,AL$2&lt;=$W40,WEEKDAY(AL$2,2)&lt;6),$R40/$V40,"")</f>
        <v/>
      </c>
      <c r="AM40" s="48">
        <f>IF(AND($G40&lt;&gt;"",$W40&lt;&gt;"",AM$2&gt;=$G40,AM$2&lt;=$W40,WEEKDAY(AM$2,2)&lt;6),$R40/$V40,"")</f>
        <v/>
      </c>
      <c r="AN40" s="48">
        <f>IF(AND($G40&lt;&gt;"",$W40&lt;&gt;"",AN$2&gt;=$G40,AN$2&lt;=$W40,WEEKDAY(AN$2,2)&lt;6),$R40/$V40,"")</f>
        <v/>
      </c>
      <c r="AO40" s="48">
        <f>IF(AND($G40&lt;&gt;"",$W40&lt;&gt;"",AO$2&gt;=$G40,AO$2&lt;=$W40,WEEKDAY(AO$2,2)&lt;6),$R40/$V40,"")</f>
        <v/>
      </c>
      <c r="AP40" s="48">
        <f>IF(AND($G40&lt;&gt;"",$W40&lt;&gt;"",AP$2&gt;=$G40,AP$2&lt;=$W40,WEEKDAY(AP$2,2)&lt;6),$R40/$V40,"")</f>
        <v/>
      </c>
      <c r="AQ40" s="48">
        <f>IF(AND($G40&lt;&gt;"",$W40&lt;&gt;"",AQ$2&gt;=$G40,AQ$2&lt;=$W40,WEEKDAY(AQ$2,2)&lt;6),$R40/$V40,"")</f>
        <v/>
      </c>
      <c r="AR40" s="48">
        <f>IF(AND($G40&lt;&gt;"",$W40&lt;&gt;"",AR$2&gt;=$G40,AR$2&lt;=$W40,WEEKDAY(AR$2,2)&lt;6),$R40/$V40,"")</f>
        <v/>
      </c>
      <c r="AS40" s="48">
        <f>IF(AND($G40&lt;&gt;"",$W40&lt;&gt;"",AS$2&gt;=$G40,AS$2&lt;=$W40,WEEKDAY(AS$2,2)&lt;6),$R40/$V40,"")</f>
        <v/>
      </c>
      <c r="AT40" s="48">
        <f>IF(AND($G40&lt;&gt;"",$W40&lt;&gt;"",AT$2&gt;=$G40,AT$2&lt;=$W40,WEEKDAY(AT$2,2)&lt;6),$R40/$V40,"")</f>
        <v/>
      </c>
      <c r="AU40" s="48">
        <f>IF(AND($G40&lt;&gt;"",$W40&lt;&gt;"",AU$2&gt;=$G40,AU$2&lt;=$W40,WEEKDAY(AU$2,2)&lt;6),$R40/$V40,"")</f>
        <v/>
      </c>
      <c r="AV40" s="48">
        <f>IF(AND($G40&lt;&gt;"",$W40&lt;&gt;"",AV$2&gt;=$G40,AV$2&lt;=$W40,WEEKDAY(AV$2,2)&lt;6),$R40/$V40,"")</f>
        <v/>
      </c>
      <c r="AW40" s="48">
        <f>IF(AND($G40&lt;&gt;"",$W40&lt;&gt;"",AW$2&gt;=$G40,AW$2&lt;=$W40,WEEKDAY(AW$2,2)&lt;6),$R40/$V40,"")</f>
        <v/>
      </c>
      <c r="AX40" s="48">
        <f>IF(AND($G40&lt;&gt;"",$W40&lt;&gt;"",AX$2&gt;=$G40,AX$2&lt;=$W40,WEEKDAY(AX$2,2)&lt;6),$R40/$V40,"")</f>
        <v/>
      </c>
      <c r="AY40" s="48">
        <f>IF(AND($G40&lt;&gt;"",$W40&lt;&gt;"",AY$2&gt;=$G40,AY$2&lt;=$W40,WEEKDAY(AY$2,2)&lt;6),$R40/$V40,"")</f>
        <v/>
      </c>
      <c r="AZ40" s="48">
        <f>IF(AND($G40&lt;&gt;"",$W40&lt;&gt;"",AZ$2&gt;=$G40,AZ$2&lt;=$W40,WEEKDAY(AZ$2,2)&lt;6),$R40/$V40,"")</f>
        <v/>
      </c>
      <c r="BA40" s="48">
        <f>IF(AND($G40&lt;&gt;"",$W40&lt;&gt;"",BA$2&gt;=$G40,BA$2&lt;=$W40,WEEKDAY(BA$2,2)&lt;6),$R40/$V40,"")</f>
        <v/>
      </c>
      <c r="BB40" s="48">
        <f>IF(AND($G40&lt;&gt;"",$W40&lt;&gt;"",BB$2&gt;=$G40,BB$2&lt;=$W40,WEEKDAY(BB$2,2)&lt;6),$R40/$V40,"")</f>
        <v/>
      </c>
      <c r="BC40" s="48">
        <f>IF(AND($G40&lt;&gt;"",$W40&lt;&gt;"",BC$2&gt;=$G40,BC$2&lt;=$W40,WEEKDAY(BC$2,2)&lt;6),$R40/$V40,"")</f>
        <v/>
      </c>
      <c r="BD40" s="48">
        <f>IF(AND($G40&lt;&gt;"",$W40&lt;&gt;"",BD$2&gt;=$G40,BD$2&lt;=$W40,WEEKDAY(BD$2,2)&lt;6),$R40/$V40,"")</f>
        <v/>
      </c>
      <c r="BE40" s="48">
        <f>IF(AND($G40&lt;&gt;"",$W40&lt;&gt;"",BE$2&gt;=$G40,BE$2&lt;=$W40,WEEKDAY(BE$2,2)&lt;6),$R40/$V40,"")</f>
        <v/>
      </c>
    </row>
    <row r="41">
      <c r="A41" s="40">
        <f>IF(F41="","",COUNTA($F$8:F41))</f>
        <v/>
      </c>
      <c r="B41" s="41">
        <f>IF(G41="","",MONTH(G41))</f>
        <v/>
      </c>
      <c r="C41" s="42" t="n"/>
      <c r="D41" s="43" t="n"/>
      <c r="E41" s="43" t="n"/>
      <c r="F41" s="42" t="n"/>
      <c r="G41" s="44" t="n"/>
      <c r="H41" s="44" t="n"/>
      <c r="I41" s="43" t="n"/>
      <c r="J41" s="43" t="n"/>
      <c r="K41" s="43" t="n"/>
      <c r="L41" s="42" t="n"/>
      <c r="M41" s="45" t="n"/>
      <c r="N41" s="42" t="n"/>
      <c r="O41" s="45" t="n"/>
      <c r="P41" s="42" t="n"/>
      <c r="Q41" s="45" t="n"/>
      <c r="R41" s="46">
        <f>IF(SUM(M41,O41,Q41)=0,"",SUM(M41,O41,Q41))</f>
        <v/>
      </c>
      <c r="S41" s="41">
        <f>IF(M41&gt;0,"영 ","")&amp;IF(O41&gt;0,"이 ","")&amp;IF(Q41&gt;0,"기 ","")</f>
        <v/>
      </c>
      <c r="T41" s="40">
        <f>IF(G41="","","W"&amp;ROUNDUP(DAY(G41)/7,0))</f>
        <v/>
      </c>
      <c r="U41" s="43" t="n"/>
      <c r="V41" s="40">
        <f>IF(R41="",0,ROUNDUP(MAX(M41,O41,Q41)/'마스터'!$J$6,0))</f>
        <v/>
      </c>
      <c r="W41" s="47">
        <f>IF(OR(G41="",V41=0),"",WORKDAY(G41,V41-1))</f>
        <v/>
      </c>
      <c r="X41" s="41">
        <f>IF(OR(H41="",W41=""),"",H41-W41)</f>
        <v/>
      </c>
      <c r="Y41" s="42" t="n"/>
      <c r="AA41" s="48">
        <f>IF(AND($G41&lt;&gt;"",$W41&lt;&gt;"",AA$2&gt;=$G41,AA$2&lt;=$W41,WEEKDAY(AA$2,2)&lt;6),$R41/$V41,"")</f>
        <v/>
      </c>
      <c r="AB41" s="48">
        <f>IF(AND($G41&lt;&gt;"",$W41&lt;&gt;"",AB$2&gt;=$G41,AB$2&lt;=$W41,WEEKDAY(AB$2,2)&lt;6),$R41/$V41,"")</f>
        <v/>
      </c>
      <c r="AC41" s="48">
        <f>IF(AND($G41&lt;&gt;"",$W41&lt;&gt;"",AC$2&gt;=$G41,AC$2&lt;=$W41,WEEKDAY(AC$2,2)&lt;6),$R41/$V41,"")</f>
        <v/>
      </c>
      <c r="AD41" s="48">
        <f>IF(AND($G41&lt;&gt;"",$W41&lt;&gt;"",AD$2&gt;=$G41,AD$2&lt;=$W41,WEEKDAY(AD$2,2)&lt;6),$R41/$V41,"")</f>
        <v/>
      </c>
      <c r="AE41" s="48">
        <f>IF(AND($G41&lt;&gt;"",$W41&lt;&gt;"",AE$2&gt;=$G41,AE$2&lt;=$W41,WEEKDAY(AE$2,2)&lt;6),$R41/$V41,"")</f>
        <v/>
      </c>
      <c r="AF41" s="48">
        <f>IF(AND($G41&lt;&gt;"",$W41&lt;&gt;"",AF$2&gt;=$G41,AF$2&lt;=$W41,WEEKDAY(AF$2,2)&lt;6),$R41/$V41,"")</f>
        <v/>
      </c>
      <c r="AG41" s="48">
        <f>IF(AND($G41&lt;&gt;"",$W41&lt;&gt;"",AG$2&gt;=$G41,AG$2&lt;=$W41,WEEKDAY(AG$2,2)&lt;6),$R41/$V41,"")</f>
        <v/>
      </c>
      <c r="AH41" s="48">
        <f>IF(AND($G41&lt;&gt;"",$W41&lt;&gt;"",AH$2&gt;=$G41,AH$2&lt;=$W41,WEEKDAY(AH$2,2)&lt;6),$R41/$V41,"")</f>
        <v/>
      </c>
      <c r="AI41" s="48">
        <f>IF(AND($G41&lt;&gt;"",$W41&lt;&gt;"",AI$2&gt;=$G41,AI$2&lt;=$W41,WEEKDAY(AI$2,2)&lt;6),$R41/$V41,"")</f>
        <v/>
      </c>
      <c r="AJ41" s="48">
        <f>IF(AND($G41&lt;&gt;"",$W41&lt;&gt;"",AJ$2&gt;=$G41,AJ$2&lt;=$W41,WEEKDAY(AJ$2,2)&lt;6),$R41/$V41,"")</f>
        <v/>
      </c>
      <c r="AK41" s="48">
        <f>IF(AND($G41&lt;&gt;"",$W41&lt;&gt;"",AK$2&gt;=$G41,AK$2&lt;=$W41,WEEKDAY(AK$2,2)&lt;6),$R41/$V41,"")</f>
        <v/>
      </c>
      <c r="AL41" s="48">
        <f>IF(AND($G41&lt;&gt;"",$W41&lt;&gt;"",AL$2&gt;=$G41,AL$2&lt;=$W41,WEEKDAY(AL$2,2)&lt;6),$R41/$V41,"")</f>
        <v/>
      </c>
      <c r="AM41" s="48">
        <f>IF(AND($G41&lt;&gt;"",$W41&lt;&gt;"",AM$2&gt;=$G41,AM$2&lt;=$W41,WEEKDAY(AM$2,2)&lt;6),$R41/$V41,"")</f>
        <v/>
      </c>
      <c r="AN41" s="48">
        <f>IF(AND($G41&lt;&gt;"",$W41&lt;&gt;"",AN$2&gt;=$G41,AN$2&lt;=$W41,WEEKDAY(AN$2,2)&lt;6),$R41/$V41,"")</f>
        <v/>
      </c>
      <c r="AO41" s="48">
        <f>IF(AND($G41&lt;&gt;"",$W41&lt;&gt;"",AO$2&gt;=$G41,AO$2&lt;=$W41,WEEKDAY(AO$2,2)&lt;6),$R41/$V41,"")</f>
        <v/>
      </c>
      <c r="AP41" s="48">
        <f>IF(AND($G41&lt;&gt;"",$W41&lt;&gt;"",AP$2&gt;=$G41,AP$2&lt;=$W41,WEEKDAY(AP$2,2)&lt;6),$R41/$V41,"")</f>
        <v/>
      </c>
      <c r="AQ41" s="48">
        <f>IF(AND($G41&lt;&gt;"",$W41&lt;&gt;"",AQ$2&gt;=$G41,AQ$2&lt;=$W41,WEEKDAY(AQ$2,2)&lt;6),$R41/$V41,"")</f>
        <v/>
      </c>
      <c r="AR41" s="48">
        <f>IF(AND($G41&lt;&gt;"",$W41&lt;&gt;"",AR$2&gt;=$G41,AR$2&lt;=$W41,WEEKDAY(AR$2,2)&lt;6),$R41/$V41,"")</f>
        <v/>
      </c>
      <c r="AS41" s="48">
        <f>IF(AND($G41&lt;&gt;"",$W41&lt;&gt;"",AS$2&gt;=$G41,AS$2&lt;=$W41,WEEKDAY(AS$2,2)&lt;6),$R41/$V41,"")</f>
        <v/>
      </c>
      <c r="AT41" s="48">
        <f>IF(AND($G41&lt;&gt;"",$W41&lt;&gt;"",AT$2&gt;=$G41,AT$2&lt;=$W41,WEEKDAY(AT$2,2)&lt;6),$R41/$V41,"")</f>
        <v/>
      </c>
      <c r="AU41" s="48">
        <f>IF(AND($G41&lt;&gt;"",$W41&lt;&gt;"",AU$2&gt;=$G41,AU$2&lt;=$W41,WEEKDAY(AU$2,2)&lt;6),$R41/$V41,"")</f>
        <v/>
      </c>
      <c r="AV41" s="48">
        <f>IF(AND($G41&lt;&gt;"",$W41&lt;&gt;"",AV$2&gt;=$G41,AV$2&lt;=$W41,WEEKDAY(AV$2,2)&lt;6),$R41/$V41,"")</f>
        <v/>
      </c>
      <c r="AW41" s="48">
        <f>IF(AND($G41&lt;&gt;"",$W41&lt;&gt;"",AW$2&gt;=$G41,AW$2&lt;=$W41,WEEKDAY(AW$2,2)&lt;6),$R41/$V41,"")</f>
        <v/>
      </c>
      <c r="AX41" s="48">
        <f>IF(AND($G41&lt;&gt;"",$W41&lt;&gt;"",AX$2&gt;=$G41,AX$2&lt;=$W41,WEEKDAY(AX$2,2)&lt;6),$R41/$V41,"")</f>
        <v/>
      </c>
      <c r="AY41" s="48">
        <f>IF(AND($G41&lt;&gt;"",$W41&lt;&gt;"",AY$2&gt;=$G41,AY$2&lt;=$W41,WEEKDAY(AY$2,2)&lt;6),$R41/$V41,"")</f>
        <v/>
      </c>
      <c r="AZ41" s="48">
        <f>IF(AND($G41&lt;&gt;"",$W41&lt;&gt;"",AZ$2&gt;=$G41,AZ$2&lt;=$W41,WEEKDAY(AZ$2,2)&lt;6),$R41/$V41,"")</f>
        <v/>
      </c>
      <c r="BA41" s="48">
        <f>IF(AND($G41&lt;&gt;"",$W41&lt;&gt;"",BA$2&gt;=$G41,BA$2&lt;=$W41,WEEKDAY(BA$2,2)&lt;6),$R41/$V41,"")</f>
        <v/>
      </c>
      <c r="BB41" s="48">
        <f>IF(AND($G41&lt;&gt;"",$W41&lt;&gt;"",BB$2&gt;=$G41,BB$2&lt;=$W41,WEEKDAY(BB$2,2)&lt;6),$R41/$V41,"")</f>
        <v/>
      </c>
      <c r="BC41" s="48">
        <f>IF(AND($G41&lt;&gt;"",$W41&lt;&gt;"",BC$2&gt;=$G41,BC$2&lt;=$W41,WEEKDAY(BC$2,2)&lt;6),$R41/$V41,"")</f>
        <v/>
      </c>
      <c r="BD41" s="48">
        <f>IF(AND($G41&lt;&gt;"",$W41&lt;&gt;"",BD$2&gt;=$G41,BD$2&lt;=$W41,WEEKDAY(BD$2,2)&lt;6),$R41/$V41,"")</f>
        <v/>
      </c>
      <c r="BE41" s="48">
        <f>IF(AND($G41&lt;&gt;"",$W41&lt;&gt;"",BE$2&gt;=$G41,BE$2&lt;=$W41,WEEKDAY(BE$2,2)&lt;6),$R41/$V41,"")</f>
        <v/>
      </c>
    </row>
    <row r="42">
      <c r="A42" s="40">
        <f>IF(F42="","",COUNTA($F$8:F42))</f>
        <v/>
      </c>
      <c r="B42" s="41">
        <f>IF(G42="","",MONTH(G42))</f>
        <v/>
      </c>
      <c r="C42" s="42" t="n"/>
      <c r="D42" s="43" t="n"/>
      <c r="E42" s="43" t="n"/>
      <c r="F42" s="42" t="n"/>
      <c r="G42" s="44" t="n"/>
      <c r="H42" s="44" t="n"/>
      <c r="I42" s="43" t="n"/>
      <c r="J42" s="43" t="n"/>
      <c r="K42" s="43" t="n"/>
      <c r="L42" s="42" t="n"/>
      <c r="M42" s="45" t="n"/>
      <c r="N42" s="42" t="n"/>
      <c r="O42" s="45" t="n"/>
      <c r="P42" s="42" t="n"/>
      <c r="Q42" s="45" t="n"/>
      <c r="R42" s="46">
        <f>IF(SUM(M42,O42,Q42)=0,"",SUM(M42,O42,Q42))</f>
        <v/>
      </c>
      <c r="S42" s="41">
        <f>IF(M42&gt;0,"영 ","")&amp;IF(O42&gt;0,"이 ","")&amp;IF(Q42&gt;0,"기 ","")</f>
        <v/>
      </c>
      <c r="T42" s="40">
        <f>IF(G42="","","W"&amp;ROUNDUP(DAY(G42)/7,0))</f>
        <v/>
      </c>
      <c r="U42" s="43" t="n"/>
      <c r="V42" s="40">
        <f>IF(R42="",0,ROUNDUP(MAX(M42,O42,Q42)/'마스터'!$J$6,0))</f>
        <v/>
      </c>
      <c r="W42" s="47">
        <f>IF(OR(G42="",V42=0),"",WORKDAY(G42,V42-1))</f>
        <v/>
      </c>
      <c r="X42" s="41">
        <f>IF(OR(H42="",W42=""),"",H42-W42)</f>
        <v/>
      </c>
      <c r="Y42" s="42" t="n"/>
      <c r="AA42" s="48">
        <f>IF(AND($G42&lt;&gt;"",$W42&lt;&gt;"",AA$2&gt;=$G42,AA$2&lt;=$W42,WEEKDAY(AA$2,2)&lt;6),$R42/$V42,"")</f>
        <v/>
      </c>
      <c r="AB42" s="48">
        <f>IF(AND($G42&lt;&gt;"",$W42&lt;&gt;"",AB$2&gt;=$G42,AB$2&lt;=$W42,WEEKDAY(AB$2,2)&lt;6),$R42/$V42,"")</f>
        <v/>
      </c>
      <c r="AC42" s="48">
        <f>IF(AND($G42&lt;&gt;"",$W42&lt;&gt;"",AC$2&gt;=$G42,AC$2&lt;=$W42,WEEKDAY(AC$2,2)&lt;6),$R42/$V42,"")</f>
        <v/>
      </c>
      <c r="AD42" s="48">
        <f>IF(AND($G42&lt;&gt;"",$W42&lt;&gt;"",AD$2&gt;=$G42,AD$2&lt;=$W42,WEEKDAY(AD$2,2)&lt;6),$R42/$V42,"")</f>
        <v/>
      </c>
      <c r="AE42" s="48">
        <f>IF(AND($G42&lt;&gt;"",$W42&lt;&gt;"",AE$2&gt;=$G42,AE$2&lt;=$W42,WEEKDAY(AE$2,2)&lt;6),$R42/$V42,"")</f>
        <v/>
      </c>
      <c r="AF42" s="48">
        <f>IF(AND($G42&lt;&gt;"",$W42&lt;&gt;"",AF$2&gt;=$G42,AF$2&lt;=$W42,WEEKDAY(AF$2,2)&lt;6),$R42/$V42,"")</f>
        <v/>
      </c>
      <c r="AG42" s="48">
        <f>IF(AND($G42&lt;&gt;"",$W42&lt;&gt;"",AG$2&gt;=$G42,AG$2&lt;=$W42,WEEKDAY(AG$2,2)&lt;6),$R42/$V42,"")</f>
        <v/>
      </c>
      <c r="AH42" s="48">
        <f>IF(AND($G42&lt;&gt;"",$W42&lt;&gt;"",AH$2&gt;=$G42,AH$2&lt;=$W42,WEEKDAY(AH$2,2)&lt;6),$R42/$V42,"")</f>
        <v/>
      </c>
      <c r="AI42" s="48">
        <f>IF(AND($G42&lt;&gt;"",$W42&lt;&gt;"",AI$2&gt;=$G42,AI$2&lt;=$W42,WEEKDAY(AI$2,2)&lt;6),$R42/$V42,"")</f>
        <v/>
      </c>
      <c r="AJ42" s="48">
        <f>IF(AND($G42&lt;&gt;"",$W42&lt;&gt;"",AJ$2&gt;=$G42,AJ$2&lt;=$W42,WEEKDAY(AJ$2,2)&lt;6),$R42/$V42,"")</f>
        <v/>
      </c>
      <c r="AK42" s="48">
        <f>IF(AND($G42&lt;&gt;"",$W42&lt;&gt;"",AK$2&gt;=$G42,AK$2&lt;=$W42,WEEKDAY(AK$2,2)&lt;6),$R42/$V42,"")</f>
        <v/>
      </c>
      <c r="AL42" s="48">
        <f>IF(AND($G42&lt;&gt;"",$W42&lt;&gt;"",AL$2&gt;=$G42,AL$2&lt;=$W42,WEEKDAY(AL$2,2)&lt;6),$R42/$V42,"")</f>
        <v/>
      </c>
      <c r="AM42" s="48">
        <f>IF(AND($G42&lt;&gt;"",$W42&lt;&gt;"",AM$2&gt;=$G42,AM$2&lt;=$W42,WEEKDAY(AM$2,2)&lt;6),$R42/$V42,"")</f>
        <v/>
      </c>
      <c r="AN42" s="48">
        <f>IF(AND($G42&lt;&gt;"",$W42&lt;&gt;"",AN$2&gt;=$G42,AN$2&lt;=$W42,WEEKDAY(AN$2,2)&lt;6),$R42/$V42,"")</f>
        <v/>
      </c>
      <c r="AO42" s="48">
        <f>IF(AND($G42&lt;&gt;"",$W42&lt;&gt;"",AO$2&gt;=$G42,AO$2&lt;=$W42,WEEKDAY(AO$2,2)&lt;6),$R42/$V42,"")</f>
        <v/>
      </c>
      <c r="AP42" s="48">
        <f>IF(AND($G42&lt;&gt;"",$W42&lt;&gt;"",AP$2&gt;=$G42,AP$2&lt;=$W42,WEEKDAY(AP$2,2)&lt;6),$R42/$V42,"")</f>
        <v/>
      </c>
      <c r="AQ42" s="48">
        <f>IF(AND($G42&lt;&gt;"",$W42&lt;&gt;"",AQ$2&gt;=$G42,AQ$2&lt;=$W42,WEEKDAY(AQ$2,2)&lt;6),$R42/$V42,"")</f>
        <v/>
      </c>
      <c r="AR42" s="48">
        <f>IF(AND($G42&lt;&gt;"",$W42&lt;&gt;"",AR$2&gt;=$G42,AR$2&lt;=$W42,WEEKDAY(AR$2,2)&lt;6),$R42/$V42,"")</f>
        <v/>
      </c>
      <c r="AS42" s="48">
        <f>IF(AND($G42&lt;&gt;"",$W42&lt;&gt;"",AS$2&gt;=$G42,AS$2&lt;=$W42,WEEKDAY(AS$2,2)&lt;6),$R42/$V42,"")</f>
        <v/>
      </c>
      <c r="AT42" s="48">
        <f>IF(AND($G42&lt;&gt;"",$W42&lt;&gt;"",AT$2&gt;=$G42,AT$2&lt;=$W42,WEEKDAY(AT$2,2)&lt;6),$R42/$V42,"")</f>
        <v/>
      </c>
      <c r="AU42" s="48">
        <f>IF(AND($G42&lt;&gt;"",$W42&lt;&gt;"",AU$2&gt;=$G42,AU$2&lt;=$W42,WEEKDAY(AU$2,2)&lt;6),$R42/$V42,"")</f>
        <v/>
      </c>
      <c r="AV42" s="48">
        <f>IF(AND($G42&lt;&gt;"",$W42&lt;&gt;"",AV$2&gt;=$G42,AV$2&lt;=$W42,WEEKDAY(AV$2,2)&lt;6),$R42/$V42,"")</f>
        <v/>
      </c>
      <c r="AW42" s="48">
        <f>IF(AND($G42&lt;&gt;"",$W42&lt;&gt;"",AW$2&gt;=$G42,AW$2&lt;=$W42,WEEKDAY(AW$2,2)&lt;6),$R42/$V42,"")</f>
        <v/>
      </c>
      <c r="AX42" s="48">
        <f>IF(AND($G42&lt;&gt;"",$W42&lt;&gt;"",AX$2&gt;=$G42,AX$2&lt;=$W42,WEEKDAY(AX$2,2)&lt;6),$R42/$V42,"")</f>
        <v/>
      </c>
      <c r="AY42" s="48">
        <f>IF(AND($G42&lt;&gt;"",$W42&lt;&gt;"",AY$2&gt;=$G42,AY$2&lt;=$W42,WEEKDAY(AY$2,2)&lt;6),$R42/$V42,"")</f>
        <v/>
      </c>
      <c r="AZ42" s="48">
        <f>IF(AND($G42&lt;&gt;"",$W42&lt;&gt;"",AZ$2&gt;=$G42,AZ$2&lt;=$W42,WEEKDAY(AZ$2,2)&lt;6),$R42/$V42,"")</f>
        <v/>
      </c>
      <c r="BA42" s="48">
        <f>IF(AND($G42&lt;&gt;"",$W42&lt;&gt;"",BA$2&gt;=$G42,BA$2&lt;=$W42,WEEKDAY(BA$2,2)&lt;6),$R42/$V42,"")</f>
        <v/>
      </c>
      <c r="BB42" s="48">
        <f>IF(AND($G42&lt;&gt;"",$W42&lt;&gt;"",BB$2&gt;=$G42,BB$2&lt;=$W42,WEEKDAY(BB$2,2)&lt;6),$R42/$V42,"")</f>
        <v/>
      </c>
      <c r="BC42" s="48">
        <f>IF(AND($G42&lt;&gt;"",$W42&lt;&gt;"",BC$2&gt;=$G42,BC$2&lt;=$W42,WEEKDAY(BC$2,2)&lt;6),$R42/$V42,"")</f>
        <v/>
      </c>
      <c r="BD42" s="48">
        <f>IF(AND($G42&lt;&gt;"",$W42&lt;&gt;"",BD$2&gt;=$G42,BD$2&lt;=$W42,WEEKDAY(BD$2,2)&lt;6),$R42/$V42,"")</f>
        <v/>
      </c>
      <c r="BE42" s="48">
        <f>IF(AND($G42&lt;&gt;"",$W42&lt;&gt;"",BE$2&gt;=$G42,BE$2&lt;=$W42,WEEKDAY(BE$2,2)&lt;6),$R42/$V42,"")</f>
        <v/>
      </c>
    </row>
    <row r="43">
      <c r="A43" s="40">
        <f>IF(F43="","",COUNTA($F$8:F43))</f>
        <v/>
      </c>
      <c r="B43" s="41">
        <f>IF(G43="","",MONTH(G43))</f>
        <v/>
      </c>
      <c r="C43" s="42" t="n"/>
      <c r="D43" s="43" t="n"/>
      <c r="E43" s="43" t="n"/>
      <c r="F43" s="42" t="n"/>
      <c r="G43" s="44" t="n"/>
      <c r="H43" s="44" t="n"/>
      <c r="I43" s="43" t="n"/>
      <c r="J43" s="43" t="n"/>
      <c r="K43" s="43" t="n"/>
      <c r="L43" s="42" t="n"/>
      <c r="M43" s="45" t="n"/>
      <c r="N43" s="42" t="n"/>
      <c r="O43" s="45" t="n"/>
      <c r="P43" s="42" t="n"/>
      <c r="Q43" s="45" t="n"/>
      <c r="R43" s="46">
        <f>IF(SUM(M43,O43,Q43)=0,"",SUM(M43,O43,Q43))</f>
        <v/>
      </c>
      <c r="S43" s="41">
        <f>IF(M43&gt;0,"영 ","")&amp;IF(O43&gt;0,"이 ","")&amp;IF(Q43&gt;0,"기 ","")</f>
        <v/>
      </c>
      <c r="T43" s="40">
        <f>IF(G43="","","W"&amp;ROUNDUP(DAY(G43)/7,0))</f>
        <v/>
      </c>
      <c r="U43" s="43" t="n"/>
      <c r="V43" s="40">
        <f>IF(R43="",0,ROUNDUP(MAX(M43,O43,Q43)/'마스터'!$J$6,0))</f>
        <v/>
      </c>
      <c r="W43" s="47">
        <f>IF(OR(G43="",V43=0),"",WORKDAY(G43,V43-1))</f>
        <v/>
      </c>
      <c r="X43" s="41">
        <f>IF(OR(H43="",W43=""),"",H43-W43)</f>
        <v/>
      </c>
      <c r="Y43" s="42" t="n"/>
      <c r="AA43" s="48">
        <f>IF(AND($G43&lt;&gt;"",$W43&lt;&gt;"",AA$2&gt;=$G43,AA$2&lt;=$W43,WEEKDAY(AA$2,2)&lt;6),$R43/$V43,"")</f>
        <v/>
      </c>
      <c r="AB43" s="48">
        <f>IF(AND($G43&lt;&gt;"",$W43&lt;&gt;"",AB$2&gt;=$G43,AB$2&lt;=$W43,WEEKDAY(AB$2,2)&lt;6),$R43/$V43,"")</f>
        <v/>
      </c>
      <c r="AC43" s="48">
        <f>IF(AND($G43&lt;&gt;"",$W43&lt;&gt;"",AC$2&gt;=$G43,AC$2&lt;=$W43,WEEKDAY(AC$2,2)&lt;6),$R43/$V43,"")</f>
        <v/>
      </c>
      <c r="AD43" s="48">
        <f>IF(AND($G43&lt;&gt;"",$W43&lt;&gt;"",AD$2&gt;=$G43,AD$2&lt;=$W43,WEEKDAY(AD$2,2)&lt;6),$R43/$V43,"")</f>
        <v/>
      </c>
      <c r="AE43" s="48">
        <f>IF(AND($G43&lt;&gt;"",$W43&lt;&gt;"",AE$2&gt;=$G43,AE$2&lt;=$W43,WEEKDAY(AE$2,2)&lt;6),$R43/$V43,"")</f>
        <v/>
      </c>
      <c r="AF43" s="48">
        <f>IF(AND($G43&lt;&gt;"",$W43&lt;&gt;"",AF$2&gt;=$G43,AF$2&lt;=$W43,WEEKDAY(AF$2,2)&lt;6),$R43/$V43,"")</f>
        <v/>
      </c>
      <c r="AG43" s="48">
        <f>IF(AND($G43&lt;&gt;"",$W43&lt;&gt;"",AG$2&gt;=$G43,AG$2&lt;=$W43,WEEKDAY(AG$2,2)&lt;6),$R43/$V43,"")</f>
        <v/>
      </c>
      <c r="AH43" s="48">
        <f>IF(AND($G43&lt;&gt;"",$W43&lt;&gt;"",AH$2&gt;=$G43,AH$2&lt;=$W43,WEEKDAY(AH$2,2)&lt;6),$R43/$V43,"")</f>
        <v/>
      </c>
      <c r="AI43" s="48">
        <f>IF(AND($G43&lt;&gt;"",$W43&lt;&gt;"",AI$2&gt;=$G43,AI$2&lt;=$W43,WEEKDAY(AI$2,2)&lt;6),$R43/$V43,"")</f>
        <v/>
      </c>
      <c r="AJ43" s="48">
        <f>IF(AND($G43&lt;&gt;"",$W43&lt;&gt;"",AJ$2&gt;=$G43,AJ$2&lt;=$W43,WEEKDAY(AJ$2,2)&lt;6),$R43/$V43,"")</f>
        <v/>
      </c>
      <c r="AK43" s="48">
        <f>IF(AND($G43&lt;&gt;"",$W43&lt;&gt;"",AK$2&gt;=$G43,AK$2&lt;=$W43,WEEKDAY(AK$2,2)&lt;6),$R43/$V43,"")</f>
        <v/>
      </c>
      <c r="AL43" s="48">
        <f>IF(AND($G43&lt;&gt;"",$W43&lt;&gt;"",AL$2&gt;=$G43,AL$2&lt;=$W43,WEEKDAY(AL$2,2)&lt;6),$R43/$V43,"")</f>
        <v/>
      </c>
      <c r="AM43" s="48">
        <f>IF(AND($G43&lt;&gt;"",$W43&lt;&gt;"",AM$2&gt;=$G43,AM$2&lt;=$W43,WEEKDAY(AM$2,2)&lt;6),$R43/$V43,"")</f>
        <v/>
      </c>
      <c r="AN43" s="48">
        <f>IF(AND($G43&lt;&gt;"",$W43&lt;&gt;"",AN$2&gt;=$G43,AN$2&lt;=$W43,WEEKDAY(AN$2,2)&lt;6),$R43/$V43,"")</f>
        <v/>
      </c>
      <c r="AO43" s="48">
        <f>IF(AND($G43&lt;&gt;"",$W43&lt;&gt;"",AO$2&gt;=$G43,AO$2&lt;=$W43,WEEKDAY(AO$2,2)&lt;6),$R43/$V43,"")</f>
        <v/>
      </c>
      <c r="AP43" s="48">
        <f>IF(AND($G43&lt;&gt;"",$W43&lt;&gt;"",AP$2&gt;=$G43,AP$2&lt;=$W43,WEEKDAY(AP$2,2)&lt;6),$R43/$V43,"")</f>
        <v/>
      </c>
      <c r="AQ43" s="48">
        <f>IF(AND($G43&lt;&gt;"",$W43&lt;&gt;"",AQ$2&gt;=$G43,AQ$2&lt;=$W43,WEEKDAY(AQ$2,2)&lt;6),$R43/$V43,"")</f>
        <v/>
      </c>
      <c r="AR43" s="48">
        <f>IF(AND($G43&lt;&gt;"",$W43&lt;&gt;"",AR$2&gt;=$G43,AR$2&lt;=$W43,WEEKDAY(AR$2,2)&lt;6),$R43/$V43,"")</f>
        <v/>
      </c>
      <c r="AS43" s="48">
        <f>IF(AND($G43&lt;&gt;"",$W43&lt;&gt;"",AS$2&gt;=$G43,AS$2&lt;=$W43,WEEKDAY(AS$2,2)&lt;6),$R43/$V43,"")</f>
        <v/>
      </c>
      <c r="AT43" s="48">
        <f>IF(AND($G43&lt;&gt;"",$W43&lt;&gt;"",AT$2&gt;=$G43,AT$2&lt;=$W43,WEEKDAY(AT$2,2)&lt;6),$R43/$V43,"")</f>
        <v/>
      </c>
      <c r="AU43" s="48">
        <f>IF(AND($G43&lt;&gt;"",$W43&lt;&gt;"",AU$2&gt;=$G43,AU$2&lt;=$W43,WEEKDAY(AU$2,2)&lt;6),$R43/$V43,"")</f>
        <v/>
      </c>
      <c r="AV43" s="48">
        <f>IF(AND($G43&lt;&gt;"",$W43&lt;&gt;"",AV$2&gt;=$G43,AV$2&lt;=$W43,WEEKDAY(AV$2,2)&lt;6),$R43/$V43,"")</f>
        <v/>
      </c>
      <c r="AW43" s="48">
        <f>IF(AND($G43&lt;&gt;"",$W43&lt;&gt;"",AW$2&gt;=$G43,AW$2&lt;=$W43,WEEKDAY(AW$2,2)&lt;6),$R43/$V43,"")</f>
        <v/>
      </c>
      <c r="AX43" s="48">
        <f>IF(AND($G43&lt;&gt;"",$W43&lt;&gt;"",AX$2&gt;=$G43,AX$2&lt;=$W43,WEEKDAY(AX$2,2)&lt;6),$R43/$V43,"")</f>
        <v/>
      </c>
      <c r="AY43" s="48">
        <f>IF(AND($G43&lt;&gt;"",$W43&lt;&gt;"",AY$2&gt;=$G43,AY$2&lt;=$W43,WEEKDAY(AY$2,2)&lt;6),$R43/$V43,"")</f>
        <v/>
      </c>
      <c r="AZ43" s="48">
        <f>IF(AND($G43&lt;&gt;"",$W43&lt;&gt;"",AZ$2&gt;=$G43,AZ$2&lt;=$W43,WEEKDAY(AZ$2,2)&lt;6),$R43/$V43,"")</f>
        <v/>
      </c>
      <c r="BA43" s="48">
        <f>IF(AND($G43&lt;&gt;"",$W43&lt;&gt;"",BA$2&gt;=$G43,BA$2&lt;=$W43,WEEKDAY(BA$2,2)&lt;6),$R43/$V43,"")</f>
        <v/>
      </c>
      <c r="BB43" s="48">
        <f>IF(AND($G43&lt;&gt;"",$W43&lt;&gt;"",BB$2&gt;=$G43,BB$2&lt;=$W43,WEEKDAY(BB$2,2)&lt;6),$R43/$V43,"")</f>
        <v/>
      </c>
      <c r="BC43" s="48">
        <f>IF(AND($G43&lt;&gt;"",$W43&lt;&gt;"",BC$2&gt;=$G43,BC$2&lt;=$W43,WEEKDAY(BC$2,2)&lt;6),$R43/$V43,"")</f>
        <v/>
      </c>
      <c r="BD43" s="48">
        <f>IF(AND($G43&lt;&gt;"",$W43&lt;&gt;"",BD$2&gt;=$G43,BD$2&lt;=$W43,WEEKDAY(BD$2,2)&lt;6),$R43/$V43,"")</f>
        <v/>
      </c>
      <c r="BE43" s="48">
        <f>IF(AND($G43&lt;&gt;"",$W43&lt;&gt;"",BE$2&gt;=$G43,BE$2&lt;=$W43,WEEKDAY(BE$2,2)&lt;6),$R43/$V43,"")</f>
        <v/>
      </c>
    </row>
    <row r="44">
      <c r="A44" s="40">
        <f>IF(F44="","",COUNTA($F$8:F44))</f>
        <v/>
      </c>
      <c r="B44" s="41">
        <f>IF(G44="","",MONTH(G44))</f>
        <v/>
      </c>
      <c r="C44" s="42" t="n"/>
      <c r="D44" s="43" t="n"/>
      <c r="E44" s="43" t="n"/>
      <c r="F44" s="42" t="n"/>
      <c r="G44" s="44" t="n"/>
      <c r="H44" s="44" t="n"/>
      <c r="I44" s="43" t="n"/>
      <c r="J44" s="43" t="n"/>
      <c r="K44" s="43" t="n"/>
      <c r="L44" s="42" t="n"/>
      <c r="M44" s="45" t="n"/>
      <c r="N44" s="42" t="n"/>
      <c r="O44" s="45" t="n"/>
      <c r="P44" s="42" t="n"/>
      <c r="Q44" s="45" t="n"/>
      <c r="R44" s="46">
        <f>IF(SUM(M44,O44,Q44)=0,"",SUM(M44,O44,Q44))</f>
        <v/>
      </c>
      <c r="S44" s="41">
        <f>IF(M44&gt;0,"영 ","")&amp;IF(O44&gt;0,"이 ","")&amp;IF(Q44&gt;0,"기 ","")</f>
        <v/>
      </c>
      <c r="T44" s="40">
        <f>IF(G44="","","W"&amp;ROUNDUP(DAY(G44)/7,0))</f>
        <v/>
      </c>
      <c r="U44" s="43" t="n"/>
      <c r="V44" s="40">
        <f>IF(R44="",0,ROUNDUP(MAX(M44,O44,Q44)/'마스터'!$J$6,0))</f>
        <v/>
      </c>
      <c r="W44" s="47">
        <f>IF(OR(G44="",V44=0),"",WORKDAY(G44,V44-1))</f>
        <v/>
      </c>
      <c r="X44" s="41">
        <f>IF(OR(H44="",W44=""),"",H44-W44)</f>
        <v/>
      </c>
      <c r="Y44" s="42" t="n"/>
      <c r="AA44" s="48">
        <f>IF(AND($G44&lt;&gt;"",$W44&lt;&gt;"",AA$2&gt;=$G44,AA$2&lt;=$W44,WEEKDAY(AA$2,2)&lt;6),$R44/$V44,"")</f>
        <v/>
      </c>
      <c r="AB44" s="48">
        <f>IF(AND($G44&lt;&gt;"",$W44&lt;&gt;"",AB$2&gt;=$G44,AB$2&lt;=$W44,WEEKDAY(AB$2,2)&lt;6),$R44/$V44,"")</f>
        <v/>
      </c>
      <c r="AC44" s="48">
        <f>IF(AND($G44&lt;&gt;"",$W44&lt;&gt;"",AC$2&gt;=$G44,AC$2&lt;=$W44,WEEKDAY(AC$2,2)&lt;6),$R44/$V44,"")</f>
        <v/>
      </c>
      <c r="AD44" s="48">
        <f>IF(AND($G44&lt;&gt;"",$W44&lt;&gt;"",AD$2&gt;=$G44,AD$2&lt;=$W44,WEEKDAY(AD$2,2)&lt;6),$R44/$V44,"")</f>
        <v/>
      </c>
      <c r="AE44" s="48">
        <f>IF(AND($G44&lt;&gt;"",$W44&lt;&gt;"",AE$2&gt;=$G44,AE$2&lt;=$W44,WEEKDAY(AE$2,2)&lt;6),$R44/$V44,"")</f>
        <v/>
      </c>
      <c r="AF44" s="48">
        <f>IF(AND($G44&lt;&gt;"",$W44&lt;&gt;"",AF$2&gt;=$G44,AF$2&lt;=$W44,WEEKDAY(AF$2,2)&lt;6),$R44/$V44,"")</f>
        <v/>
      </c>
      <c r="AG44" s="48">
        <f>IF(AND($G44&lt;&gt;"",$W44&lt;&gt;"",AG$2&gt;=$G44,AG$2&lt;=$W44,WEEKDAY(AG$2,2)&lt;6),$R44/$V44,"")</f>
        <v/>
      </c>
      <c r="AH44" s="48">
        <f>IF(AND($G44&lt;&gt;"",$W44&lt;&gt;"",AH$2&gt;=$G44,AH$2&lt;=$W44,WEEKDAY(AH$2,2)&lt;6),$R44/$V44,"")</f>
        <v/>
      </c>
      <c r="AI44" s="48">
        <f>IF(AND($G44&lt;&gt;"",$W44&lt;&gt;"",AI$2&gt;=$G44,AI$2&lt;=$W44,WEEKDAY(AI$2,2)&lt;6),$R44/$V44,"")</f>
        <v/>
      </c>
      <c r="AJ44" s="48">
        <f>IF(AND($G44&lt;&gt;"",$W44&lt;&gt;"",AJ$2&gt;=$G44,AJ$2&lt;=$W44,WEEKDAY(AJ$2,2)&lt;6),$R44/$V44,"")</f>
        <v/>
      </c>
      <c r="AK44" s="48">
        <f>IF(AND($G44&lt;&gt;"",$W44&lt;&gt;"",AK$2&gt;=$G44,AK$2&lt;=$W44,WEEKDAY(AK$2,2)&lt;6),$R44/$V44,"")</f>
        <v/>
      </c>
      <c r="AL44" s="48">
        <f>IF(AND($G44&lt;&gt;"",$W44&lt;&gt;"",AL$2&gt;=$G44,AL$2&lt;=$W44,WEEKDAY(AL$2,2)&lt;6),$R44/$V44,"")</f>
        <v/>
      </c>
      <c r="AM44" s="48">
        <f>IF(AND($G44&lt;&gt;"",$W44&lt;&gt;"",AM$2&gt;=$G44,AM$2&lt;=$W44,WEEKDAY(AM$2,2)&lt;6),$R44/$V44,"")</f>
        <v/>
      </c>
      <c r="AN44" s="48">
        <f>IF(AND($G44&lt;&gt;"",$W44&lt;&gt;"",AN$2&gt;=$G44,AN$2&lt;=$W44,WEEKDAY(AN$2,2)&lt;6),$R44/$V44,"")</f>
        <v/>
      </c>
      <c r="AO44" s="48">
        <f>IF(AND($G44&lt;&gt;"",$W44&lt;&gt;"",AO$2&gt;=$G44,AO$2&lt;=$W44,WEEKDAY(AO$2,2)&lt;6),$R44/$V44,"")</f>
        <v/>
      </c>
      <c r="AP44" s="48">
        <f>IF(AND($G44&lt;&gt;"",$W44&lt;&gt;"",AP$2&gt;=$G44,AP$2&lt;=$W44,WEEKDAY(AP$2,2)&lt;6),$R44/$V44,"")</f>
        <v/>
      </c>
      <c r="AQ44" s="48">
        <f>IF(AND($G44&lt;&gt;"",$W44&lt;&gt;"",AQ$2&gt;=$G44,AQ$2&lt;=$W44,WEEKDAY(AQ$2,2)&lt;6),$R44/$V44,"")</f>
        <v/>
      </c>
      <c r="AR44" s="48">
        <f>IF(AND($G44&lt;&gt;"",$W44&lt;&gt;"",AR$2&gt;=$G44,AR$2&lt;=$W44,WEEKDAY(AR$2,2)&lt;6),$R44/$V44,"")</f>
        <v/>
      </c>
      <c r="AS44" s="48">
        <f>IF(AND($G44&lt;&gt;"",$W44&lt;&gt;"",AS$2&gt;=$G44,AS$2&lt;=$W44,WEEKDAY(AS$2,2)&lt;6),$R44/$V44,"")</f>
        <v/>
      </c>
      <c r="AT44" s="48">
        <f>IF(AND($G44&lt;&gt;"",$W44&lt;&gt;"",AT$2&gt;=$G44,AT$2&lt;=$W44,WEEKDAY(AT$2,2)&lt;6),$R44/$V44,"")</f>
        <v/>
      </c>
      <c r="AU44" s="48">
        <f>IF(AND($G44&lt;&gt;"",$W44&lt;&gt;"",AU$2&gt;=$G44,AU$2&lt;=$W44,WEEKDAY(AU$2,2)&lt;6),$R44/$V44,"")</f>
        <v/>
      </c>
      <c r="AV44" s="48">
        <f>IF(AND($G44&lt;&gt;"",$W44&lt;&gt;"",AV$2&gt;=$G44,AV$2&lt;=$W44,WEEKDAY(AV$2,2)&lt;6),$R44/$V44,"")</f>
        <v/>
      </c>
      <c r="AW44" s="48">
        <f>IF(AND($G44&lt;&gt;"",$W44&lt;&gt;"",AW$2&gt;=$G44,AW$2&lt;=$W44,WEEKDAY(AW$2,2)&lt;6),$R44/$V44,"")</f>
        <v/>
      </c>
      <c r="AX44" s="48">
        <f>IF(AND($G44&lt;&gt;"",$W44&lt;&gt;"",AX$2&gt;=$G44,AX$2&lt;=$W44,WEEKDAY(AX$2,2)&lt;6),$R44/$V44,"")</f>
        <v/>
      </c>
      <c r="AY44" s="48">
        <f>IF(AND($G44&lt;&gt;"",$W44&lt;&gt;"",AY$2&gt;=$G44,AY$2&lt;=$W44,WEEKDAY(AY$2,2)&lt;6),$R44/$V44,"")</f>
        <v/>
      </c>
      <c r="AZ44" s="48">
        <f>IF(AND($G44&lt;&gt;"",$W44&lt;&gt;"",AZ$2&gt;=$G44,AZ$2&lt;=$W44,WEEKDAY(AZ$2,2)&lt;6),$R44/$V44,"")</f>
        <v/>
      </c>
      <c r="BA44" s="48">
        <f>IF(AND($G44&lt;&gt;"",$W44&lt;&gt;"",BA$2&gt;=$G44,BA$2&lt;=$W44,WEEKDAY(BA$2,2)&lt;6),$R44/$V44,"")</f>
        <v/>
      </c>
      <c r="BB44" s="48">
        <f>IF(AND($G44&lt;&gt;"",$W44&lt;&gt;"",BB$2&gt;=$G44,BB$2&lt;=$W44,WEEKDAY(BB$2,2)&lt;6),$R44/$V44,"")</f>
        <v/>
      </c>
      <c r="BC44" s="48">
        <f>IF(AND($G44&lt;&gt;"",$W44&lt;&gt;"",BC$2&gt;=$G44,BC$2&lt;=$W44,WEEKDAY(BC$2,2)&lt;6),$R44/$V44,"")</f>
        <v/>
      </c>
      <c r="BD44" s="48">
        <f>IF(AND($G44&lt;&gt;"",$W44&lt;&gt;"",BD$2&gt;=$G44,BD$2&lt;=$W44,WEEKDAY(BD$2,2)&lt;6),$R44/$V44,"")</f>
        <v/>
      </c>
      <c r="BE44" s="48">
        <f>IF(AND($G44&lt;&gt;"",$W44&lt;&gt;"",BE$2&gt;=$G44,BE$2&lt;=$W44,WEEKDAY(BE$2,2)&lt;6),$R44/$V44,"")</f>
        <v/>
      </c>
    </row>
    <row r="45">
      <c r="A45" s="40">
        <f>IF(F45="","",COUNTA($F$8:F45))</f>
        <v/>
      </c>
      <c r="B45" s="41">
        <f>IF(G45="","",MONTH(G45))</f>
        <v/>
      </c>
      <c r="C45" s="42" t="n"/>
      <c r="D45" s="43" t="n"/>
      <c r="E45" s="43" t="n"/>
      <c r="F45" s="42" t="n"/>
      <c r="G45" s="44" t="n"/>
      <c r="H45" s="44" t="n"/>
      <c r="I45" s="43" t="n"/>
      <c r="J45" s="43" t="n"/>
      <c r="K45" s="43" t="n"/>
      <c r="L45" s="42" t="n"/>
      <c r="M45" s="45" t="n"/>
      <c r="N45" s="42" t="n"/>
      <c r="O45" s="45" t="n"/>
      <c r="P45" s="42" t="n"/>
      <c r="Q45" s="45" t="n"/>
      <c r="R45" s="46">
        <f>IF(SUM(M45,O45,Q45)=0,"",SUM(M45,O45,Q45))</f>
        <v/>
      </c>
      <c r="S45" s="41">
        <f>IF(M45&gt;0,"영 ","")&amp;IF(O45&gt;0,"이 ","")&amp;IF(Q45&gt;0,"기 ","")</f>
        <v/>
      </c>
      <c r="T45" s="40">
        <f>IF(G45="","","W"&amp;ROUNDUP(DAY(G45)/7,0))</f>
        <v/>
      </c>
      <c r="U45" s="43" t="n"/>
      <c r="V45" s="40">
        <f>IF(R45="",0,ROUNDUP(MAX(M45,O45,Q45)/'마스터'!$J$6,0))</f>
        <v/>
      </c>
      <c r="W45" s="47">
        <f>IF(OR(G45="",V45=0),"",WORKDAY(G45,V45-1))</f>
        <v/>
      </c>
      <c r="X45" s="41">
        <f>IF(OR(H45="",W45=""),"",H45-W45)</f>
        <v/>
      </c>
      <c r="Y45" s="42" t="n"/>
      <c r="AA45" s="48">
        <f>IF(AND($G45&lt;&gt;"",$W45&lt;&gt;"",AA$2&gt;=$G45,AA$2&lt;=$W45,WEEKDAY(AA$2,2)&lt;6),$R45/$V45,"")</f>
        <v/>
      </c>
      <c r="AB45" s="48">
        <f>IF(AND($G45&lt;&gt;"",$W45&lt;&gt;"",AB$2&gt;=$G45,AB$2&lt;=$W45,WEEKDAY(AB$2,2)&lt;6),$R45/$V45,"")</f>
        <v/>
      </c>
      <c r="AC45" s="48">
        <f>IF(AND($G45&lt;&gt;"",$W45&lt;&gt;"",AC$2&gt;=$G45,AC$2&lt;=$W45,WEEKDAY(AC$2,2)&lt;6),$R45/$V45,"")</f>
        <v/>
      </c>
      <c r="AD45" s="48">
        <f>IF(AND($G45&lt;&gt;"",$W45&lt;&gt;"",AD$2&gt;=$G45,AD$2&lt;=$W45,WEEKDAY(AD$2,2)&lt;6),$R45/$V45,"")</f>
        <v/>
      </c>
      <c r="AE45" s="48">
        <f>IF(AND($G45&lt;&gt;"",$W45&lt;&gt;"",AE$2&gt;=$G45,AE$2&lt;=$W45,WEEKDAY(AE$2,2)&lt;6),$R45/$V45,"")</f>
        <v/>
      </c>
      <c r="AF45" s="48">
        <f>IF(AND($G45&lt;&gt;"",$W45&lt;&gt;"",AF$2&gt;=$G45,AF$2&lt;=$W45,WEEKDAY(AF$2,2)&lt;6),$R45/$V45,"")</f>
        <v/>
      </c>
      <c r="AG45" s="48">
        <f>IF(AND($G45&lt;&gt;"",$W45&lt;&gt;"",AG$2&gt;=$G45,AG$2&lt;=$W45,WEEKDAY(AG$2,2)&lt;6),$R45/$V45,"")</f>
        <v/>
      </c>
      <c r="AH45" s="48">
        <f>IF(AND($G45&lt;&gt;"",$W45&lt;&gt;"",AH$2&gt;=$G45,AH$2&lt;=$W45,WEEKDAY(AH$2,2)&lt;6),$R45/$V45,"")</f>
        <v/>
      </c>
      <c r="AI45" s="48">
        <f>IF(AND($G45&lt;&gt;"",$W45&lt;&gt;"",AI$2&gt;=$G45,AI$2&lt;=$W45,WEEKDAY(AI$2,2)&lt;6),$R45/$V45,"")</f>
        <v/>
      </c>
      <c r="AJ45" s="48">
        <f>IF(AND($G45&lt;&gt;"",$W45&lt;&gt;"",AJ$2&gt;=$G45,AJ$2&lt;=$W45,WEEKDAY(AJ$2,2)&lt;6),$R45/$V45,"")</f>
        <v/>
      </c>
      <c r="AK45" s="48">
        <f>IF(AND($G45&lt;&gt;"",$W45&lt;&gt;"",AK$2&gt;=$G45,AK$2&lt;=$W45,WEEKDAY(AK$2,2)&lt;6),$R45/$V45,"")</f>
        <v/>
      </c>
      <c r="AL45" s="48">
        <f>IF(AND($G45&lt;&gt;"",$W45&lt;&gt;"",AL$2&gt;=$G45,AL$2&lt;=$W45,WEEKDAY(AL$2,2)&lt;6),$R45/$V45,"")</f>
        <v/>
      </c>
      <c r="AM45" s="48">
        <f>IF(AND($G45&lt;&gt;"",$W45&lt;&gt;"",AM$2&gt;=$G45,AM$2&lt;=$W45,WEEKDAY(AM$2,2)&lt;6),$R45/$V45,"")</f>
        <v/>
      </c>
      <c r="AN45" s="48">
        <f>IF(AND($G45&lt;&gt;"",$W45&lt;&gt;"",AN$2&gt;=$G45,AN$2&lt;=$W45,WEEKDAY(AN$2,2)&lt;6),$R45/$V45,"")</f>
        <v/>
      </c>
      <c r="AO45" s="48">
        <f>IF(AND($G45&lt;&gt;"",$W45&lt;&gt;"",AO$2&gt;=$G45,AO$2&lt;=$W45,WEEKDAY(AO$2,2)&lt;6),$R45/$V45,"")</f>
        <v/>
      </c>
      <c r="AP45" s="48">
        <f>IF(AND($G45&lt;&gt;"",$W45&lt;&gt;"",AP$2&gt;=$G45,AP$2&lt;=$W45,WEEKDAY(AP$2,2)&lt;6),$R45/$V45,"")</f>
        <v/>
      </c>
      <c r="AQ45" s="48">
        <f>IF(AND($G45&lt;&gt;"",$W45&lt;&gt;"",AQ$2&gt;=$G45,AQ$2&lt;=$W45,WEEKDAY(AQ$2,2)&lt;6),$R45/$V45,"")</f>
        <v/>
      </c>
      <c r="AR45" s="48">
        <f>IF(AND($G45&lt;&gt;"",$W45&lt;&gt;"",AR$2&gt;=$G45,AR$2&lt;=$W45,WEEKDAY(AR$2,2)&lt;6),$R45/$V45,"")</f>
        <v/>
      </c>
      <c r="AS45" s="48">
        <f>IF(AND($G45&lt;&gt;"",$W45&lt;&gt;"",AS$2&gt;=$G45,AS$2&lt;=$W45,WEEKDAY(AS$2,2)&lt;6),$R45/$V45,"")</f>
        <v/>
      </c>
      <c r="AT45" s="48">
        <f>IF(AND($G45&lt;&gt;"",$W45&lt;&gt;"",AT$2&gt;=$G45,AT$2&lt;=$W45,WEEKDAY(AT$2,2)&lt;6),$R45/$V45,"")</f>
        <v/>
      </c>
      <c r="AU45" s="48">
        <f>IF(AND($G45&lt;&gt;"",$W45&lt;&gt;"",AU$2&gt;=$G45,AU$2&lt;=$W45,WEEKDAY(AU$2,2)&lt;6),$R45/$V45,"")</f>
        <v/>
      </c>
      <c r="AV45" s="48">
        <f>IF(AND($G45&lt;&gt;"",$W45&lt;&gt;"",AV$2&gt;=$G45,AV$2&lt;=$W45,WEEKDAY(AV$2,2)&lt;6),$R45/$V45,"")</f>
        <v/>
      </c>
      <c r="AW45" s="48">
        <f>IF(AND($G45&lt;&gt;"",$W45&lt;&gt;"",AW$2&gt;=$G45,AW$2&lt;=$W45,WEEKDAY(AW$2,2)&lt;6),$R45/$V45,"")</f>
        <v/>
      </c>
      <c r="AX45" s="48">
        <f>IF(AND($G45&lt;&gt;"",$W45&lt;&gt;"",AX$2&gt;=$G45,AX$2&lt;=$W45,WEEKDAY(AX$2,2)&lt;6),$R45/$V45,"")</f>
        <v/>
      </c>
      <c r="AY45" s="48">
        <f>IF(AND($G45&lt;&gt;"",$W45&lt;&gt;"",AY$2&gt;=$G45,AY$2&lt;=$W45,WEEKDAY(AY$2,2)&lt;6),$R45/$V45,"")</f>
        <v/>
      </c>
      <c r="AZ45" s="48">
        <f>IF(AND($G45&lt;&gt;"",$W45&lt;&gt;"",AZ$2&gt;=$G45,AZ$2&lt;=$W45,WEEKDAY(AZ$2,2)&lt;6),$R45/$V45,"")</f>
        <v/>
      </c>
      <c r="BA45" s="48">
        <f>IF(AND($G45&lt;&gt;"",$W45&lt;&gt;"",BA$2&gt;=$G45,BA$2&lt;=$W45,WEEKDAY(BA$2,2)&lt;6),$R45/$V45,"")</f>
        <v/>
      </c>
      <c r="BB45" s="48">
        <f>IF(AND($G45&lt;&gt;"",$W45&lt;&gt;"",BB$2&gt;=$G45,BB$2&lt;=$W45,WEEKDAY(BB$2,2)&lt;6),$R45/$V45,"")</f>
        <v/>
      </c>
      <c r="BC45" s="48">
        <f>IF(AND($G45&lt;&gt;"",$W45&lt;&gt;"",BC$2&gt;=$G45,BC$2&lt;=$W45,WEEKDAY(BC$2,2)&lt;6),$R45/$V45,"")</f>
        <v/>
      </c>
      <c r="BD45" s="48">
        <f>IF(AND($G45&lt;&gt;"",$W45&lt;&gt;"",BD$2&gt;=$G45,BD$2&lt;=$W45,WEEKDAY(BD$2,2)&lt;6),$R45/$V45,"")</f>
        <v/>
      </c>
      <c r="BE45" s="48">
        <f>IF(AND($G45&lt;&gt;"",$W45&lt;&gt;"",BE$2&gt;=$G45,BE$2&lt;=$W45,WEEKDAY(BE$2,2)&lt;6),$R45/$V45,"")</f>
        <v/>
      </c>
    </row>
    <row r="46">
      <c r="A46" s="40">
        <f>IF(F46="","",COUNTA($F$8:F46))</f>
        <v/>
      </c>
      <c r="B46" s="41">
        <f>IF(G46="","",MONTH(G46))</f>
        <v/>
      </c>
      <c r="C46" s="42" t="n"/>
      <c r="D46" s="43" t="n"/>
      <c r="E46" s="43" t="n"/>
      <c r="F46" s="42" t="n"/>
      <c r="G46" s="44" t="n"/>
      <c r="H46" s="44" t="n"/>
      <c r="I46" s="43" t="n"/>
      <c r="J46" s="43" t="n"/>
      <c r="K46" s="43" t="n"/>
      <c r="L46" s="42" t="n"/>
      <c r="M46" s="45" t="n"/>
      <c r="N46" s="42" t="n"/>
      <c r="O46" s="45" t="n"/>
      <c r="P46" s="42" t="n"/>
      <c r="Q46" s="45" t="n"/>
      <c r="R46" s="46">
        <f>IF(SUM(M46,O46,Q46)=0,"",SUM(M46,O46,Q46))</f>
        <v/>
      </c>
      <c r="S46" s="41">
        <f>IF(M46&gt;0,"영 ","")&amp;IF(O46&gt;0,"이 ","")&amp;IF(Q46&gt;0,"기 ","")</f>
        <v/>
      </c>
      <c r="T46" s="40">
        <f>IF(G46="","","W"&amp;ROUNDUP(DAY(G46)/7,0))</f>
        <v/>
      </c>
      <c r="U46" s="43" t="n"/>
      <c r="V46" s="40">
        <f>IF(R46="",0,ROUNDUP(MAX(M46,O46,Q46)/'마스터'!$J$6,0))</f>
        <v/>
      </c>
      <c r="W46" s="47">
        <f>IF(OR(G46="",V46=0),"",WORKDAY(G46,V46-1))</f>
        <v/>
      </c>
      <c r="X46" s="41">
        <f>IF(OR(H46="",W46=""),"",H46-W46)</f>
        <v/>
      </c>
      <c r="Y46" s="42" t="n"/>
      <c r="AA46" s="48">
        <f>IF(AND($G46&lt;&gt;"",$W46&lt;&gt;"",AA$2&gt;=$G46,AA$2&lt;=$W46,WEEKDAY(AA$2,2)&lt;6),$R46/$V46,"")</f>
        <v/>
      </c>
      <c r="AB46" s="48">
        <f>IF(AND($G46&lt;&gt;"",$W46&lt;&gt;"",AB$2&gt;=$G46,AB$2&lt;=$W46,WEEKDAY(AB$2,2)&lt;6),$R46/$V46,"")</f>
        <v/>
      </c>
      <c r="AC46" s="48">
        <f>IF(AND($G46&lt;&gt;"",$W46&lt;&gt;"",AC$2&gt;=$G46,AC$2&lt;=$W46,WEEKDAY(AC$2,2)&lt;6),$R46/$V46,"")</f>
        <v/>
      </c>
      <c r="AD46" s="48">
        <f>IF(AND($G46&lt;&gt;"",$W46&lt;&gt;"",AD$2&gt;=$G46,AD$2&lt;=$W46,WEEKDAY(AD$2,2)&lt;6),$R46/$V46,"")</f>
        <v/>
      </c>
      <c r="AE46" s="48">
        <f>IF(AND($G46&lt;&gt;"",$W46&lt;&gt;"",AE$2&gt;=$G46,AE$2&lt;=$W46,WEEKDAY(AE$2,2)&lt;6),$R46/$V46,"")</f>
        <v/>
      </c>
      <c r="AF46" s="48">
        <f>IF(AND($G46&lt;&gt;"",$W46&lt;&gt;"",AF$2&gt;=$G46,AF$2&lt;=$W46,WEEKDAY(AF$2,2)&lt;6),$R46/$V46,"")</f>
        <v/>
      </c>
      <c r="AG46" s="48">
        <f>IF(AND($G46&lt;&gt;"",$W46&lt;&gt;"",AG$2&gt;=$G46,AG$2&lt;=$W46,WEEKDAY(AG$2,2)&lt;6),$R46/$V46,"")</f>
        <v/>
      </c>
      <c r="AH46" s="48">
        <f>IF(AND($G46&lt;&gt;"",$W46&lt;&gt;"",AH$2&gt;=$G46,AH$2&lt;=$W46,WEEKDAY(AH$2,2)&lt;6),$R46/$V46,"")</f>
        <v/>
      </c>
      <c r="AI46" s="48">
        <f>IF(AND($G46&lt;&gt;"",$W46&lt;&gt;"",AI$2&gt;=$G46,AI$2&lt;=$W46,WEEKDAY(AI$2,2)&lt;6),$R46/$V46,"")</f>
        <v/>
      </c>
      <c r="AJ46" s="48">
        <f>IF(AND($G46&lt;&gt;"",$W46&lt;&gt;"",AJ$2&gt;=$G46,AJ$2&lt;=$W46,WEEKDAY(AJ$2,2)&lt;6),$R46/$V46,"")</f>
        <v/>
      </c>
      <c r="AK46" s="48">
        <f>IF(AND($G46&lt;&gt;"",$W46&lt;&gt;"",AK$2&gt;=$G46,AK$2&lt;=$W46,WEEKDAY(AK$2,2)&lt;6),$R46/$V46,"")</f>
        <v/>
      </c>
      <c r="AL46" s="48">
        <f>IF(AND($G46&lt;&gt;"",$W46&lt;&gt;"",AL$2&gt;=$G46,AL$2&lt;=$W46,WEEKDAY(AL$2,2)&lt;6),$R46/$V46,"")</f>
        <v/>
      </c>
      <c r="AM46" s="48">
        <f>IF(AND($G46&lt;&gt;"",$W46&lt;&gt;"",AM$2&gt;=$G46,AM$2&lt;=$W46,WEEKDAY(AM$2,2)&lt;6),$R46/$V46,"")</f>
        <v/>
      </c>
      <c r="AN46" s="48">
        <f>IF(AND($G46&lt;&gt;"",$W46&lt;&gt;"",AN$2&gt;=$G46,AN$2&lt;=$W46,WEEKDAY(AN$2,2)&lt;6),$R46/$V46,"")</f>
        <v/>
      </c>
      <c r="AO46" s="48">
        <f>IF(AND($G46&lt;&gt;"",$W46&lt;&gt;"",AO$2&gt;=$G46,AO$2&lt;=$W46,WEEKDAY(AO$2,2)&lt;6),$R46/$V46,"")</f>
        <v/>
      </c>
      <c r="AP46" s="48">
        <f>IF(AND($G46&lt;&gt;"",$W46&lt;&gt;"",AP$2&gt;=$G46,AP$2&lt;=$W46,WEEKDAY(AP$2,2)&lt;6),$R46/$V46,"")</f>
        <v/>
      </c>
      <c r="AQ46" s="48">
        <f>IF(AND($G46&lt;&gt;"",$W46&lt;&gt;"",AQ$2&gt;=$G46,AQ$2&lt;=$W46,WEEKDAY(AQ$2,2)&lt;6),$R46/$V46,"")</f>
        <v/>
      </c>
      <c r="AR46" s="48">
        <f>IF(AND($G46&lt;&gt;"",$W46&lt;&gt;"",AR$2&gt;=$G46,AR$2&lt;=$W46,WEEKDAY(AR$2,2)&lt;6),$R46/$V46,"")</f>
        <v/>
      </c>
      <c r="AS46" s="48">
        <f>IF(AND($G46&lt;&gt;"",$W46&lt;&gt;"",AS$2&gt;=$G46,AS$2&lt;=$W46,WEEKDAY(AS$2,2)&lt;6),$R46/$V46,"")</f>
        <v/>
      </c>
      <c r="AT46" s="48">
        <f>IF(AND($G46&lt;&gt;"",$W46&lt;&gt;"",AT$2&gt;=$G46,AT$2&lt;=$W46,WEEKDAY(AT$2,2)&lt;6),$R46/$V46,"")</f>
        <v/>
      </c>
      <c r="AU46" s="48">
        <f>IF(AND($G46&lt;&gt;"",$W46&lt;&gt;"",AU$2&gt;=$G46,AU$2&lt;=$W46,WEEKDAY(AU$2,2)&lt;6),$R46/$V46,"")</f>
        <v/>
      </c>
      <c r="AV46" s="48">
        <f>IF(AND($G46&lt;&gt;"",$W46&lt;&gt;"",AV$2&gt;=$G46,AV$2&lt;=$W46,WEEKDAY(AV$2,2)&lt;6),$R46/$V46,"")</f>
        <v/>
      </c>
      <c r="AW46" s="48">
        <f>IF(AND($G46&lt;&gt;"",$W46&lt;&gt;"",AW$2&gt;=$G46,AW$2&lt;=$W46,WEEKDAY(AW$2,2)&lt;6),$R46/$V46,"")</f>
        <v/>
      </c>
      <c r="AX46" s="48">
        <f>IF(AND($G46&lt;&gt;"",$W46&lt;&gt;"",AX$2&gt;=$G46,AX$2&lt;=$W46,WEEKDAY(AX$2,2)&lt;6),$R46/$V46,"")</f>
        <v/>
      </c>
      <c r="AY46" s="48">
        <f>IF(AND($G46&lt;&gt;"",$W46&lt;&gt;"",AY$2&gt;=$G46,AY$2&lt;=$W46,WEEKDAY(AY$2,2)&lt;6),$R46/$V46,"")</f>
        <v/>
      </c>
      <c r="AZ46" s="48">
        <f>IF(AND($G46&lt;&gt;"",$W46&lt;&gt;"",AZ$2&gt;=$G46,AZ$2&lt;=$W46,WEEKDAY(AZ$2,2)&lt;6),$R46/$V46,"")</f>
        <v/>
      </c>
      <c r="BA46" s="48">
        <f>IF(AND($G46&lt;&gt;"",$W46&lt;&gt;"",BA$2&gt;=$G46,BA$2&lt;=$W46,WEEKDAY(BA$2,2)&lt;6),$R46/$V46,"")</f>
        <v/>
      </c>
      <c r="BB46" s="48">
        <f>IF(AND($G46&lt;&gt;"",$W46&lt;&gt;"",BB$2&gt;=$G46,BB$2&lt;=$W46,WEEKDAY(BB$2,2)&lt;6),$R46/$V46,"")</f>
        <v/>
      </c>
      <c r="BC46" s="48">
        <f>IF(AND($G46&lt;&gt;"",$W46&lt;&gt;"",BC$2&gt;=$G46,BC$2&lt;=$W46,WEEKDAY(BC$2,2)&lt;6),$R46/$V46,"")</f>
        <v/>
      </c>
      <c r="BD46" s="48">
        <f>IF(AND($G46&lt;&gt;"",$W46&lt;&gt;"",BD$2&gt;=$G46,BD$2&lt;=$W46,WEEKDAY(BD$2,2)&lt;6),$R46/$V46,"")</f>
        <v/>
      </c>
      <c r="BE46" s="48">
        <f>IF(AND($G46&lt;&gt;"",$W46&lt;&gt;"",BE$2&gt;=$G46,BE$2&lt;=$W46,WEEKDAY(BE$2,2)&lt;6),$R46/$V46,"")</f>
        <v/>
      </c>
    </row>
    <row r="47">
      <c r="A47" s="40">
        <f>IF(F47="","",COUNTA($F$8:F47))</f>
        <v/>
      </c>
      <c r="B47" s="41">
        <f>IF(G47="","",MONTH(G47))</f>
        <v/>
      </c>
      <c r="C47" s="42" t="n"/>
      <c r="D47" s="43" t="n"/>
      <c r="E47" s="43" t="n"/>
      <c r="F47" s="42" t="n"/>
      <c r="G47" s="44" t="n"/>
      <c r="H47" s="44" t="n"/>
      <c r="I47" s="43" t="n"/>
      <c r="J47" s="43" t="n"/>
      <c r="K47" s="43" t="n"/>
      <c r="L47" s="42" t="n"/>
      <c r="M47" s="45" t="n"/>
      <c r="N47" s="42" t="n"/>
      <c r="O47" s="45" t="n"/>
      <c r="P47" s="42" t="n"/>
      <c r="Q47" s="45" t="n"/>
      <c r="R47" s="46">
        <f>IF(SUM(M47,O47,Q47)=0,"",SUM(M47,O47,Q47))</f>
        <v/>
      </c>
      <c r="S47" s="41">
        <f>IF(M47&gt;0,"영 ","")&amp;IF(O47&gt;0,"이 ","")&amp;IF(Q47&gt;0,"기 ","")</f>
        <v/>
      </c>
      <c r="T47" s="40">
        <f>IF(G47="","","W"&amp;ROUNDUP(DAY(G47)/7,0))</f>
        <v/>
      </c>
      <c r="U47" s="43" t="n"/>
      <c r="V47" s="40">
        <f>IF(R47="",0,ROUNDUP(MAX(M47,O47,Q47)/'마스터'!$J$6,0))</f>
        <v/>
      </c>
      <c r="W47" s="47">
        <f>IF(OR(G47="",V47=0),"",WORKDAY(G47,V47-1))</f>
        <v/>
      </c>
      <c r="X47" s="41">
        <f>IF(OR(H47="",W47=""),"",H47-W47)</f>
        <v/>
      </c>
      <c r="Y47" s="42" t="n"/>
      <c r="AA47" s="48">
        <f>IF(AND($G47&lt;&gt;"",$W47&lt;&gt;"",AA$2&gt;=$G47,AA$2&lt;=$W47,WEEKDAY(AA$2,2)&lt;6),$R47/$V47,"")</f>
        <v/>
      </c>
      <c r="AB47" s="48">
        <f>IF(AND($G47&lt;&gt;"",$W47&lt;&gt;"",AB$2&gt;=$G47,AB$2&lt;=$W47,WEEKDAY(AB$2,2)&lt;6),$R47/$V47,"")</f>
        <v/>
      </c>
      <c r="AC47" s="48">
        <f>IF(AND($G47&lt;&gt;"",$W47&lt;&gt;"",AC$2&gt;=$G47,AC$2&lt;=$W47,WEEKDAY(AC$2,2)&lt;6),$R47/$V47,"")</f>
        <v/>
      </c>
      <c r="AD47" s="48">
        <f>IF(AND($G47&lt;&gt;"",$W47&lt;&gt;"",AD$2&gt;=$G47,AD$2&lt;=$W47,WEEKDAY(AD$2,2)&lt;6),$R47/$V47,"")</f>
        <v/>
      </c>
      <c r="AE47" s="48">
        <f>IF(AND($G47&lt;&gt;"",$W47&lt;&gt;"",AE$2&gt;=$G47,AE$2&lt;=$W47,WEEKDAY(AE$2,2)&lt;6),$R47/$V47,"")</f>
        <v/>
      </c>
      <c r="AF47" s="48">
        <f>IF(AND($G47&lt;&gt;"",$W47&lt;&gt;"",AF$2&gt;=$G47,AF$2&lt;=$W47,WEEKDAY(AF$2,2)&lt;6),$R47/$V47,"")</f>
        <v/>
      </c>
      <c r="AG47" s="48">
        <f>IF(AND($G47&lt;&gt;"",$W47&lt;&gt;"",AG$2&gt;=$G47,AG$2&lt;=$W47,WEEKDAY(AG$2,2)&lt;6),$R47/$V47,"")</f>
        <v/>
      </c>
      <c r="AH47" s="48">
        <f>IF(AND($G47&lt;&gt;"",$W47&lt;&gt;"",AH$2&gt;=$G47,AH$2&lt;=$W47,WEEKDAY(AH$2,2)&lt;6),$R47/$V47,"")</f>
        <v/>
      </c>
      <c r="AI47" s="48">
        <f>IF(AND($G47&lt;&gt;"",$W47&lt;&gt;"",AI$2&gt;=$G47,AI$2&lt;=$W47,WEEKDAY(AI$2,2)&lt;6),$R47/$V47,"")</f>
        <v/>
      </c>
      <c r="AJ47" s="48">
        <f>IF(AND($G47&lt;&gt;"",$W47&lt;&gt;"",AJ$2&gt;=$G47,AJ$2&lt;=$W47,WEEKDAY(AJ$2,2)&lt;6),$R47/$V47,"")</f>
        <v/>
      </c>
      <c r="AK47" s="48">
        <f>IF(AND($G47&lt;&gt;"",$W47&lt;&gt;"",AK$2&gt;=$G47,AK$2&lt;=$W47,WEEKDAY(AK$2,2)&lt;6),$R47/$V47,"")</f>
        <v/>
      </c>
      <c r="AL47" s="48">
        <f>IF(AND($G47&lt;&gt;"",$W47&lt;&gt;"",AL$2&gt;=$G47,AL$2&lt;=$W47,WEEKDAY(AL$2,2)&lt;6),$R47/$V47,"")</f>
        <v/>
      </c>
      <c r="AM47" s="48">
        <f>IF(AND($G47&lt;&gt;"",$W47&lt;&gt;"",AM$2&gt;=$G47,AM$2&lt;=$W47,WEEKDAY(AM$2,2)&lt;6),$R47/$V47,"")</f>
        <v/>
      </c>
      <c r="AN47" s="48">
        <f>IF(AND($G47&lt;&gt;"",$W47&lt;&gt;"",AN$2&gt;=$G47,AN$2&lt;=$W47,WEEKDAY(AN$2,2)&lt;6),$R47/$V47,"")</f>
        <v/>
      </c>
      <c r="AO47" s="48">
        <f>IF(AND($G47&lt;&gt;"",$W47&lt;&gt;"",AO$2&gt;=$G47,AO$2&lt;=$W47,WEEKDAY(AO$2,2)&lt;6),$R47/$V47,"")</f>
        <v/>
      </c>
      <c r="AP47" s="48">
        <f>IF(AND($G47&lt;&gt;"",$W47&lt;&gt;"",AP$2&gt;=$G47,AP$2&lt;=$W47,WEEKDAY(AP$2,2)&lt;6),$R47/$V47,"")</f>
        <v/>
      </c>
      <c r="AQ47" s="48">
        <f>IF(AND($G47&lt;&gt;"",$W47&lt;&gt;"",AQ$2&gt;=$G47,AQ$2&lt;=$W47,WEEKDAY(AQ$2,2)&lt;6),$R47/$V47,"")</f>
        <v/>
      </c>
      <c r="AR47" s="48">
        <f>IF(AND($G47&lt;&gt;"",$W47&lt;&gt;"",AR$2&gt;=$G47,AR$2&lt;=$W47,WEEKDAY(AR$2,2)&lt;6),$R47/$V47,"")</f>
        <v/>
      </c>
      <c r="AS47" s="48">
        <f>IF(AND($G47&lt;&gt;"",$W47&lt;&gt;"",AS$2&gt;=$G47,AS$2&lt;=$W47,WEEKDAY(AS$2,2)&lt;6),$R47/$V47,"")</f>
        <v/>
      </c>
      <c r="AT47" s="48">
        <f>IF(AND($G47&lt;&gt;"",$W47&lt;&gt;"",AT$2&gt;=$G47,AT$2&lt;=$W47,WEEKDAY(AT$2,2)&lt;6),$R47/$V47,"")</f>
        <v/>
      </c>
      <c r="AU47" s="48">
        <f>IF(AND($G47&lt;&gt;"",$W47&lt;&gt;"",AU$2&gt;=$G47,AU$2&lt;=$W47,WEEKDAY(AU$2,2)&lt;6),$R47/$V47,"")</f>
        <v/>
      </c>
      <c r="AV47" s="48">
        <f>IF(AND($G47&lt;&gt;"",$W47&lt;&gt;"",AV$2&gt;=$G47,AV$2&lt;=$W47,WEEKDAY(AV$2,2)&lt;6),$R47/$V47,"")</f>
        <v/>
      </c>
      <c r="AW47" s="48">
        <f>IF(AND($G47&lt;&gt;"",$W47&lt;&gt;"",AW$2&gt;=$G47,AW$2&lt;=$W47,WEEKDAY(AW$2,2)&lt;6),$R47/$V47,"")</f>
        <v/>
      </c>
      <c r="AX47" s="48">
        <f>IF(AND($G47&lt;&gt;"",$W47&lt;&gt;"",AX$2&gt;=$G47,AX$2&lt;=$W47,WEEKDAY(AX$2,2)&lt;6),$R47/$V47,"")</f>
        <v/>
      </c>
      <c r="AY47" s="48">
        <f>IF(AND($G47&lt;&gt;"",$W47&lt;&gt;"",AY$2&gt;=$G47,AY$2&lt;=$W47,WEEKDAY(AY$2,2)&lt;6),$R47/$V47,"")</f>
        <v/>
      </c>
      <c r="AZ47" s="48">
        <f>IF(AND($G47&lt;&gt;"",$W47&lt;&gt;"",AZ$2&gt;=$G47,AZ$2&lt;=$W47,WEEKDAY(AZ$2,2)&lt;6),$R47/$V47,"")</f>
        <v/>
      </c>
      <c r="BA47" s="48">
        <f>IF(AND($G47&lt;&gt;"",$W47&lt;&gt;"",BA$2&gt;=$G47,BA$2&lt;=$W47,WEEKDAY(BA$2,2)&lt;6),$R47/$V47,"")</f>
        <v/>
      </c>
      <c r="BB47" s="48">
        <f>IF(AND($G47&lt;&gt;"",$W47&lt;&gt;"",BB$2&gt;=$G47,BB$2&lt;=$W47,WEEKDAY(BB$2,2)&lt;6),$R47/$V47,"")</f>
        <v/>
      </c>
      <c r="BC47" s="48">
        <f>IF(AND($G47&lt;&gt;"",$W47&lt;&gt;"",BC$2&gt;=$G47,BC$2&lt;=$W47,WEEKDAY(BC$2,2)&lt;6),$R47/$V47,"")</f>
        <v/>
      </c>
      <c r="BD47" s="48">
        <f>IF(AND($G47&lt;&gt;"",$W47&lt;&gt;"",BD$2&gt;=$G47,BD$2&lt;=$W47,WEEKDAY(BD$2,2)&lt;6),$R47/$V47,"")</f>
        <v/>
      </c>
      <c r="BE47" s="48">
        <f>IF(AND($G47&lt;&gt;"",$W47&lt;&gt;"",BE$2&gt;=$G47,BE$2&lt;=$W47,WEEKDAY(BE$2,2)&lt;6),$R47/$V47,"")</f>
        <v/>
      </c>
    </row>
    <row r="48">
      <c r="A48" s="40">
        <f>IF(F48="","",COUNTA($F$8:F48))</f>
        <v/>
      </c>
      <c r="B48" s="41">
        <f>IF(G48="","",MONTH(G48))</f>
        <v/>
      </c>
      <c r="C48" s="42" t="n"/>
      <c r="D48" s="43" t="n"/>
      <c r="E48" s="43" t="n"/>
      <c r="F48" s="42" t="n"/>
      <c r="G48" s="44" t="n"/>
      <c r="H48" s="44" t="n"/>
      <c r="I48" s="43" t="n"/>
      <c r="J48" s="43" t="n"/>
      <c r="K48" s="43" t="n"/>
      <c r="L48" s="42" t="n"/>
      <c r="M48" s="45" t="n"/>
      <c r="N48" s="42" t="n"/>
      <c r="O48" s="45" t="n"/>
      <c r="P48" s="42" t="n"/>
      <c r="Q48" s="45" t="n"/>
      <c r="R48" s="46">
        <f>IF(SUM(M48,O48,Q48)=0,"",SUM(M48,O48,Q48))</f>
        <v/>
      </c>
      <c r="S48" s="41">
        <f>IF(M48&gt;0,"영 ","")&amp;IF(O48&gt;0,"이 ","")&amp;IF(Q48&gt;0,"기 ","")</f>
        <v/>
      </c>
      <c r="T48" s="40">
        <f>IF(G48="","","W"&amp;ROUNDUP(DAY(G48)/7,0))</f>
        <v/>
      </c>
      <c r="U48" s="43" t="n"/>
      <c r="V48" s="40">
        <f>IF(R48="",0,ROUNDUP(MAX(M48,O48,Q48)/'마스터'!$J$6,0))</f>
        <v/>
      </c>
      <c r="W48" s="47">
        <f>IF(OR(G48="",V48=0),"",WORKDAY(G48,V48-1))</f>
        <v/>
      </c>
      <c r="X48" s="41">
        <f>IF(OR(H48="",W48=""),"",H48-W48)</f>
        <v/>
      </c>
      <c r="Y48" s="42" t="n"/>
      <c r="AA48" s="48">
        <f>IF(AND($G48&lt;&gt;"",$W48&lt;&gt;"",AA$2&gt;=$G48,AA$2&lt;=$W48,WEEKDAY(AA$2,2)&lt;6),$R48/$V48,"")</f>
        <v/>
      </c>
      <c r="AB48" s="48">
        <f>IF(AND($G48&lt;&gt;"",$W48&lt;&gt;"",AB$2&gt;=$G48,AB$2&lt;=$W48,WEEKDAY(AB$2,2)&lt;6),$R48/$V48,"")</f>
        <v/>
      </c>
      <c r="AC48" s="48">
        <f>IF(AND($G48&lt;&gt;"",$W48&lt;&gt;"",AC$2&gt;=$G48,AC$2&lt;=$W48,WEEKDAY(AC$2,2)&lt;6),$R48/$V48,"")</f>
        <v/>
      </c>
      <c r="AD48" s="48">
        <f>IF(AND($G48&lt;&gt;"",$W48&lt;&gt;"",AD$2&gt;=$G48,AD$2&lt;=$W48,WEEKDAY(AD$2,2)&lt;6),$R48/$V48,"")</f>
        <v/>
      </c>
      <c r="AE48" s="48">
        <f>IF(AND($G48&lt;&gt;"",$W48&lt;&gt;"",AE$2&gt;=$G48,AE$2&lt;=$W48,WEEKDAY(AE$2,2)&lt;6),$R48/$V48,"")</f>
        <v/>
      </c>
      <c r="AF48" s="48">
        <f>IF(AND($G48&lt;&gt;"",$W48&lt;&gt;"",AF$2&gt;=$G48,AF$2&lt;=$W48,WEEKDAY(AF$2,2)&lt;6),$R48/$V48,"")</f>
        <v/>
      </c>
      <c r="AG48" s="48">
        <f>IF(AND($G48&lt;&gt;"",$W48&lt;&gt;"",AG$2&gt;=$G48,AG$2&lt;=$W48,WEEKDAY(AG$2,2)&lt;6),$R48/$V48,"")</f>
        <v/>
      </c>
      <c r="AH48" s="48">
        <f>IF(AND($G48&lt;&gt;"",$W48&lt;&gt;"",AH$2&gt;=$G48,AH$2&lt;=$W48,WEEKDAY(AH$2,2)&lt;6),$R48/$V48,"")</f>
        <v/>
      </c>
      <c r="AI48" s="48">
        <f>IF(AND($G48&lt;&gt;"",$W48&lt;&gt;"",AI$2&gt;=$G48,AI$2&lt;=$W48,WEEKDAY(AI$2,2)&lt;6),$R48/$V48,"")</f>
        <v/>
      </c>
      <c r="AJ48" s="48">
        <f>IF(AND($G48&lt;&gt;"",$W48&lt;&gt;"",AJ$2&gt;=$G48,AJ$2&lt;=$W48,WEEKDAY(AJ$2,2)&lt;6),$R48/$V48,"")</f>
        <v/>
      </c>
      <c r="AK48" s="48">
        <f>IF(AND($G48&lt;&gt;"",$W48&lt;&gt;"",AK$2&gt;=$G48,AK$2&lt;=$W48,WEEKDAY(AK$2,2)&lt;6),$R48/$V48,"")</f>
        <v/>
      </c>
      <c r="AL48" s="48">
        <f>IF(AND($G48&lt;&gt;"",$W48&lt;&gt;"",AL$2&gt;=$G48,AL$2&lt;=$W48,WEEKDAY(AL$2,2)&lt;6),$R48/$V48,"")</f>
        <v/>
      </c>
      <c r="AM48" s="48">
        <f>IF(AND($G48&lt;&gt;"",$W48&lt;&gt;"",AM$2&gt;=$G48,AM$2&lt;=$W48,WEEKDAY(AM$2,2)&lt;6),$R48/$V48,"")</f>
        <v/>
      </c>
      <c r="AN48" s="48">
        <f>IF(AND($G48&lt;&gt;"",$W48&lt;&gt;"",AN$2&gt;=$G48,AN$2&lt;=$W48,WEEKDAY(AN$2,2)&lt;6),$R48/$V48,"")</f>
        <v/>
      </c>
      <c r="AO48" s="48">
        <f>IF(AND($G48&lt;&gt;"",$W48&lt;&gt;"",AO$2&gt;=$G48,AO$2&lt;=$W48,WEEKDAY(AO$2,2)&lt;6),$R48/$V48,"")</f>
        <v/>
      </c>
      <c r="AP48" s="48">
        <f>IF(AND($G48&lt;&gt;"",$W48&lt;&gt;"",AP$2&gt;=$G48,AP$2&lt;=$W48,WEEKDAY(AP$2,2)&lt;6),$R48/$V48,"")</f>
        <v/>
      </c>
      <c r="AQ48" s="48">
        <f>IF(AND($G48&lt;&gt;"",$W48&lt;&gt;"",AQ$2&gt;=$G48,AQ$2&lt;=$W48,WEEKDAY(AQ$2,2)&lt;6),$R48/$V48,"")</f>
        <v/>
      </c>
      <c r="AR48" s="48">
        <f>IF(AND($G48&lt;&gt;"",$W48&lt;&gt;"",AR$2&gt;=$G48,AR$2&lt;=$W48,WEEKDAY(AR$2,2)&lt;6),$R48/$V48,"")</f>
        <v/>
      </c>
      <c r="AS48" s="48">
        <f>IF(AND($G48&lt;&gt;"",$W48&lt;&gt;"",AS$2&gt;=$G48,AS$2&lt;=$W48,WEEKDAY(AS$2,2)&lt;6),$R48/$V48,"")</f>
        <v/>
      </c>
      <c r="AT48" s="48">
        <f>IF(AND($G48&lt;&gt;"",$W48&lt;&gt;"",AT$2&gt;=$G48,AT$2&lt;=$W48,WEEKDAY(AT$2,2)&lt;6),$R48/$V48,"")</f>
        <v/>
      </c>
      <c r="AU48" s="48">
        <f>IF(AND($G48&lt;&gt;"",$W48&lt;&gt;"",AU$2&gt;=$G48,AU$2&lt;=$W48,WEEKDAY(AU$2,2)&lt;6),$R48/$V48,"")</f>
        <v/>
      </c>
      <c r="AV48" s="48">
        <f>IF(AND($G48&lt;&gt;"",$W48&lt;&gt;"",AV$2&gt;=$G48,AV$2&lt;=$W48,WEEKDAY(AV$2,2)&lt;6),$R48/$V48,"")</f>
        <v/>
      </c>
      <c r="AW48" s="48">
        <f>IF(AND($G48&lt;&gt;"",$W48&lt;&gt;"",AW$2&gt;=$G48,AW$2&lt;=$W48,WEEKDAY(AW$2,2)&lt;6),$R48/$V48,"")</f>
        <v/>
      </c>
      <c r="AX48" s="48">
        <f>IF(AND($G48&lt;&gt;"",$W48&lt;&gt;"",AX$2&gt;=$G48,AX$2&lt;=$W48,WEEKDAY(AX$2,2)&lt;6),$R48/$V48,"")</f>
        <v/>
      </c>
      <c r="AY48" s="48">
        <f>IF(AND($G48&lt;&gt;"",$W48&lt;&gt;"",AY$2&gt;=$G48,AY$2&lt;=$W48,WEEKDAY(AY$2,2)&lt;6),$R48/$V48,"")</f>
        <v/>
      </c>
      <c r="AZ48" s="48">
        <f>IF(AND($G48&lt;&gt;"",$W48&lt;&gt;"",AZ$2&gt;=$G48,AZ$2&lt;=$W48,WEEKDAY(AZ$2,2)&lt;6),$R48/$V48,"")</f>
        <v/>
      </c>
      <c r="BA48" s="48">
        <f>IF(AND($G48&lt;&gt;"",$W48&lt;&gt;"",BA$2&gt;=$G48,BA$2&lt;=$W48,WEEKDAY(BA$2,2)&lt;6),$R48/$V48,"")</f>
        <v/>
      </c>
      <c r="BB48" s="48">
        <f>IF(AND($G48&lt;&gt;"",$W48&lt;&gt;"",BB$2&gt;=$G48,BB$2&lt;=$W48,WEEKDAY(BB$2,2)&lt;6),$R48/$V48,"")</f>
        <v/>
      </c>
      <c r="BC48" s="48">
        <f>IF(AND($G48&lt;&gt;"",$W48&lt;&gt;"",BC$2&gt;=$G48,BC$2&lt;=$W48,WEEKDAY(BC$2,2)&lt;6),$R48/$V48,"")</f>
        <v/>
      </c>
      <c r="BD48" s="48">
        <f>IF(AND($G48&lt;&gt;"",$W48&lt;&gt;"",BD$2&gt;=$G48,BD$2&lt;=$W48,WEEKDAY(BD$2,2)&lt;6),$R48/$V48,"")</f>
        <v/>
      </c>
      <c r="BE48" s="48">
        <f>IF(AND($G48&lt;&gt;"",$W48&lt;&gt;"",BE$2&gt;=$G48,BE$2&lt;=$W48,WEEKDAY(BE$2,2)&lt;6),$R48/$V48,"")</f>
        <v/>
      </c>
    </row>
    <row r="49">
      <c r="A49" s="40">
        <f>IF(F49="","",COUNTA($F$8:F49))</f>
        <v/>
      </c>
      <c r="B49" s="41">
        <f>IF(G49="","",MONTH(G49))</f>
        <v/>
      </c>
      <c r="C49" s="42" t="n"/>
      <c r="D49" s="43" t="n"/>
      <c r="E49" s="43" t="n"/>
      <c r="F49" s="42" t="n"/>
      <c r="G49" s="44" t="n"/>
      <c r="H49" s="44" t="n"/>
      <c r="I49" s="43" t="n"/>
      <c r="J49" s="43" t="n"/>
      <c r="K49" s="43" t="n"/>
      <c r="L49" s="42" t="n"/>
      <c r="M49" s="45" t="n"/>
      <c r="N49" s="42" t="n"/>
      <c r="O49" s="45" t="n"/>
      <c r="P49" s="42" t="n"/>
      <c r="Q49" s="45" t="n"/>
      <c r="R49" s="46">
        <f>IF(SUM(M49,O49,Q49)=0,"",SUM(M49,O49,Q49))</f>
        <v/>
      </c>
      <c r="S49" s="41">
        <f>IF(M49&gt;0,"영 ","")&amp;IF(O49&gt;0,"이 ","")&amp;IF(Q49&gt;0,"기 ","")</f>
        <v/>
      </c>
      <c r="T49" s="40">
        <f>IF(G49="","","W"&amp;ROUNDUP(DAY(G49)/7,0))</f>
        <v/>
      </c>
      <c r="U49" s="43" t="n"/>
      <c r="V49" s="40">
        <f>IF(R49="",0,ROUNDUP(MAX(M49,O49,Q49)/'마스터'!$J$6,0))</f>
        <v/>
      </c>
      <c r="W49" s="47">
        <f>IF(OR(G49="",V49=0),"",WORKDAY(G49,V49-1))</f>
        <v/>
      </c>
      <c r="X49" s="41">
        <f>IF(OR(H49="",W49=""),"",H49-W49)</f>
        <v/>
      </c>
      <c r="Y49" s="42" t="n"/>
      <c r="AA49" s="48">
        <f>IF(AND($G49&lt;&gt;"",$W49&lt;&gt;"",AA$2&gt;=$G49,AA$2&lt;=$W49,WEEKDAY(AA$2,2)&lt;6),$R49/$V49,"")</f>
        <v/>
      </c>
      <c r="AB49" s="48">
        <f>IF(AND($G49&lt;&gt;"",$W49&lt;&gt;"",AB$2&gt;=$G49,AB$2&lt;=$W49,WEEKDAY(AB$2,2)&lt;6),$R49/$V49,"")</f>
        <v/>
      </c>
      <c r="AC49" s="48">
        <f>IF(AND($G49&lt;&gt;"",$W49&lt;&gt;"",AC$2&gt;=$G49,AC$2&lt;=$W49,WEEKDAY(AC$2,2)&lt;6),$R49/$V49,"")</f>
        <v/>
      </c>
      <c r="AD49" s="48">
        <f>IF(AND($G49&lt;&gt;"",$W49&lt;&gt;"",AD$2&gt;=$G49,AD$2&lt;=$W49,WEEKDAY(AD$2,2)&lt;6),$R49/$V49,"")</f>
        <v/>
      </c>
      <c r="AE49" s="48">
        <f>IF(AND($G49&lt;&gt;"",$W49&lt;&gt;"",AE$2&gt;=$G49,AE$2&lt;=$W49,WEEKDAY(AE$2,2)&lt;6),$R49/$V49,"")</f>
        <v/>
      </c>
      <c r="AF49" s="48">
        <f>IF(AND($G49&lt;&gt;"",$W49&lt;&gt;"",AF$2&gt;=$G49,AF$2&lt;=$W49,WEEKDAY(AF$2,2)&lt;6),$R49/$V49,"")</f>
        <v/>
      </c>
      <c r="AG49" s="48">
        <f>IF(AND($G49&lt;&gt;"",$W49&lt;&gt;"",AG$2&gt;=$G49,AG$2&lt;=$W49,WEEKDAY(AG$2,2)&lt;6),$R49/$V49,"")</f>
        <v/>
      </c>
      <c r="AH49" s="48">
        <f>IF(AND($G49&lt;&gt;"",$W49&lt;&gt;"",AH$2&gt;=$G49,AH$2&lt;=$W49,WEEKDAY(AH$2,2)&lt;6),$R49/$V49,"")</f>
        <v/>
      </c>
      <c r="AI49" s="48">
        <f>IF(AND($G49&lt;&gt;"",$W49&lt;&gt;"",AI$2&gt;=$G49,AI$2&lt;=$W49,WEEKDAY(AI$2,2)&lt;6),$R49/$V49,"")</f>
        <v/>
      </c>
      <c r="AJ49" s="48">
        <f>IF(AND($G49&lt;&gt;"",$W49&lt;&gt;"",AJ$2&gt;=$G49,AJ$2&lt;=$W49,WEEKDAY(AJ$2,2)&lt;6),$R49/$V49,"")</f>
        <v/>
      </c>
      <c r="AK49" s="48">
        <f>IF(AND($G49&lt;&gt;"",$W49&lt;&gt;"",AK$2&gt;=$G49,AK$2&lt;=$W49,WEEKDAY(AK$2,2)&lt;6),$R49/$V49,"")</f>
        <v/>
      </c>
      <c r="AL49" s="48">
        <f>IF(AND($G49&lt;&gt;"",$W49&lt;&gt;"",AL$2&gt;=$G49,AL$2&lt;=$W49,WEEKDAY(AL$2,2)&lt;6),$R49/$V49,"")</f>
        <v/>
      </c>
      <c r="AM49" s="48">
        <f>IF(AND($G49&lt;&gt;"",$W49&lt;&gt;"",AM$2&gt;=$G49,AM$2&lt;=$W49,WEEKDAY(AM$2,2)&lt;6),$R49/$V49,"")</f>
        <v/>
      </c>
      <c r="AN49" s="48">
        <f>IF(AND($G49&lt;&gt;"",$W49&lt;&gt;"",AN$2&gt;=$G49,AN$2&lt;=$W49,WEEKDAY(AN$2,2)&lt;6),$R49/$V49,"")</f>
        <v/>
      </c>
      <c r="AO49" s="48">
        <f>IF(AND($G49&lt;&gt;"",$W49&lt;&gt;"",AO$2&gt;=$G49,AO$2&lt;=$W49,WEEKDAY(AO$2,2)&lt;6),$R49/$V49,"")</f>
        <v/>
      </c>
      <c r="AP49" s="48">
        <f>IF(AND($G49&lt;&gt;"",$W49&lt;&gt;"",AP$2&gt;=$G49,AP$2&lt;=$W49,WEEKDAY(AP$2,2)&lt;6),$R49/$V49,"")</f>
        <v/>
      </c>
      <c r="AQ49" s="48">
        <f>IF(AND($G49&lt;&gt;"",$W49&lt;&gt;"",AQ$2&gt;=$G49,AQ$2&lt;=$W49,WEEKDAY(AQ$2,2)&lt;6),$R49/$V49,"")</f>
        <v/>
      </c>
      <c r="AR49" s="48">
        <f>IF(AND($G49&lt;&gt;"",$W49&lt;&gt;"",AR$2&gt;=$G49,AR$2&lt;=$W49,WEEKDAY(AR$2,2)&lt;6),$R49/$V49,"")</f>
        <v/>
      </c>
      <c r="AS49" s="48">
        <f>IF(AND($G49&lt;&gt;"",$W49&lt;&gt;"",AS$2&gt;=$G49,AS$2&lt;=$W49,WEEKDAY(AS$2,2)&lt;6),$R49/$V49,"")</f>
        <v/>
      </c>
      <c r="AT49" s="48">
        <f>IF(AND($G49&lt;&gt;"",$W49&lt;&gt;"",AT$2&gt;=$G49,AT$2&lt;=$W49,WEEKDAY(AT$2,2)&lt;6),$R49/$V49,"")</f>
        <v/>
      </c>
      <c r="AU49" s="48">
        <f>IF(AND($G49&lt;&gt;"",$W49&lt;&gt;"",AU$2&gt;=$G49,AU$2&lt;=$W49,WEEKDAY(AU$2,2)&lt;6),$R49/$V49,"")</f>
        <v/>
      </c>
      <c r="AV49" s="48">
        <f>IF(AND($G49&lt;&gt;"",$W49&lt;&gt;"",AV$2&gt;=$G49,AV$2&lt;=$W49,WEEKDAY(AV$2,2)&lt;6),$R49/$V49,"")</f>
        <v/>
      </c>
      <c r="AW49" s="48">
        <f>IF(AND($G49&lt;&gt;"",$W49&lt;&gt;"",AW$2&gt;=$G49,AW$2&lt;=$W49,WEEKDAY(AW$2,2)&lt;6),$R49/$V49,"")</f>
        <v/>
      </c>
      <c r="AX49" s="48">
        <f>IF(AND($G49&lt;&gt;"",$W49&lt;&gt;"",AX$2&gt;=$G49,AX$2&lt;=$W49,WEEKDAY(AX$2,2)&lt;6),$R49/$V49,"")</f>
        <v/>
      </c>
      <c r="AY49" s="48">
        <f>IF(AND($G49&lt;&gt;"",$W49&lt;&gt;"",AY$2&gt;=$G49,AY$2&lt;=$W49,WEEKDAY(AY$2,2)&lt;6),$R49/$V49,"")</f>
        <v/>
      </c>
      <c r="AZ49" s="48">
        <f>IF(AND($G49&lt;&gt;"",$W49&lt;&gt;"",AZ$2&gt;=$G49,AZ$2&lt;=$W49,WEEKDAY(AZ$2,2)&lt;6),$R49/$V49,"")</f>
        <v/>
      </c>
      <c r="BA49" s="48">
        <f>IF(AND($G49&lt;&gt;"",$W49&lt;&gt;"",BA$2&gt;=$G49,BA$2&lt;=$W49,WEEKDAY(BA$2,2)&lt;6),$R49/$V49,"")</f>
        <v/>
      </c>
      <c r="BB49" s="48">
        <f>IF(AND($G49&lt;&gt;"",$W49&lt;&gt;"",BB$2&gt;=$G49,BB$2&lt;=$W49,WEEKDAY(BB$2,2)&lt;6),$R49/$V49,"")</f>
        <v/>
      </c>
      <c r="BC49" s="48">
        <f>IF(AND($G49&lt;&gt;"",$W49&lt;&gt;"",BC$2&gt;=$G49,BC$2&lt;=$W49,WEEKDAY(BC$2,2)&lt;6),$R49/$V49,"")</f>
        <v/>
      </c>
      <c r="BD49" s="48">
        <f>IF(AND($G49&lt;&gt;"",$W49&lt;&gt;"",BD$2&gt;=$G49,BD$2&lt;=$W49,WEEKDAY(BD$2,2)&lt;6),$R49/$V49,"")</f>
        <v/>
      </c>
      <c r="BE49" s="48">
        <f>IF(AND($G49&lt;&gt;"",$W49&lt;&gt;"",BE$2&gt;=$G49,BE$2&lt;=$W49,WEEKDAY(BE$2,2)&lt;6),$R49/$V49,"")</f>
        <v/>
      </c>
    </row>
    <row r="50">
      <c r="A50" s="40">
        <f>IF(F50="","",COUNTA($F$8:F50))</f>
        <v/>
      </c>
      <c r="B50" s="41">
        <f>IF(G50="","",MONTH(G50))</f>
        <v/>
      </c>
      <c r="C50" s="42" t="n"/>
      <c r="D50" s="43" t="n"/>
      <c r="E50" s="43" t="n"/>
      <c r="F50" s="42" t="n"/>
      <c r="G50" s="44" t="n"/>
      <c r="H50" s="44" t="n"/>
      <c r="I50" s="43" t="n"/>
      <c r="J50" s="43" t="n"/>
      <c r="K50" s="43" t="n"/>
      <c r="L50" s="42" t="n"/>
      <c r="M50" s="45" t="n"/>
      <c r="N50" s="42" t="n"/>
      <c r="O50" s="45" t="n"/>
      <c r="P50" s="42" t="n"/>
      <c r="Q50" s="45" t="n"/>
      <c r="R50" s="46">
        <f>IF(SUM(M50,O50,Q50)=0,"",SUM(M50,O50,Q50))</f>
        <v/>
      </c>
      <c r="S50" s="41">
        <f>IF(M50&gt;0,"영 ","")&amp;IF(O50&gt;0,"이 ","")&amp;IF(Q50&gt;0,"기 ","")</f>
        <v/>
      </c>
      <c r="T50" s="40">
        <f>IF(G50="","","W"&amp;ROUNDUP(DAY(G50)/7,0))</f>
        <v/>
      </c>
      <c r="U50" s="43" t="n"/>
      <c r="V50" s="40">
        <f>IF(R50="",0,ROUNDUP(MAX(M50,O50,Q50)/'마스터'!$J$6,0))</f>
        <v/>
      </c>
      <c r="W50" s="47">
        <f>IF(OR(G50="",V50=0),"",WORKDAY(G50,V50-1))</f>
        <v/>
      </c>
      <c r="X50" s="41">
        <f>IF(OR(H50="",W50=""),"",H50-W50)</f>
        <v/>
      </c>
      <c r="Y50" s="42" t="n"/>
      <c r="AA50" s="48">
        <f>IF(AND($G50&lt;&gt;"",$W50&lt;&gt;"",AA$2&gt;=$G50,AA$2&lt;=$W50,WEEKDAY(AA$2,2)&lt;6),$R50/$V50,"")</f>
        <v/>
      </c>
      <c r="AB50" s="48">
        <f>IF(AND($G50&lt;&gt;"",$W50&lt;&gt;"",AB$2&gt;=$G50,AB$2&lt;=$W50,WEEKDAY(AB$2,2)&lt;6),$R50/$V50,"")</f>
        <v/>
      </c>
      <c r="AC50" s="48">
        <f>IF(AND($G50&lt;&gt;"",$W50&lt;&gt;"",AC$2&gt;=$G50,AC$2&lt;=$W50,WEEKDAY(AC$2,2)&lt;6),$R50/$V50,"")</f>
        <v/>
      </c>
      <c r="AD50" s="48">
        <f>IF(AND($G50&lt;&gt;"",$W50&lt;&gt;"",AD$2&gt;=$G50,AD$2&lt;=$W50,WEEKDAY(AD$2,2)&lt;6),$R50/$V50,"")</f>
        <v/>
      </c>
      <c r="AE50" s="48">
        <f>IF(AND($G50&lt;&gt;"",$W50&lt;&gt;"",AE$2&gt;=$G50,AE$2&lt;=$W50,WEEKDAY(AE$2,2)&lt;6),$R50/$V50,"")</f>
        <v/>
      </c>
      <c r="AF50" s="48">
        <f>IF(AND($G50&lt;&gt;"",$W50&lt;&gt;"",AF$2&gt;=$G50,AF$2&lt;=$W50,WEEKDAY(AF$2,2)&lt;6),$R50/$V50,"")</f>
        <v/>
      </c>
      <c r="AG50" s="48">
        <f>IF(AND($G50&lt;&gt;"",$W50&lt;&gt;"",AG$2&gt;=$G50,AG$2&lt;=$W50,WEEKDAY(AG$2,2)&lt;6),$R50/$V50,"")</f>
        <v/>
      </c>
      <c r="AH50" s="48">
        <f>IF(AND($G50&lt;&gt;"",$W50&lt;&gt;"",AH$2&gt;=$G50,AH$2&lt;=$W50,WEEKDAY(AH$2,2)&lt;6),$R50/$V50,"")</f>
        <v/>
      </c>
      <c r="AI50" s="48">
        <f>IF(AND($G50&lt;&gt;"",$W50&lt;&gt;"",AI$2&gt;=$G50,AI$2&lt;=$W50,WEEKDAY(AI$2,2)&lt;6),$R50/$V50,"")</f>
        <v/>
      </c>
      <c r="AJ50" s="48">
        <f>IF(AND($G50&lt;&gt;"",$W50&lt;&gt;"",AJ$2&gt;=$G50,AJ$2&lt;=$W50,WEEKDAY(AJ$2,2)&lt;6),$R50/$V50,"")</f>
        <v/>
      </c>
      <c r="AK50" s="48">
        <f>IF(AND($G50&lt;&gt;"",$W50&lt;&gt;"",AK$2&gt;=$G50,AK$2&lt;=$W50,WEEKDAY(AK$2,2)&lt;6),$R50/$V50,"")</f>
        <v/>
      </c>
      <c r="AL50" s="48">
        <f>IF(AND($G50&lt;&gt;"",$W50&lt;&gt;"",AL$2&gt;=$G50,AL$2&lt;=$W50,WEEKDAY(AL$2,2)&lt;6),$R50/$V50,"")</f>
        <v/>
      </c>
      <c r="AM50" s="48">
        <f>IF(AND($G50&lt;&gt;"",$W50&lt;&gt;"",AM$2&gt;=$G50,AM$2&lt;=$W50,WEEKDAY(AM$2,2)&lt;6),$R50/$V50,"")</f>
        <v/>
      </c>
      <c r="AN50" s="48">
        <f>IF(AND($G50&lt;&gt;"",$W50&lt;&gt;"",AN$2&gt;=$G50,AN$2&lt;=$W50,WEEKDAY(AN$2,2)&lt;6),$R50/$V50,"")</f>
        <v/>
      </c>
      <c r="AO50" s="48">
        <f>IF(AND($G50&lt;&gt;"",$W50&lt;&gt;"",AO$2&gt;=$G50,AO$2&lt;=$W50,WEEKDAY(AO$2,2)&lt;6),$R50/$V50,"")</f>
        <v/>
      </c>
      <c r="AP50" s="48">
        <f>IF(AND($G50&lt;&gt;"",$W50&lt;&gt;"",AP$2&gt;=$G50,AP$2&lt;=$W50,WEEKDAY(AP$2,2)&lt;6),$R50/$V50,"")</f>
        <v/>
      </c>
      <c r="AQ50" s="48">
        <f>IF(AND($G50&lt;&gt;"",$W50&lt;&gt;"",AQ$2&gt;=$G50,AQ$2&lt;=$W50,WEEKDAY(AQ$2,2)&lt;6),$R50/$V50,"")</f>
        <v/>
      </c>
      <c r="AR50" s="48">
        <f>IF(AND($G50&lt;&gt;"",$W50&lt;&gt;"",AR$2&gt;=$G50,AR$2&lt;=$W50,WEEKDAY(AR$2,2)&lt;6),$R50/$V50,"")</f>
        <v/>
      </c>
      <c r="AS50" s="48">
        <f>IF(AND($G50&lt;&gt;"",$W50&lt;&gt;"",AS$2&gt;=$G50,AS$2&lt;=$W50,WEEKDAY(AS$2,2)&lt;6),$R50/$V50,"")</f>
        <v/>
      </c>
      <c r="AT50" s="48">
        <f>IF(AND($G50&lt;&gt;"",$W50&lt;&gt;"",AT$2&gt;=$G50,AT$2&lt;=$W50,WEEKDAY(AT$2,2)&lt;6),$R50/$V50,"")</f>
        <v/>
      </c>
      <c r="AU50" s="48">
        <f>IF(AND($G50&lt;&gt;"",$W50&lt;&gt;"",AU$2&gt;=$G50,AU$2&lt;=$W50,WEEKDAY(AU$2,2)&lt;6),$R50/$V50,"")</f>
        <v/>
      </c>
      <c r="AV50" s="48">
        <f>IF(AND($G50&lt;&gt;"",$W50&lt;&gt;"",AV$2&gt;=$G50,AV$2&lt;=$W50,WEEKDAY(AV$2,2)&lt;6),$R50/$V50,"")</f>
        <v/>
      </c>
      <c r="AW50" s="48">
        <f>IF(AND($G50&lt;&gt;"",$W50&lt;&gt;"",AW$2&gt;=$G50,AW$2&lt;=$W50,WEEKDAY(AW$2,2)&lt;6),$R50/$V50,"")</f>
        <v/>
      </c>
      <c r="AX50" s="48">
        <f>IF(AND($G50&lt;&gt;"",$W50&lt;&gt;"",AX$2&gt;=$G50,AX$2&lt;=$W50,WEEKDAY(AX$2,2)&lt;6),$R50/$V50,"")</f>
        <v/>
      </c>
      <c r="AY50" s="48">
        <f>IF(AND($G50&lt;&gt;"",$W50&lt;&gt;"",AY$2&gt;=$G50,AY$2&lt;=$W50,WEEKDAY(AY$2,2)&lt;6),$R50/$V50,"")</f>
        <v/>
      </c>
      <c r="AZ50" s="48">
        <f>IF(AND($G50&lt;&gt;"",$W50&lt;&gt;"",AZ$2&gt;=$G50,AZ$2&lt;=$W50,WEEKDAY(AZ$2,2)&lt;6),$R50/$V50,"")</f>
        <v/>
      </c>
      <c r="BA50" s="48">
        <f>IF(AND($G50&lt;&gt;"",$W50&lt;&gt;"",BA$2&gt;=$G50,BA$2&lt;=$W50,WEEKDAY(BA$2,2)&lt;6),$R50/$V50,"")</f>
        <v/>
      </c>
      <c r="BB50" s="48">
        <f>IF(AND($G50&lt;&gt;"",$W50&lt;&gt;"",BB$2&gt;=$G50,BB$2&lt;=$W50,WEEKDAY(BB$2,2)&lt;6),$R50/$V50,"")</f>
        <v/>
      </c>
      <c r="BC50" s="48">
        <f>IF(AND($G50&lt;&gt;"",$W50&lt;&gt;"",BC$2&gt;=$G50,BC$2&lt;=$W50,WEEKDAY(BC$2,2)&lt;6),$R50/$V50,"")</f>
        <v/>
      </c>
      <c r="BD50" s="48">
        <f>IF(AND($G50&lt;&gt;"",$W50&lt;&gt;"",BD$2&gt;=$G50,BD$2&lt;=$W50,WEEKDAY(BD$2,2)&lt;6),$R50/$V50,"")</f>
        <v/>
      </c>
      <c r="BE50" s="48">
        <f>IF(AND($G50&lt;&gt;"",$W50&lt;&gt;"",BE$2&gt;=$G50,BE$2&lt;=$W50,WEEKDAY(BE$2,2)&lt;6),$R50/$V50,"")</f>
        <v/>
      </c>
    </row>
    <row r="51">
      <c r="A51" s="40">
        <f>IF(F51="","",COUNTA($F$8:F51))</f>
        <v/>
      </c>
      <c r="B51" s="41">
        <f>IF(G51="","",MONTH(G51))</f>
        <v/>
      </c>
      <c r="C51" s="42" t="n"/>
      <c r="D51" s="43" t="n"/>
      <c r="E51" s="43" t="n"/>
      <c r="F51" s="42" t="n"/>
      <c r="G51" s="44" t="n"/>
      <c r="H51" s="44" t="n"/>
      <c r="I51" s="43" t="n"/>
      <c r="J51" s="43" t="n"/>
      <c r="K51" s="43" t="n"/>
      <c r="L51" s="42" t="n"/>
      <c r="M51" s="45" t="n"/>
      <c r="N51" s="42" t="n"/>
      <c r="O51" s="45" t="n"/>
      <c r="P51" s="42" t="n"/>
      <c r="Q51" s="45" t="n"/>
      <c r="R51" s="46">
        <f>IF(SUM(M51,O51,Q51)=0,"",SUM(M51,O51,Q51))</f>
        <v/>
      </c>
      <c r="S51" s="41">
        <f>IF(M51&gt;0,"영 ","")&amp;IF(O51&gt;0,"이 ","")&amp;IF(Q51&gt;0,"기 ","")</f>
        <v/>
      </c>
      <c r="T51" s="40">
        <f>IF(G51="","","W"&amp;ROUNDUP(DAY(G51)/7,0))</f>
        <v/>
      </c>
      <c r="U51" s="43" t="n"/>
      <c r="V51" s="40">
        <f>IF(R51="",0,ROUNDUP(MAX(M51,O51,Q51)/'마스터'!$J$6,0))</f>
        <v/>
      </c>
      <c r="W51" s="47">
        <f>IF(OR(G51="",V51=0),"",WORKDAY(G51,V51-1))</f>
        <v/>
      </c>
      <c r="X51" s="41">
        <f>IF(OR(H51="",W51=""),"",H51-W51)</f>
        <v/>
      </c>
      <c r="Y51" s="42" t="n"/>
      <c r="AA51" s="48">
        <f>IF(AND($G51&lt;&gt;"",$W51&lt;&gt;"",AA$2&gt;=$G51,AA$2&lt;=$W51,WEEKDAY(AA$2,2)&lt;6),$R51/$V51,"")</f>
        <v/>
      </c>
      <c r="AB51" s="48">
        <f>IF(AND($G51&lt;&gt;"",$W51&lt;&gt;"",AB$2&gt;=$G51,AB$2&lt;=$W51,WEEKDAY(AB$2,2)&lt;6),$R51/$V51,"")</f>
        <v/>
      </c>
      <c r="AC51" s="48">
        <f>IF(AND($G51&lt;&gt;"",$W51&lt;&gt;"",AC$2&gt;=$G51,AC$2&lt;=$W51,WEEKDAY(AC$2,2)&lt;6),$R51/$V51,"")</f>
        <v/>
      </c>
      <c r="AD51" s="48">
        <f>IF(AND($G51&lt;&gt;"",$W51&lt;&gt;"",AD$2&gt;=$G51,AD$2&lt;=$W51,WEEKDAY(AD$2,2)&lt;6),$R51/$V51,"")</f>
        <v/>
      </c>
      <c r="AE51" s="48">
        <f>IF(AND($G51&lt;&gt;"",$W51&lt;&gt;"",AE$2&gt;=$G51,AE$2&lt;=$W51,WEEKDAY(AE$2,2)&lt;6),$R51/$V51,"")</f>
        <v/>
      </c>
      <c r="AF51" s="48">
        <f>IF(AND($G51&lt;&gt;"",$W51&lt;&gt;"",AF$2&gt;=$G51,AF$2&lt;=$W51,WEEKDAY(AF$2,2)&lt;6),$R51/$V51,"")</f>
        <v/>
      </c>
      <c r="AG51" s="48">
        <f>IF(AND($G51&lt;&gt;"",$W51&lt;&gt;"",AG$2&gt;=$G51,AG$2&lt;=$W51,WEEKDAY(AG$2,2)&lt;6),$R51/$V51,"")</f>
        <v/>
      </c>
      <c r="AH51" s="48">
        <f>IF(AND($G51&lt;&gt;"",$W51&lt;&gt;"",AH$2&gt;=$G51,AH$2&lt;=$W51,WEEKDAY(AH$2,2)&lt;6),$R51/$V51,"")</f>
        <v/>
      </c>
      <c r="AI51" s="48">
        <f>IF(AND($G51&lt;&gt;"",$W51&lt;&gt;"",AI$2&gt;=$G51,AI$2&lt;=$W51,WEEKDAY(AI$2,2)&lt;6),$R51/$V51,"")</f>
        <v/>
      </c>
      <c r="AJ51" s="48">
        <f>IF(AND($G51&lt;&gt;"",$W51&lt;&gt;"",AJ$2&gt;=$G51,AJ$2&lt;=$W51,WEEKDAY(AJ$2,2)&lt;6),$R51/$V51,"")</f>
        <v/>
      </c>
      <c r="AK51" s="48">
        <f>IF(AND($G51&lt;&gt;"",$W51&lt;&gt;"",AK$2&gt;=$G51,AK$2&lt;=$W51,WEEKDAY(AK$2,2)&lt;6),$R51/$V51,"")</f>
        <v/>
      </c>
      <c r="AL51" s="48">
        <f>IF(AND($G51&lt;&gt;"",$W51&lt;&gt;"",AL$2&gt;=$G51,AL$2&lt;=$W51,WEEKDAY(AL$2,2)&lt;6),$R51/$V51,"")</f>
        <v/>
      </c>
      <c r="AM51" s="48">
        <f>IF(AND($G51&lt;&gt;"",$W51&lt;&gt;"",AM$2&gt;=$G51,AM$2&lt;=$W51,WEEKDAY(AM$2,2)&lt;6),$R51/$V51,"")</f>
        <v/>
      </c>
      <c r="AN51" s="48">
        <f>IF(AND($G51&lt;&gt;"",$W51&lt;&gt;"",AN$2&gt;=$G51,AN$2&lt;=$W51,WEEKDAY(AN$2,2)&lt;6),$R51/$V51,"")</f>
        <v/>
      </c>
      <c r="AO51" s="48">
        <f>IF(AND($G51&lt;&gt;"",$W51&lt;&gt;"",AO$2&gt;=$G51,AO$2&lt;=$W51,WEEKDAY(AO$2,2)&lt;6),$R51/$V51,"")</f>
        <v/>
      </c>
      <c r="AP51" s="48">
        <f>IF(AND($G51&lt;&gt;"",$W51&lt;&gt;"",AP$2&gt;=$G51,AP$2&lt;=$W51,WEEKDAY(AP$2,2)&lt;6),$R51/$V51,"")</f>
        <v/>
      </c>
      <c r="AQ51" s="48">
        <f>IF(AND($G51&lt;&gt;"",$W51&lt;&gt;"",AQ$2&gt;=$G51,AQ$2&lt;=$W51,WEEKDAY(AQ$2,2)&lt;6),$R51/$V51,"")</f>
        <v/>
      </c>
      <c r="AR51" s="48">
        <f>IF(AND($G51&lt;&gt;"",$W51&lt;&gt;"",AR$2&gt;=$G51,AR$2&lt;=$W51,WEEKDAY(AR$2,2)&lt;6),$R51/$V51,"")</f>
        <v/>
      </c>
      <c r="AS51" s="48">
        <f>IF(AND($G51&lt;&gt;"",$W51&lt;&gt;"",AS$2&gt;=$G51,AS$2&lt;=$W51,WEEKDAY(AS$2,2)&lt;6),$R51/$V51,"")</f>
        <v/>
      </c>
      <c r="AT51" s="48">
        <f>IF(AND($G51&lt;&gt;"",$W51&lt;&gt;"",AT$2&gt;=$G51,AT$2&lt;=$W51,WEEKDAY(AT$2,2)&lt;6),$R51/$V51,"")</f>
        <v/>
      </c>
      <c r="AU51" s="48">
        <f>IF(AND($G51&lt;&gt;"",$W51&lt;&gt;"",AU$2&gt;=$G51,AU$2&lt;=$W51,WEEKDAY(AU$2,2)&lt;6),$R51/$V51,"")</f>
        <v/>
      </c>
      <c r="AV51" s="48">
        <f>IF(AND($G51&lt;&gt;"",$W51&lt;&gt;"",AV$2&gt;=$G51,AV$2&lt;=$W51,WEEKDAY(AV$2,2)&lt;6),$R51/$V51,"")</f>
        <v/>
      </c>
      <c r="AW51" s="48">
        <f>IF(AND($G51&lt;&gt;"",$W51&lt;&gt;"",AW$2&gt;=$G51,AW$2&lt;=$W51,WEEKDAY(AW$2,2)&lt;6),$R51/$V51,"")</f>
        <v/>
      </c>
      <c r="AX51" s="48">
        <f>IF(AND($G51&lt;&gt;"",$W51&lt;&gt;"",AX$2&gt;=$G51,AX$2&lt;=$W51,WEEKDAY(AX$2,2)&lt;6),$R51/$V51,"")</f>
        <v/>
      </c>
      <c r="AY51" s="48">
        <f>IF(AND($G51&lt;&gt;"",$W51&lt;&gt;"",AY$2&gt;=$G51,AY$2&lt;=$W51,WEEKDAY(AY$2,2)&lt;6),$R51/$V51,"")</f>
        <v/>
      </c>
      <c r="AZ51" s="48">
        <f>IF(AND($G51&lt;&gt;"",$W51&lt;&gt;"",AZ$2&gt;=$G51,AZ$2&lt;=$W51,WEEKDAY(AZ$2,2)&lt;6),$R51/$V51,"")</f>
        <v/>
      </c>
      <c r="BA51" s="48">
        <f>IF(AND($G51&lt;&gt;"",$W51&lt;&gt;"",BA$2&gt;=$G51,BA$2&lt;=$W51,WEEKDAY(BA$2,2)&lt;6),$R51/$V51,"")</f>
        <v/>
      </c>
      <c r="BB51" s="48">
        <f>IF(AND($G51&lt;&gt;"",$W51&lt;&gt;"",BB$2&gt;=$G51,BB$2&lt;=$W51,WEEKDAY(BB$2,2)&lt;6),$R51/$V51,"")</f>
        <v/>
      </c>
      <c r="BC51" s="48">
        <f>IF(AND($G51&lt;&gt;"",$W51&lt;&gt;"",BC$2&gt;=$G51,BC$2&lt;=$W51,WEEKDAY(BC$2,2)&lt;6),$R51/$V51,"")</f>
        <v/>
      </c>
      <c r="BD51" s="48">
        <f>IF(AND($G51&lt;&gt;"",$W51&lt;&gt;"",BD$2&gt;=$G51,BD$2&lt;=$W51,WEEKDAY(BD$2,2)&lt;6),$R51/$V51,"")</f>
        <v/>
      </c>
      <c r="BE51" s="48">
        <f>IF(AND($G51&lt;&gt;"",$W51&lt;&gt;"",BE$2&gt;=$G51,BE$2&lt;=$W51,WEEKDAY(BE$2,2)&lt;6),$R51/$V51,"")</f>
        <v/>
      </c>
    </row>
    <row r="52">
      <c r="A52" s="40">
        <f>IF(F52="","",COUNTA($F$8:F52))</f>
        <v/>
      </c>
      <c r="B52" s="41">
        <f>IF(G52="","",MONTH(G52))</f>
        <v/>
      </c>
      <c r="C52" s="42" t="n"/>
      <c r="D52" s="43" t="n"/>
      <c r="E52" s="43" t="n"/>
      <c r="F52" s="42" t="n"/>
      <c r="G52" s="44" t="n"/>
      <c r="H52" s="44" t="n"/>
      <c r="I52" s="43" t="n"/>
      <c r="J52" s="43" t="n"/>
      <c r="K52" s="43" t="n"/>
      <c r="L52" s="42" t="n"/>
      <c r="M52" s="45" t="n"/>
      <c r="N52" s="42" t="n"/>
      <c r="O52" s="45" t="n"/>
      <c r="P52" s="42" t="n"/>
      <c r="Q52" s="45" t="n"/>
      <c r="R52" s="46">
        <f>IF(SUM(M52,O52,Q52)=0,"",SUM(M52,O52,Q52))</f>
        <v/>
      </c>
      <c r="S52" s="41">
        <f>IF(M52&gt;0,"영 ","")&amp;IF(O52&gt;0,"이 ","")&amp;IF(Q52&gt;0,"기 ","")</f>
        <v/>
      </c>
      <c r="T52" s="40">
        <f>IF(G52="","","W"&amp;ROUNDUP(DAY(G52)/7,0))</f>
        <v/>
      </c>
      <c r="U52" s="43" t="n"/>
      <c r="V52" s="40">
        <f>IF(R52="",0,ROUNDUP(MAX(M52,O52,Q52)/'마스터'!$J$6,0))</f>
        <v/>
      </c>
      <c r="W52" s="47">
        <f>IF(OR(G52="",V52=0),"",WORKDAY(G52,V52-1))</f>
        <v/>
      </c>
      <c r="X52" s="41">
        <f>IF(OR(H52="",W52=""),"",H52-W52)</f>
        <v/>
      </c>
      <c r="Y52" s="42" t="n"/>
      <c r="AA52" s="48">
        <f>IF(AND($G52&lt;&gt;"",$W52&lt;&gt;"",AA$2&gt;=$G52,AA$2&lt;=$W52,WEEKDAY(AA$2,2)&lt;6),$R52/$V52,"")</f>
        <v/>
      </c>
      <c r="AB52" s="48">
        <f>IF(AND($G52&lt;&gt;"",$W52&lt;&gt;"",AB$2&gt;=$G52,AB$2&lt;=$W52,WEEKDAY(AB$2,2)&lt;6),$R52/$V52,"")</f>
        <v/>
      </c>
      <c r="AC52" s="48">
        <f>IF(AND($G52&lt;&gt;"",$W52&lt;&gt;"",AC$2&gt;=$G52,AC$2&lt;=$W52,WEEKDAY(AC$2,2)&lt;6),$R52/$V52,"")</f>
        <v/>
      </c>
      <c r="AD52" s="48">
        <f>IF(AND($G52&lt;&gt;"",$W52&lt;&gt;"",AD$2&gt;=$G52,AD$2&lt;=$W52,WEEKDAY(AD$2,2)&lt;6),$R52/$V52,"")</f>
        <v/>
      </c>
      <c r="AE52" s="48">
        <f>IF(AND($G52&lt;&gt;"",$W52&lt;&gt;"",AE$2&gt;=$G52,AE$2&lt;=$W52,WEEKDAY(AE$2,2)&lt;6),$R52/$V52,"")</f>
        <v/>
      </c>
      <c r="AF52" s="48">
        <f>IF(AND($G52&lt;&gt;"",$W52&lt;&gt;"",AF$2&gt;=$G52,AF$2&lt;=$W52,WEEKDAY(AF$2,2)&lt;6),$R52/$V52,"")</f>
        <v/>
      </c>
      <c r="AG52" s="48">
        <f>IF(AND($G52&lt;&gt;"",$W52&lt;&gt;"",AG$2&gt;=$G52,AG$2&lt;=$W52,WEEKDAY(AG$2,2)&lt;6),$R52/$V52,"")</f>
        <v/>
      </c>
      <c r="AH52" s="48">
        <f>IF(AND($G52&lt;&gt;"",$W52&lt;&gt;"",AH$2&gt;=$G52,AH$2&lt;=$W52,WEEKDAY(AH$2,2)&lt;6),$R52/$V52,"")</f>
        <v/>
      </c>
      <c r="AI52" s="48">
        <f>IF(AND($G52&lt;&gt;"",$W52&lt;&gt;"",AI$2&gt;=$G52,AI$2&lt;=$W52,WEEKDAY(AI$2,2)&lt;6),$R52/$V52,"")</f>
        <v/>
      </c>
      <c r="AJ52" s="48">
        <f>IF(AND($G52&lt;&gt;"",$W52&lt;&gt;"",AJ$2&gt;=$G52,AJ$2&lt;=$W52,WEEKDAY(AJ$2,2)&lt;6),$R52/$V52,"")</f>
        <v/>
      </c>
      <c r="AK52" s="48">
        <f>IF(AND($G52&lt;&gt;"",$W52&lt;&gt;"",AK$2&gt;=$G52,AK$2&lt;=$W52,WEEKDAY(AK$2,2)&lt;6),$R52/$V52,"")</f>
        <v/>
      </c>
      <c r="AL52" s="48">
        <f>IF(AND($G52&lt;&gt;"",$W52&lt;&gt;"",AL$2&gt;=$G52,AL$2&lt;=$W52,WEEKDAY(AL$2,2)&lt;6),$R52/$V52,"")</f>
        <v/>
      </c>
      <c r="AM52" s="48">
        <f>IF(AND($G52&lt;&gt;"",$W52&lt;&gt;"",AM$2&gt;=$G52,AM$2&lt;=$W52,WEEKDAY(AM$2,2)&lt;6),$R52/$V52,"")</f>
        <v/>
      </c>
      <c r="AN52" s="48">
        <f>IF(AND($G52&lt;&gt;"",$W52&lt;&gt;"",AN$2&gt;=$G52,AN$2&lt;=$W52,WEEKDAY(AN$2,2)&lt;6),$R52/$V52,"")</f>
        <v/>
      </c>
      <c r="AO52" s="48">
        <f>IF(AND($G52&lt;&gt;"",$W52&lt;&gt;"",AO$2&gt;=$G52,AO$2&lt;=$W52,WEEKDAY(AO$2,2)&lt;6),$R52/$V52,"")</f>
        <v/>
      </c>
      <c r="AP52" s="48">
        <f>IF(AND($G52&lt;&gt;"",$W52&lt;&gt;"",AP$2&gt;=$G52,AP$2&lt;=$W52,WEEKDAY(AP$2,2)&lt;6),$R52/$V52,"")</f>
        <v/>
      </c>
      <c r="AQ52" s="48">
        <f>IF(AND($G52&lt;&gt;"",$W52&lt;&gt;"",AQ$2&gt;=$G52,AQ$2&lt;=$W52,WEEKDAY(AQ$2,2)&lt;6),$R52/$V52,"")</f>
        <v/>
      </c>
      <c r="AR52" s="48">
        <f>IF(AND($G52&lt;&gt;"",$W52&lt;&gt;"",AR$2&gt;=$G52,AR$2&lt;=$W52,WEEKDAY(AR$2,2)&lt;6),$R52/$V52,"")</f>
        <v/>
      </c>
      <c r="AS52" s="48">
        <f>IF(AND($G52&lt;&gt;"",$W52&lt;&gt;"",AS$2&gt;=$G52,AS$2&lt;=$W52,WEEKDAY(AS$2,2)&lt;6),$R52/$V52,"")</f>
        <v/>
      </c>
      <c r="AT52" s="48">
        <f>IF(AND($G52&lt;&gt;"",$W52&lt;&gt;"",AT$2&gt;=$G52,AT$2&lt;=$W52,WEEKDAY(AT$2,2)&lt;6),$R52/$V52,"")</f>
        <v/>
      </c>
      <c r="AU52" s="48">
        <f>IF(AND($G52&lt;&gt;"",$W52&lt;&gt;"",AU$2&gt;=$G52,AU$2&lt;=$W52,WEEKDAY(AU$2,2)&lt;6),$R52/$V52,"")</f>
        <v/>
      </c>
      <c r="AV52" s="48">
        <f>IF(AND($G52&lt;&gt;"",$W52&lt;&gt;"",AV$2&gt;=$G52,AV$2&lt;=$W52,WEEKDAY(AV$2,2)&lt;6),$R52/$V52,"")</f>
        <v/>
      </c>
      <c r="AW52" s="48">
        <f>IF(AND($G52&lt;&gt;"",$W52&lt;&gt;"",AW$2&gt;=$G52,AW$2&lt;=$W52,WEEKDAY(AW$2,2)&lt;6),$R52/$V52,"")</f>
        <v/>
      </c>
      <c r="AX52" s="48">
        <f>IF(AND($G52&lt;&gt;"",$W52&lt;&gt;"",AX$2&gt;=$G52,AX$2&lt;=$W52,WEEKDAY(AX$2,2)&lt;6),$R52/$V52,"")</f>
        <v/>
      </c>
      <c r="AY52" s="48">
        <f>IF(AND($G52&lt;&gt;"",$W52&lt;&gt;"",AY$2&gt;=$G52,AY$2&lt;=$W52,WEEKDAY(AY$2,2)&lt;6),$R52/$V52,"")</f>
        <v/>
      </c>
      <c r="AZ52" s="48">
        <f>IF(AND($G52&lt;&gt;"",$W52&lt;&gt;"",AZ$2&gt;=$G52,AZ$2&lt;=$W52,WEEKDAY(AZ$2,2)&lt;6),$R52/$V52,"")</f>
        <v/>
      </c>
      <c r="BA52" s="48">
        <f>IF(AND($G52&lt;&gt;"",$W52&lt;&gt;"",BA$2&gt;=$G52,BA$2&lt;=$W52,WEEKDAY(BA$2,2)&lt;6),$R52/$V52,"")</f>
        <v/>
      </c>
      <c r="BB52" s="48">
        <f>IF(AND($G52&lt;&gt;"",$W52&lt;&gt;"",BB$2&gt;=$G52,BB$2&lt;=$W52,WEEKDAY(BB$2,2)&lt;6),$R52/$V52,"")</f>
        <v/>
      </c>
      <c r="BC52" s="48">
        <f>IF(AND($G52&lt;&gt;"",$W52&lt;&gt;"",BC$2&gt;=$G52,BC$2&lt;=$W52,WEEKDAY(BC$2,2)&lt;6),$R52/$V52,"")</f>
        <v/>
      </c>
      <c r="BD52" s="48">
        <f>IF(AND($G52&lt;&gt;"",$W52&lt;&gt;"",BD$2&gt;=$G52,BD$2&lt;=$W52,WEEKDAY(BD$2,2)&lt;6),$R52/$V52,"")</f>
        <v/>
      </c>
      <c r="BE52" s="48">
        <f>IF(AND($G52&lt;&gt;"",$W52&lt;&gt;"",BE$2&gt;=$G52,BE$2&lt;=$W52,WEEKDAY(BE$2,2)&lt;6),$R52/$V52,"")</f>
        <v/>
      </c>
    </row>
    <row r="53">
      <c r="A53" s="40">
        <f>IF(F53="","",COUNTA($F$8:F53))</f>
        <v/>
      </c>
      <c r="B53" s="41">
        <f>IF(G53="","",MONTH(G53))</f>
        <v/>
      </c>
      <c r="C53" s="42" t="n"/>
      <c r="D53" s="43" t="n"/>
      <c r="E53" s="43" t="n"/>
      <c r="F53" s="42" t="n"/>
      <c r="G53" s="44" t="n"/>
      <c r="H53" s="44" t="n"/>
      <c r="I53" s="43" t="n"/>
      <c r="J53" s="43" t="n"/>
      <c r="K53" s="43" t="n"/>
      <c r="L53" s="42" t="n"/>
      <c r="M53" s="45" t="n"/>
      <c r="N53" s="42" t="n"/>
      <c r="O53" s="45" t="n"/>
      <c r="P53" s="42" t="n"/>
      <c r="Q53" s="45" t="n"/>
      <c r="R53" s="46">
        <f>IF(SUM(M53,O53,Q53)=0,"",SUM(M53,O53,Q53))</f>
        <v/>
      </c>
      <c r="S53" s="41">
        <f>IF(M53&gt;0,"영 ","")&amp;IF(O53&gt;0,"이 ","")&amp;IF(Q53&gt;0,"기 ","")</f>
        <v/>
      </c>
      <c r="T53" s="40">
        <f>IF(G53="","","W"&amp;ROUNDUP(DAY(G53)/7,0))</f>
        <v/>
      </c>
      <c r="U53" s="43" t="n"/>
      <c r="V53" s="40">
        <f>IF(R53="",0,ROUNDUP(MAX(M53,O53,Q53)/'마스터'!$J$6,0))</f>
        <v/>
      </c>
      <c r="W53" s="47">
        <f>IF(OR(G53="",V53=0),"",WORKDAY(G53,V53-1))</f>
        <v/>
      </c>
      <c r="X53" s="41">
        <f>IF(OR(H53="",W53=""),"",H53-W53)</f>
        <v/>
      </c>
      <c r="Y53" s="42" t="n"/>
      <c r="AA53" s="48">
        <f>IF(AND($G53&lt;&gt;"",$W53&lt;&gt;"",AA$2&gt;=$G53,AA$2&lt;=$W53,WEEKDAY(AA$2,2)&lt;6),$R53/$V53,"")</f>
        <v/>
      </c>
      <c r="AB53" s="48">
        <f>IF(AND($G53&lt;&gt;"",$W53&lt;&gt;"",AB$2&gt;=$G53,AB$2&lt;=$W53,WEEKDAY(AB$2,2)&lt;6),$R53/$V53,"")</f>
        <v/>
      </c>
      <c r="AC53" s="48">
        <f>IF(AND($G53&lt;&gt;"",$W53&lt;&gt;"",AC$2&gt;=$G53,AC$2&lt;=$W53,WEEKDAY(AC$2,2)&lt;6),$R53/$V53,"")</f>
        <v/>
      </c>
      <c r="AD53" s="48">
        <f>IF(AND($G53&lt;&gt;"",$W53&lt;&gt;"",AD$2&gt;=$G53,AD$2&lt;=$W53,WEEKDAY(AD$2,2)&lt;6),$R53/$V53,"")</f>
        <v/>
      </c>
      <c r="AE53" s="48">
        <f>IF(AND($G53&lt;&gt;"",$W53&lt;&gt;"",AE$2&gt;=$G53,AE$2&lt;=$W53,WEEKDAY(AE$2,2)&lt;6),$R53/$V53,"")</f>
        <v/>
      </c>
      <c r="AF53" s="48">
        <f>IF(AND($G53&lt;&gt;"",$W53&lt;&gt;"",AF$2&gt;=$G53,AF$2&lt;=$W53,WEEKDAY(AF$2,2)&lt;6),$R53/$V53,"")</f>
        <v/>
      </c>
      <c r="AG53" s="48">
        <f>IF(AND($G53&lt;&gt;"",$W53&lt;&gt;"",AG$2&gt;=$G53,AG$2&lt;=$W53,WEEKDAY(AG$2,2)&lt;6),$R53/$V53,"")</f>
        <v/>
      </c>
      <c r="AH53" s="48">
        <f>IF(AND($G53&lt;&gt;"",$W53&lt;&gt;"",AH$2&gt;=$G53,AH$2&lt;=$W53,WEEKDAY(AH$2,2)&lt;6),$R53/$V53,"")</f>
        <v/>
      </c>
      <c r="AI53" s="48">
        <f>IF(AND($G53&lt;&gt;"",$W53&lt;&gt;"",AI$2&gt;=$G53,AI$2&lt;=$W53,WEEKDAY(AI$2,2)&lt;6),$R53/$V53,"")</f>
        <v/>
      </c>
      <c r="AJ53" s="48">
        <f>IF(AND($G53&lt;&gt;"",$W53&lt;&gt;"",AJ$2&gt;=$G53,AJ$2&lt;=$W53,WEEKDAY(AJ$2,2)&lt;6),$R53/$V53,"")</f>
        <v/>
      </c>
      <c r="AK53" s="48">
        <f>IF(AND($G53&lt;&gt;"",$W53&lt;&gt;"",AK$2&gt;=$G53,AK$2&lt;=$W53,WEEKDAY(AK$2,2)&lt;6),$R53/$V53,"")</f>
        <v/>
      </c>
      <c r="AL53" s="48">
        <f>IF(AND($G53&lt;&gt;"",$W53&lt;&gt;"",AL$2&gt;=$G53,AL$2&lt;=$W53,WEEKDAY(AL$2,2)&lt;6),$R53/$V53,"")</f>
        <v/>
      </c>
      <c r="AM53" s="48">
        <f>IF(AND($G53&lt;&gt;"",$W53&lt;&gt;"",AM$2&gt;=$G53,AM$2&lt;=$W53,WEEKDAY(AM$2,2)&lt;6),$R53/$V53,"")</f>
        <v/>
      </c>
      <c r="AN53" s="48">
        <f>IF(AND($G53&lt;&gt;"",$W53&lt;&gt;"",AN$2&gt;=$G53,AN$2&lt;=$W53,WEEKDAY(AN$2,2)&lt;6),$R53/$V53,"")</f>
        <v/>
      </c>
      <c r="AO53" s="48">
        <f>IF(AND($G53&lt;&gt;"",$W53&lt;&gt;"",AO$2&gt;=$G53,AO$2&lt;=$W53,WEEKDAY(AO$2,2)&lt;6),$R53/$V53,"")</f>
        <v/>
      </c>
      <c r="AP53" s="48">
        <f>IF(AND($G53&lt;&gt;"",$W53&lt;&gt;"",AP$2&gt;=$G53,AP$2&lt;=$W53,WEEKDAY(AP$2,2)&lt;6),$R53/$V53,"")</f>
        <v/>
      </c>
      <c r="AQ53" s="48">
        <f>IF(AND($G53&lt;&gt;"",$W53&lt;&gt;"",AQ$2&gt;=$G53,AQ$2&lt;=$W53,WEEKDAY(AQ$2,2)&lt;6),$R53/$V53,"")</f>
        <v/>
      </c>
      <c r="AR53" s="48">
        <f>IF(AND($G53&lt;&gt;"",$W53&lt;&gt;"",AR$2&gt;=$G53,AR$2&lt;=$W53,WEEKDAY(AR$2,2)&lt;6),$R53/$V53,"")</f>
        <v/>
      </c>
      <c r="AS53" s="48">
        <f>IF(AND($G53&lt;&gt;"",$W53&lt;&gt;"",AS$2&gt;=$G53,AS$2&lt;=$W53,WEEKDAY(AS$2,2)&lt;6),$R53/$V53,"")</f>
        <v/>
      </c>
      <c r="AT53" s="48">
        <f>IF(AND($G53&lt;&gt;"",$W53&lt;&gt;"",AT$2&gt;=$G53,AT$2&lt;=$W53,WEEKDAY(AT$2,2)&lt;6),$R53/$V53,"")</f>
        <v/>
      </c>
      <c r="AU53" s="48">
        <f>IF(AND($G53&lt;&gt;"",$W53&lt;&gt;"",AU$2&gt;=$G53,AU$2&lt;=$W53,WEEKDAY(AU$2,2)&lt;6),$R53/$V53,"")</f>
        <v/>
      </c>
      <c r="AV53" s="48">
        <f>IF(AND($G53&lt;&gt;"",$W53&lt;&gt;"",AV$2&gt;=$G53,AV$2&lt;=$W53,WEEKDAY(AV$2,2)&lt;6),$R53/$V53,"")</f>
        <v/>
      </c>
      <c r="AW53" s="48">
        <f>IF(AND($G53&lt;&gt;"",$W53&lt;&gt;"",AW$2&gt;=$G53,AW$2&lt;=$W53,WEEKDAY(AW$2,2)&lt;6),$R53/$V53,"")</f>
        <v/>
      </c>
      <c r="AX53" s="48">
        <f>IF(AND($G53&lt;&gt;"",$W53&lt;&gt;"",AX$2&gt;=$G53,AX$2&lt;=$W53,WEEKDAY(AX$2,2)&lt;6),$R53/$V53,"")</f>
        <v/>
      </c>
      <c r="AY53" s="48">
        <f>IF(AND($G53&lt;&gt;"",$W53&lt;&gt;"",AY$2&gt;=$G53,AY$2&lt;=$W53,WEEKDAY(AY$2,2)&lt;6),$R53/$V53,"")</f>
        <v/>
      </c>
      <c r="AZ53" s="48">
        <f>IF(AND($G53&lt;&gt;"",$W53&lt;&gt;"",AZ$2&gt;=$G53,AZ$2&lt;=$W53,WEEKDAY(AZ$2,2)&lt;6),$R53/$V53,"")</f>
        <v/>
      </c>
      <c r="BA53" s="48">
        <f>IF(AND($G53&lt;&gt;"",$W53&lt;&gt;"",BA$2&gt;=$G53,BA$2&lt;=$W53,WEEKDAY(BA$2,2)&lt;6),$R53/$V53,"")</f>
        <v/>
      </c>
      <c r="BB53" s="48">
        <f>IF(AND($G53&lt;&gt;"",$W53&lt;&gt;"",BB$2&gt;=$G53,BB$2&lt;=$W53,WEEKDAY(BB$2,2)&lt;6),$R53/$V53,"")</f>
        <v/>
      </c>
      <c r="BC53" s="48">
        <f>IF(AND($G53&lt;&gt;"",$W53&lt;&gt;"",BC$2&gt;=$G53,BC$2&lt;=$W53,WEEKDAY(BC$2,2)&lt;6),$R53/$V53,"")</f>
        <v/>
      </c>
      <c r="BD53" s="48">
        <f>IF(AND($G53&lt;&gt;"",$W53&lt;&gt;"",BD$2&gt;=$G53,BD$2&lt;=$W53,WEEKDAY(BD$2,2)&lt;6),$R53/$V53,"")</f>
        <v/>
      </c>
      <c r="BE53" s="48">
        <f>IF(AND($G53&lt;&gt;"",$W53&lt;&gt;"",BE$2&gt;=$G53,BE$2&lt;=$W53,WEEKDAY(BE$2,2)&lt;6),$R53/$V53,"")</f>
        <v/>
      </c>
    </row>
    <row r="54">
      <c r="A54" s="40">
        <f>IF(F54="","",COUNTA($F$8:F54))</f>
        <v/>
      </c>
      <c r="B54" s="41">
        <f>IF(G54="","",MONTH(G54))</f>
        <v/>
      </c>
      <c r="C54" s="42" t="n"/>
      <c r="D54" s="43" t="n"/>
      <c r="E54" s="43" t="n"/>
      <c r="F54" s="42" t="n"/>
      <c r="G54" s="44" t="n"/>
      <c r="H54" s="44" t="n"/>
      <c r="I54" s="43" t="n"/>
      <c r="J54" s="43" t="n"/>
      <c r="K54" s="43" t="n"/>
      <c r="L54" s="42" t="n"/>
      <c r="M54" s="45" t="n"/>
      <c r="N54" s="42" t="n"/>
      <c r="O54" s="45" t="n"/>
      <c r="P54" s="42" t="n"/>
      <c r="Q54" s="45" t="n"/>
      <c r="R54" s="46">
        <f>IF(SUM(M54,O54,Q54)=0,"",SUM(M54,O54,Q54))</f>
        <v/>
      </c>
      <c r="S54" s="41">
        <f>IF(M54&gt;0,"영 ","")&amp;IF(O54&gt;0,"이 ","")&amp;IF(Q54&gt;0,"기 ","")</f>
        <v/>
      </c>
      <c r="T54" s="40">
        <f>IF(G54="","","W"&amp;ROUNDUP(DAY(G54)/7,0))</f>
        <v/>
      </c>
      <c r="U54" s="43" t="n"/>
      <c r="V54" s="40">
        <f>IF(R54="",0,ROUNDUP(MAX(M54,O54,Q54)/'마스터'!$J$6,0))</f>
        <v/>
      </c>
      <c r="W54" s="47">
        <f>IF(OR(G54="",V54=0),"",WORKDAY(G54,V54-1))</f>
        <v/>
      </c>
      <c r="X54" s="41">
        <f>IF(OR(H54="",W54=""),"",H54-W54)</f>
        <v/>
      </c>
      <c r="Y54" s="42" t="n"/>
      <c r="AA54" s="48">
        <f>IF(AND($G54&lt;&gt;"",$W54&lt;&gt;"",AA$2&gt;=$G54,AA$2&lt;=$W54,WEEKDAY(AA$2,2)&lt;6),$R54/$V54,"")</f>
        <v/>
      </c>
      <c r="AB54" s="48">
        <f>IF(AND($G54&lt;&gt;"",$W54&lt;&gt;"",AB$2&gt;=$G54,AB$2&lt;=$W54,WEEKDAY(AB$2,2)&lt;6),$R54/$V54,"")</f>
        <v/>
      </c>
      <c r="AC54" s="48">
        <f>IF(AND($G54&lt;&gt;"",$W54&lt;&gt;"",AC$2&gt;=$G54,AC$2&lt;=$W54,WEEKDAY(AC$2,2)&lt;6),$R54/$V54,"")</f>
        <v/>
      </c>
      <c r="AD54" s="48">
        <f>IF(AND($G54&lt;&gt;"",$W54&lt;&gt;"",AD$2&gt;=$G54,AD$2&lt;=$W54,WEEKDAY(AD$2,2)&lt;6),$R54/$V54,"")</f>
        <v/>
      </c>
      <c r="AE54" s="48">
        <f>IF(AND($G54&lt;&gt;"",$W54&lt;&gt;"",AE$2&gt;=$G54,AE$2&lt;=$W54,WEEKDAY(AE$2,2)&lt;6),$R54/$V54,"")</f>
        <v/>
      </c>
      <c r="AF54" s="48">
        <f>IF(AND($G54&lt;&gt;"",$W54&lt;&gt;"",AF$2&gt;=$G54,AF$2&lt;=$W54,WEEKDAY(AF$2,2)&lt;6),$R54/$V54,"")</f>
        <v/>
      </c>
      <c r="AG54" s="48">
        <f>IF(AND($G54&lt;&gt;"",$W54&lt;&gt;"",AG$2&gt;=$G54,AG$2&lt;=$W54,WEEKDAY(AG$2,2)&lt;6),$R54/$V54,"")</f>
        <v/>
      </c>
      <c r="AH54" s="48">
        <f>IF(AND($G54&lt;&gt;"",$W54&lt;&gt;"",AH$2&gt;=$G54,AH$2&lt;=$W54,WEEKDAY(AH$2,2)&lt;6),$R54/$V54,"")</f>
        <v/>
      </c>
      <c r="AI54" s="48">
        <f>IF(AND($G54&lt;&gt;"",$W54&lt;&gt;"",AI$2&gt;=$G54,AI$2&lt;=$W54,WEEKDAY(AI$2,2)&lt;6),$R54/$V54,"")</f>
        <v/>
      </c>
      <c r="AJ54" s="48">
        <f>IF(AND($G54&lt;&gt;"",$W54&lt;&gt;"",AJ$2&gt;=$G54,AJ$2&lt;=$W54,WEEKDAY(AJ$2,2)&lt;6),$R54/$V54,"")</f>
        <v/>
      </c>
      <c r="AK54" s="48">
        <f>IF(AND($G54&lt;&gt;"",$W54&lt;&gt;"",AK$2&gt;=$G54,AK$2&lt;=$W54,WEEKDAY(AK$2,2)&lt;6),$R54/$V54,"")</f>
        <v/>
      </c>
      <c r="AL54" s="48">
        <f>IF(AND($G54&lt;&gt;"",$W54&lt;&gt;"",AL$2&gt;=$G54,AL$2&lt;=$W54,WEEKDAY(AL$2,2)&lt;6),$R54/$V54,"")</f>
        <v/>
      </c>
      <c r="AM54" s="48">
        <f>IF(AND($G54&lt;&gt;"",$W54&lt;&gt;"",AM$2&gt;=$G54,AM$2&lt;=$W54,WEEKDAY(AM$2,2)&lt;6),$R54/$V54,"")</f>
        <v/>
      </c>
      <c r="AN54" s="48">
        <f>IF(AND($G54&lt;&gt;"",$W54&lt;&gt;"",AN$2&gt;=$G54,AN$2&lt;=$W54,WEEKDAY(AN$2,2)&lt;6),$R54/$V54,"")</f>
        <v/>
      </c>
      <c r="AO54" s="48">
        <f>IF(AND($G54&lt;&gt;"",$W54&lt;&gt;"",AO$2&gt;=$G54,AO$2&lt;=$W54,WEEKDAY(AO$2,2)&lt;6),$R54/$V54,"")</f>
        <v/>
      </c>
      <c r="AP54" s="48">
        <f>IF(AND($G54&lt;&gt;"",$W54&lt;&gt;"",AP$2&gt;=$G54,AP$2&lt;=$W54,WEEKDAY(AP$2,2)&lt;6),$R54/$V54,"")</f>
        <v/>
      </c>
      <c r="AQ54" s="48">
        <f>IF(AND($G54&lt;&gt;"",$W54&lt;&gt;"",AQ$2&gt;=$G54,AQ$2&lt;=$W54,WEEKDAY(AQ$2,2)&lt;6),$R54/$V54,"")</f>
        <v/>
      </c>
      <c r="AR54" s="48">
        <f>IF(AND($G54&lt;&gt;"",$W54&lt;&gt;"",AR$2&gt;=$G54,AR$2&lt;=$W54,WEEKDAY(AR$2,2)&lt;6),$R54/$V54,"")</f>
        <v/>
      </c>
      <c r="AS54" s="48">
        <f>IF(AND($G54&lt;&gt;"",$W54&lt;&gt;"",AS$2&gt;=$G54,AS$2&lt;=$W54,WEEKDAY(AS$2,2)&lt;6),$R54/$V54,"")</f>
        <v/>
      </c>
      <c r="AT54" s="48">
        <f>IF(AND($G54&lt;&gt;"",$W54&lt;&gt;"",AT$2&gt;=$G54,AT$2&lt;=$W54,WEEKDAY(AT$2,2)&lt;6),$R54/$V54,"")</f>
        <v/>
      </c>
      <c r="AU54" s="48">
        <f>IF(AND($G54&lt;&gt;"",$W54&lt;&gt;"",AU$2&gt;=$G54,AU$2&lt;=$W54,WEEKDAY(AU$2,2)&lt;6),$R54/$V54,"")</f>
        <v/>
      </c>
      <c r="AV54" s="48">
        <f>IF(AND($G54&lt;&gt;"",$W54&lt;&gt;"",AV$2&gt;=$G54,AV$2&lt;=$W54,WEEKDAY(AV$2,2)&lt;6),$R54/$V54,"")</f>
        <v/>
      </c>
      <c r="AW54" s="48">
        <f>IF(AND($G54&lt;&gt;"",$W54&lt;&gt;"",AW$2&gt;=$G54,AW$2&lt;=$W54,WEEKDAY(AW$2,2)&lt;6),$R54/$V54,"")</f>
        <v/>
      </c>
      <c r="AX54" s="48">
        <f>IF(AND($G54&lt;&gt;"",$W54&lt;&gt;"",AX$2&gt;=$G54,AX$2&lt;=$W54,WEEKDAY(AX$2,2)&lt;6),$R54/$V54,"")</f>
        <v/>
      </c>
      <c r="AY54" s="48">
        <f>IF(AND($G54&lt;&gt;"",$W54&lt;&gt;"",AY$2&gt;=$G54,AY$2&lt;=$W54,WEEKDAY(AY$2,2)&lt;6),$R54/$V54,"")</f>
        <v/>
      </c>
      <c r="AZ54" s="48">
        <f>IF(AND($G54&lt;&gt;"",$W54&lt;&gt;"",AZ$2&gt;=$G54,AZ$2&lt;=$W54,WEEKDAY(AZ$2,2)&lt;6),$R54/$V54,"")</f>
        <v/>
      </c>
      <c r="BA54" s="48">
        <f>IF(AND($G54&lt;&gt;"",$W54&lt;&gt;"",BA$2&gt;=$G54,BA$2&lt;=$W54,WEEKDAY(BA$2,2)&lt;6),$R54/$V54,"")</f>
        <v/>
      </c>
      <c r="BB54" s="48">
        <f>IF(AND($G54&lt;&gt;"",$W54&lt;&gt;"",BB$2&gt;=$G54,BB$2&lt;=$W54,WEEKDAY(BB$2,2)&lt;6),$R54/$V54,"")</f>
        <v/>
      </c>
      <c r="BC54" s="48">
        <f>IF(AND($G54&lt;&gt;"",$W54&lt;&gt;"",BC$2&gt;=$G54,BC$2&lt;=$W54,WEEKDAY(BC$2,2)&lt;6),$R54/$V54,"")</f>
        <v/>
      </c>
      <c r="BD54" s="48">
        <f>IF(AND($G54&lt;&gt;"",$W54&lt;&gt;"",BD$2&gt;=$G54,BD$2&lt;=$W54,WEEKDAY(BD$2,2)&lt;6),$R54/$V54,"")</f>
        <v/>
      </c>
      <c r="BE54" s="48">
        <f>IF(AND($G54&lt;&gt;"",$W54&lt;&gt;"",BE$2&gt;=$G54,BE$2&lt;=$W54,WEEKDAY(BE$2,2)&lt;6),$R54/$V54,"")</f>
        <v/>
      </c>
    </row>
    <row r="55">
      <c r="A55" s="40">
        <f>IF(F55="","",COUNTA($F$8:F55))</f>
        <v/>
      </c>
      <c r="B55" s="41">
        <f>IF(G55="","",MONTH(G55))</f>
        <v/>
      </c>
      <c r="C55" s="42" t="n"/>
      <c r="D55" s="43" t="n"/>
      <c r="E55" s="43" t="n"/>
      <c r="F55" s="42" t="n"/>
      <c r="G55" s="44" t="n"/>
      <c r="H55" s="44" t="n"/>
      <c r="I55" s="43" t="n"/>
      <c r="J55" s="43" t="n"/>
      <c r="K55" s="43" t="n"/>
      <c r="L55" s="42" t="n"/>
      <c r="M55" s="45" t="n"/>
      <c r="N55" s="42" t="n"/>
      <c r="O55" s="45" t="n"/>
      <c r="P55" s="42" t="n"/>
      <c r="Q55" s="45" t="n"/>
      <c r="R55" s="46">
        <f>IF(SUM(M55,O55,Q55)=0,"",SUM(M55,O55,Q55))</f>
        <v/>
      </c>
      <c r="S55" s="41">
        <f>IF(M55&gt;0,"영 ","")&amp;IF(O55&gt;0,"이 ","")&amp;IF(Q55&gt;0,"기 ","")</f>
        <v/>
      </c>
      <c r="T55" s="40">
        <f>IF(G55="","","W"&amp;ROUNDUP(DAY(G55)/7,0))</f>
        <v/>
      </c>
      <c r="U55" s="43" t="n"/>
      <c r="V55" s="40">
        <f>IF(R55="",0,ROUNDUP(MAX(M55,O55,Q55)/'마스터'!$J$6,0))</f>
        <v/>
      </c>
      <c r="W55" s="47">
        <f>IF(OR(G55="",V55=0),"",WORKDAY(G55,V55-1))</f>
        <v/>
      </c>
      <c r="X55" s="41">
        <f>IF(OR(H55="",W55=""),"",H55-W55)</f>
        <v/>
      </c>
      <c r="Y55" s="42" t="n"/>
      <c r="AA55" s="48">
        <f>IF(AND($G55&lt;&gt;"",$W55&lt;&gt;"",AA$2&gt;=$G55,AA$2&lt;=$W55,WEEKDAY(AA$2,2)&lt;6),$R55/$V55,"")</f>
        <v/>
      </c>
      <c r="AB55" s="48">
        <f>IF(AND($G55&lt;&gt;"",$W55&lt;&gt;"",AB$2&gt;=$G55,AB$2&lt;=$W55,WEEKDAY(AB$2,2)&lt;6),$R55/$V55,"")</f>
        <v/>
      </c>
      <c r="AC55" s="48">
        <f>IF(AND($G55&lt;&gt;"",$W55&lt;&gt;"",AC$2&gt;=$G55,AC$2&lt;=$W55,WEEKDAY(AC$2,2)&lt;6),$R55/$V55,"")</f>
        <v/>
      </c>
      <c r="AD55" s="48">
        <f>IF(AND($G55&lt;&gt;"",$W55&lt;&gt;"",AD$2&gt;=$G55,AD$2&lt;=$W55,WEEKDAY(AD$2,2)&lt;6),$R55/$V55,"")</f>
        <v/>
      </c>
      <c r="AE55" s="48">
        <f>IF(AND($G55&lt;&gt;"",$W55&lt;&gt;"",AE$2&gt;=$G55,AE$2&lt;=$W55,WEEKDAY(AE$2,2)&lt;6),$R55/$V55,"")</f>
        <v/>
      </c>
      <c r="AF55" s="48">
        <f>IF(AND($G55&lt;&gt;"",$W55&lt;&gt;"",AF$2&gt;=$G55,AF$2&lt;=$W55,WEEKDAY(AF$2,2)&lt;6),$R55/$V55,"")</f>
        <v/>
      </c>
      <c r="AG55" s="48">
        <f>IF(AND($G55&lt;&gt;"",$W55&lt;&gt;"",AG$2&gt;=$G55,AG$2&lt;=$W55,WEEKDAY(AG$2,2)&lt;6),$R55/$V55,"")</f>
        <v/>
      </c>
      <c r="AH55" s="48">
        <f>IF(AND($G55&lt;&gt;"",$W55&lt;&gt;"",AH$2&gt;=$G55,AH$2&lt;=$W55,WEEKDAY(AH$2,2)&lt;6),$R55/$V55,"")</f>
        <v/>
      </c>
      <c r="AI55" s="48">
        <f>IF(AND($G55&lt;&gt;"",$W55&lt;&gt;"",AI$2&gt;=$G55,AI$2&lt;=$W55,WEEKDAY(AI$2,2)&lt;6),$R55/$V55,"")</f>
        <v/>
      </c>
      <c r="AJ55" s="48">
        <f>IF(AND($G55&lt;&gt;"",$W55&lt;&gt;"",AJ$2&gt;=$G55,AJ$2&lt;=$W55,WEEKDAY(AJ$2,2)&lt;6),$R55/$V55,"")</f>
        <v/>
      </c>
      <c r="AK55" s="48">
        <f>IF(AND($G55&lt;&gt;"",$W55&lt;&gt;"",AK$2&gt;=$G55,AK$2&lt;=$W55,WEEKDAY(AK$2,2)&lt;6),$R55/$V55,"")</f>
        <v/>
      </c>
      <c r="AL55" s="48">
        <f>IF(AND($G55&lt;&gt;"",$W55&lt;&gt;"",AL$2&gt;=$G55,AL$2&lt;=$W55,WEEKDAY(AL$2,2)&lt;6),$R55/$V55,"")</f>
        <v/>
      </c>
      <c r="AM55" s="48">
        <f>IF(AND($G55&lt;&gt;"",$W55&lt;&gt;"",AM$2&gt;=$G55,AM$2&lt;=$W55,WEEKDAY(AM$2,2)&lt;6),$R55/$V55,"")</f>
        <v/>
      </c>
      <c r="AN55" s="48">
        <f>IF(AND($G55&lt;&gt;"",$W55&lt;&gt;"",AN$2&gt;=$G55,AN$2&lt;=$W55,WEEKDAY(AN$2,2)&lt;6),$R55/$V55,"")</f>
        <v/>
      </c>
      <c r="AO55" s="48">
        <f>IF(AND($G55&lt;&gt;"",$W55&lt;&gt;"",AO$2&gt;=$G55,AO$2&lt;=$W55,WEEKDAY(AO$2,2)&lt;6),$R55/$V55,"")</f>
        <v/>
      </c>
      <c r="AP55" s="48">
        <f>IF(AND($G55&lt;&gt;"",$W55&lt;&gt;"",AP$2&gt;=$G55,AP$2&lt;=$W55,WEEKDAY(AP$2,2)&lt;6),$R55/$V55,"")</f>
        <v/>
      </c>
      <c r="AQ55" s="48">
        <f>IF(AND($G55&lt;&gt;"",$W55&lt;&gt;"",AQ$2&gt;=$G55,AQ$2&lt;=$W55,WEEKDAY(AQ$2,2)&lt;6),$R55/$V55,"")</f>
        <v/>
      </c>
      <c r="AR55" s="48">
        <f>IF(AND($G55&lt;&gt;"",$W55&lt;&gt;"",AR$2&gt;=$G55,AR$2&lt;=$W55,WEEKDAY(AR$2,2)&lt;6),$R55/$V55,"")</f>
        <v/>
      </c>
      <c r="AS55" s="48">
        <f>IF(AND($G55&lt;&gt;"",$W55&lt;&gt;"",AS$2&gt;=$G55,AS$2&lt;=$W55,WEEKDAY(AS$2,2)&lt;6),$R55/$V55,"")</f>
        <v/>
      </c>
      <c r="AT55" s="48">
        <f>IF(AND($G55&lt;&gt;"",$W55&lt;&gt;"",AT$2&gt;=$G55,AT$2&lt;=$W55,WEEKDAY(AT$2,2)&lt;6),$R55/$V55,"")</f>
        <v/>
      </c>
      <c r="AU55" s="48">
        <f>IF(AND($G55&lt;&gt;"",$W55&lt;&gt;"",AU$2&gt;=$G55,AU$2&lt;=$W55,WEEKDAY(AU$2,2)&lt;6),$R55/$V55,"")</f>
        <v/>
      </c>
      <c r="AV55" s="48">
        <f>IF(AND($G55&lt;&gt;"",$W55&lt;&gt;"",AV$2&gt;=$G55,AV$2&lt;=$W55,WEEKDAY(AV$2,2)&lt;6),$R55/$V55,"")</f>
        <v/>
      </c>
      <c r="AW55" s="48">
        <f>IF(AND($G55&lt;&gt;"",$W55&lt;&gt;"",AW$2&gt;=$G55,AW$2&lt;=$W55,WEEKDAY(AW$2,2)&lt;6),$R55/$V55,"")</f>
        <v/>
      </c>
      <c r="AX55" s="48">
        <f>IF(AND($G55&lt;&gt;"",$W55&lt;&gt;"",AX$2&gt;=$G55,AX$2&lt;=$W55,WEEKDAY(AX$2,2)&lt;6),$R55/$V55,"")</f>
        <v/>
      </c>
      <c r="AY55" s="48">
        <f>IF(AND($G55&lt;&gt;"",$W55&lt;&gt;"",AY$2&gt;=$G55,AY$2&lt;=$W55,WEEKDAY(AY$2,2)&lt;6),$R55/$V55,"")</f>
        <v/>
      </c>
      <c r="AZ55" s="48">
        <f>IF(AND($G55&lt;&gt;"",$W55&lt;&gt;"",AZ$2&gt;=$G55,AZ$2&lt;=$W55,WEEKDAY(AZ$2,2)&lt;6),$R55/$V55,"")</f>
        <v/>
      </c>
      <c r="BA55" s="48">
        <f>IF(AND($G55&lt;&gt;"",$W55&lt;&gt;"",BA$2&gt;=$G55,BA$2&lt;=$W55,WEEKDAY(BA$2,2)&lt;6),$R55/$V55,"")</f>
        <v/>
      </c>
      <c r="BB55" s="48">
        <f>IF(AND($G55&lt;&gt;"",$W55&lt;&gt;"",BB$2&gt;=$G55,BB$2&lt;=$W55,WEEKDAY(BB$2,2)&lt;6),$R55/$V55,"")</f>
        <v/>
      </c>
      <c r="BC55" s="48">
        <f>IF(AND($G55&lt;&gt;"",$W55&lt;&gt;"",BC$2&gt;=$G55,BC$2&lt;=$W55,WEEKDAY(BC$2,2)&lt;6),$R55/$V55,"")</f>
        <v/>
      </c>
      <c r="BD55" s="48">
        <f>IF(AND($G55&lt;&gt;"",$W55&lt;&gt;"",BD$2&gt;=$G55,BD$2&lt;=$W55,WEEKDAY(BD$2,2)&lt;6),$R55/$V55,"")</f>
        <v/>
      </c>
      <c r="BE55" s="48">
        <f>IF(AND($G55&lt;&gt;"",$W55&lt;&gt;"",BE$2&gt;=$G55,BE$2&lt;=$W55,WEEKDAY(BE$2,2)&lt;6),$R55/$V55,"")</f>
        <v/>
      </c>
    </row>
    <row r="56">
      <c r="A56" s="40">
        <f>IF(F56="","",COUNTA($F$8:F56))</f>
        <v/>
      </c>
      <c r="B56" s="41">
        <f>IF(G56="","",MONTH(G56))</f>
        <v/>
      </c>
      <c r="C56" s="42" t="n"/>
      <c r="D56" s="43" t="n"/>
      <c r="E56" s="43" t="n"/>
      <c r="F56" s="42" t="n"/>
      <c r="G56" s="44" t="n"/>
      <c r="H56" s="44" t="n"/>
      <c r="I56" s="43" t="n"/>
      <c r="J56" s="43" t="n"/>
      <c r="K56" s="43" t="n"/>
      <c r="L56" s="42" t="n"/>
      <c r="M56" s="45" t="n"/>
      <c r="N56" s="42" t="n"/>
      <c r="O56" s="45" t="n"/>
      <c r="P56" s="42" t="n"/>
      <c r="Q56" s="45" t="n"/>
      <c r="R56" s="46">
        <f>IF(SUM(M56,O56,Q56)=0,"",SUM(M56,O56,Q56))</f>
        <v/>
      </c>
      <c r="S56" s="41">
        <f>IF(M56&gt;0,"영 ","")&amp;IF(O56&gt;0,"이 ","")&amp;IF(Q56&gt;0,"기 ","")</f>
        <v/>
      </c>
      <c r="T56" s="40">
        <f>IF(G56="","","W"&amp;ROUNDUP(DAY(G56)/7,0))</f>
        <v/>
      </c>
      <c r="U56" s="43" t="n"/>
      <c r="V56" s="40">
        <f>IF(R56="",0,ROUNDUP(MAX(M56,O56,Q56)/'마스터'!$J$6,0))</f>
        <v/>
      </c>
      <c r="W56" s="47">
        <f>IF(OR(G56="",V56=0),"",WORKDAY(G56,V56-1))</f>
        <v/>
      </c>
      <c r="X56" s="41">
        <f>IF(OR(H56="",W56=""),"",H56-W56)</f>
        <v/>
      </c>
      <c r="Y56" s="42" t="n"/>
      <c r="AA56" s="48">
        <f>IF(AND($G56&lt;&gt;"",$W56&lt;&gt;"",AA$2&gt;=$G56,AA$2&lt;=$W56,WEEKDAY(AA$2,2)&lt;6),$R56/$V56,"")</f>
        <v/>
      </c>
      <c r="AB56" s="48">
        <f>IF(AND($G56&lt;&gt;"",$W56&lt;&gt;"",AB$2&gt;=$G56,AB$2&lt;=$W56,WEEKDAY(AB$2,2)&lt;6),$R56/$V56,"")</f>
        <v/>
      </c>
      <c r="AC56" s="48">
        <f>IF(AND($G56&lt;&gt;"",$W56&lt;&gt;"",AC$2&gt;=$G56,AC$2&lt;=$W56,WEEKDAY(AC$2,2)&lt;6),$R56/$V56,"")</f>
        <v/>
      </c>
      <c r="AD56" s="48">
        <f>IF(AND($G56&lt;&gt;"",$W56&lt;&gt;"",AD$2&gt;=$G56,AD$2&lt;=$W56,WEEKDAY(AD$2,2)&lt;6),$R56/$V56,"")</f>
        <v/>
      </c>
      <c r="AE56" s="48">
        <f>IF(AND($G56&lt;&gt;"",$W56&lt;&gt;"",AE$2&gt;=$G56,AE$2&lt;=$W56,WEEKDAY(AE$2,2)&lt;6),$R56/$V56,"")</f>
        <v/>
      </c>
      <c r="AF56" s="48">
        <f>IF(AND($G56&lt;&gt;"",$W56&lt;&gt;"",AF$2&gt;=$G56,AF$2&lt;=$W56,WEEKDAY(AF$2,2)&lt;6),$R56/$V56,"")</f>
        <v/>
      </c>
      <c r="AG56" s="48">
        <f>IF(AND($G56&lt;&gt;"",$W56&lt;&gt;"",AG$2&gt;=$G56,AG$2&lt;=$W56,WEEKDAY(AG$2,2)&lt;6),$R56/$V56,"")</f>
        <v/>
      </c>
      <c r="AH56" s="48">
        <f>IF(AND($G56&lt;&gt;"",$W56&lt;&gt;"",AH$2&gt;=$G56,AH$2&lt;=$W56,WEEKDAY(AH$2,2)&lt;6),$R56/$V56,"")</f>
        <v/>
      </c>
      <c r="AI56" s="48">
        <f>IF(AND($G56&lt;&gt;"",$W56&lt;&gt;"",AI$2&gt;=$G56,AI$2&lt;=$W56,WEEKDAY(AI$2,2)&lt;6),$R56/$V56,"")</f>
        <v/>
      </c>
      <c r="AJ56" s="48">
        <f>IF(AND($G56&lt;&gt;"",$W56&lt;&gt;"",AJ$2&gt;=$G56,AJ$2&lt;=$W56,WEEKDAY(AJ$2,2)&lt;6),$R56/$V56,"")</f>
        <v/>
      </c>
      <c r="AK56" s="48">
        <f>IF(AND($G56&lt;&gt;"",$W56&lt;&gt;"",AK$2&gt;=$G56,AK$2&lt;=$W56,WEEKDAY(AK$2,2)&lt;6),$R56/$V56,"")</f>
        <v/>
      </c>
      <c r="AL56" s="48">
        <f>IF(AND($G56&lt;&gt;"",$W56&lt;&gt;"",AL$2&gt;=$G56,AL$2&lt;=$W56,WEEKDAY(AL$2,2)&lt;6),$R56/$V56,"")</f>
        <v/>
      </c>
      <c r="AM56" s="48">
        <f>IF(AND($G56&lt;&gt;"",$W56&lt;&gt;"",AM$2&gt;=$G56,AM$2&lt;=$W56,WEEKDAY(AM$2,2)&lt;6),$R56/$V56,"")</f>
        <v/>
      </c>
      <c r="AN56" s="48">
        <f>IF(AND($G56&lt;&gt;"",$W56&lt;&gt;"",AN$2&gt;=$G56,AN$2&lt;=$W56,WEEKDAY(AN$2,2)&lt;6),$R56/$V56,"")</f>
        <v/>
      </c>
      <c r="AO56" s="48">
        <f>IF(AND($G56&lt;&gt;"",$W56&lt;&gt;"",AO$2&gt;=$G56,AO$2&lt;=$W56,WEEKDAY(AO$2,2)&lt;6),$R56/$V56,"")</f>
        <v/>
      </c>
      <c r="AP56" s="48">
        <f>IF(AND($G56&lt;&gt;"",$W56&lt;&gt;"",AP$2&gt;=$G56,AP$2&lt;=$W56,WEEKDAY(AP$2,2)&lt;6),$R56/$V56,"")</f>
        <v/>
      </c>
      <c r="AQ56" s="48">
        <f>IF(AND($G56&lt;&gt;"",$W56&lt;&gt;"",AQ$2&gt;=$G56,AQ$2&lt;=$W56,WEEKDAY(AQ$2,2)&lt;6),$R56/$V56,"")</f>
        <v/>
      </c>
      <c r="AR56" s="48">
        <f>IF(AND($G56&lt;&gt;"",$W56&lt;&gt;"",AR$2&gt;=$G56,AR$2&lt;=$W56,WEEKDAY(AR$2,2)&lt;6),$R56/$V56,"")</f>
        <v/>
      </c>
      <c r="AS56" s="48">
        <f>IF(AND($G56&lt;&gt;"",$W56&lt;&gt;"",AS$2&gt;=$G56,AS$2&lt;=$W56,WEEKDAY(AS$2,2)&lt;6),$R56/$V56,"")</f>
        <v/>
      </c>
      <c r="AT56" s="48">
        <f>IF(AND($G56&lt;&gt;"",$W56&lt;&gt;"",AT$2&gt;=$G56,AT$2&lt;=$W56,WEEKDAY(AT$2,2)&lt;6),$R56/$V56,"")</f>
        <v/>
      </c>
      <c r="AU56" s="48">
        <f>IF(AND($G56&lt;&gt;"",$W56&lt;&gt;"",AU$2&gt;=$G56,AU$2&lt;=$W56,WEEKDAY(AU$2,2)&lt;6),$R56/$V56,"")</f>
        <v/>
      </c>
      <c r="AV56" s="48">
        <f>IF(AND($G56&lt;&gt;"",$W56&lt;&gt;"",AV$2&gt;=$G56,AV$2&lt;=$W56,WEEKDAY(AV$2,2)&lt;6),$R56/$V56,"")</f>
        <v/>
      </c>
      <c r="AW56" s="48">
        <f>IF(AND($G56&lt;&gt;"",$W56&lt;&gt;"",AW$2&gt;=$G56,AW$2&lt;=$W56,WEEKDAY(AW$2,2)&lt;6),$R56/$V56,"")</f>
        <v/>
      </c>
      <c r="AX56" s="48">
        <f>IF(AND($G56&lt;&gt;"",$W56&lt;&gt;"",AX$2&gt;=$G56,AX$2&lt;=$W56,WEEKDAY(AX$2,2)&lt;6),$R56/$V56,"")</f>
        <v/>
      </c>
      <c r="AY56" s="48">
        <f>IF(AND($G56&lt;&gt;"",$W56&lt;&gt;"",AY$2&gt;=$G56,AY$2&lt;=$W56,WEEKDAY(AY$2,2)&lt;6),$R56/$V56,"")</f>
        <v/>
      </c>
      <c r="AZ56" s="48">
        <f>IF(AND($G56&lt;&gt;"",$W56&lt;&gt;"",AZ$2&gt;=$G56,AZ$2&lt;=$W56,WEEKDAY(AZ$2,2)&lt;6),$R56/$V56,"")</f>
        <v/>
      </c>
      <c r="BA56" s="48">
        <f>IF(AND($G56&lt;&gt;"",$W56&lt;&gt;"",BA$2&gt;=$G56,BA$2&lt;=$W56,WEEKDAY(BA$2,2)&lt;6),$R56/$V56,"")</f>
        <v/>
      </c>
      <c r="BB56" s="48">
        <f>IF(AND($G56&lt;&gt;"",$W56&lt;&gt;"",BB$2&gt;=$G56,BB$2&lt;=$W56,WEEKDAY(BB$2,2)&lt;6),$R56/$V56,"")</f>
        <v/>
      </c>
      <c r="BC56" s="48">
        <f>IF(AND($G56&lt;&gt;"",$W56&lt;&gt;"",BC$2&gt;=$G56,BC$2&lt;=$W56,WEEKDAY(BC$2,2)&lt;6),$R56/$V56,"")</f>
        <v/>
      </c>
      <c r="BD56" s="48">
        <f>IF(AND($G56&lt;&gt;"",$W56&lt;&gt;"",BD$2&gt;=$G56,BD$2&lt;=$W56,WEEKDAY(BD$2,2)&lt;6),$R56/$V56,"")</f>
        <v/>
      </c>
      <c r="BE56" s="48">
        <f>IF(AND($G56&lt;&gt;"",$W56&lt;&gt;"",BE$2&gt;=$G56,BE$2&lt;=$W56,WEEKDAY(BE$2,2)&lt;6),$R56/$V56,"")</f>
        <v/>
      </c>
    </row>
    <row r="57">
      <c r="A57" s="40">
        <f>IF(F57="","",COUNTA($F$8:F57))</f>
        <v/>
      </c>
      <c r="B57" s="41">
        <f>IF(G57="","",MONTH(G57))</f>
        <v/>
      </c>
      <c r="C57" s="42" t="n"/>
      <c r="D57" s="43" t="n"/>
      <c r="E57" s="43" t="n"/>
      <c r="F57" s="42" t="n"/>
      <c r="G57" s="44" t="n"/>
      <c r="H57" s="44" t="n"/>
      <c r="I57" s="43" t="n"/>
      <c r="J57" s="43" t="n"/>
      <c r="K57" s="43" t="n"/>
      <c r="L57" s="42" t="n"/>
      <c r="M57" s="45" t="n"/>
      <c r="N57" s="42" t="n"/>
      <c r="O57" s="45" t="n"/>
      <c r="P57" s="42" t="n"/>
      <c r="Q57" s="45" t="n"/>
      <c r="R57" s="46">
        <f>IF(SUM(M57,O57,Q57)=0,"",SUM(M57,O57,Q57))</f>
        <v/>
      </c>
      <c r="S57" s="41">
        <f>IF(M57&gt;0,"영 ","")&amp;IF(O57&gt;0,"이 ","")&amp;IF(Q57&gt;0,"기 ","")</f>
        <v/>
      </c>
      <c r="T57" s="40">
        <f>IF(G57="","","W"&amp;ROUNDUP(DAY(G57)/7,0))</f>
        <v/>
      </c>
      <c r="U57" s="43" t="n"/>
      <c r="V57" s="40">
        <f>IF(R57="",0,ROUNDUP(MAX(M57,O57,Q57)/'마스터'!$J$6,0))</f>
        <v/>
      </c>
      <c r="W57" s="47">
        <f>IF(OR(G57="",V57=0),"",WORKDAY(G57,V57-1))</f>
        <v/>
      </c>
      <c r="X57" s="41">
        <f>IF(OR(H57="",W57=""),"",H57-W57)</f>
        <v/>
      </c>
      <c r="Y57" s="42" t="n"/>
      <c r="AA57" s="48">
        <f>IF(AND($G57&lt;&gt;"",$W57&lt;&gt;"",AA$2&gt;=$G57,AA$2&lt;=$W57,WEEKDAY(AA$2,2)&lt;6),$R57/$V57,"")</f>
        <v/>
      </c>
      <c r="AB57" s="48">
        <f>IF(AND($G57&lt;&gt;"",$W57&lt;&gt;"",AB$2&gt;=$G57,AB$2&lt;=$W57,WEEKDAY(AB$2,2)&lt;6),$R57/$V57,"")</f>
        <v/>
      </c>
      <c r="AC57" s="48">
        <f>IF(AND($G57&lt;&gt;"",$W57&lt;&gt;"",AC$2&gt;=$G57,AC$2&lt;=$W57,WEEKDAY(AC$2,2)&lt;6),$R57/$V57,"")</f>
        <v/>
      </c>
      <c r="AD57" s="48">
        <f>IF(AND($G57&lt;&gt;"",$W57&lt;&gt;"",AD$2&gt;=$G57,AD$2&lt;=$W57,WEEKDAY(AD$2,2)&lt;6),$R57/$V57,"")</f>
        <v/>
      </c>
      <c r="AE57" s="48">
        <f>IF(AND($G57&lt;&gt;"",$W57&lt;&gt;"",AE$2&gt;=$G57,AE$2&lt;=$W57,WEEKDAY(AE$2,2)&lt;6),$R57/$V57,"")</f>
        <v/>
      </c>
      <c r="AF57" s="48">
        <f>IF(AND($G57&lt;&gt;"",$W57&lt;&gt;"",AF$2&gt;=$G57,AF$2&lt;=$W57,WEEKDAY(AF$2,2)&lt;6),$R57/$V57,"")</f>
        <v/>
      </c>
      <c r="AG57" s="48">
        <f>IF(AND($G57&lt;&gt;"",$W57&lt;&gt;"",AG$2&gt;=$G57,AG$2&lt;=$W57,WEEKDAY(AG$2,2)&lt;6),$R57/$V57,"")</f>
        <v/>
      </c>
      <c r="AH57" s="48">
        <f>IF(AND($G57&lt;&gt;"",$W57&lt;&gt;"",AH$2&gt;=$G57,AH$2&lt;=$W57,WEEKDAY(AH$2,2)&lt;6),$R57/$V57,"")</f>
        <v/>
      </c>
      <c r="AI57" s="48">
        <f>IF(AND($G57&lt;&gt;"",$W57&lt;&gt;"",AI$2&gt;=$G57,AI$2&lt;=$W57,WEEKDAY(AI$2,2)&lt;6),$R57/$V57,"")</f>
        <v/>
      </c>
      <c r="AJ57" s="48">
        <f>IF(AND($G57&lt;&gt;"",$W57&lt;&gt;"",AJ$2&gt;=$G57,AJ$2&lt;=$W57,WEEKDAY(AJ$2,2)&lt;6),$R57/$V57,"")</f>
        <v/>
      </c>
      <c r="AK57" s="48">
        <f>IF(AND($G57&lt;&gt;"",$W57&lt;&gt;"",AK$2&gt;=$G57,AK$2&lt;=$W57,WEEKDAY(AK$2,2)&lt;6),$R57/$V57,"")</f>
        <v/>
      </c>
      <c r="AL57" s="48">
        <f>IF(AND($G57&lt;&gt;"",$W57&lt;&gt;"",AL$2&gt;=$G57,AL$2&lt;=$W57,WEEKDAY(AL$2,2)&lt;6),$R57/$V57,"")</f>
        <v/>
      </c>
      <c r="AM57" s="48">
        <f>IF(AND($G57&lt;&gt;"",$W57&lt;&gt;"",AM$2&gt;=$G57,AM$2&lt;=$W57,WEEKDAY(AM$2,2)&lt;6),$R57/$V57,"")</f>
        <v/>
      </c>
      <c r="AN57" s="48">
        <f>IF(AND($G57&lt;&gt;"",$W57&lt;&gt;"",AN$2&gt;=$G57,AN$2&lt;=$W57,WEEKDAY(AN$2,2)&lt;6),$R57/$V57,"")</f>
        <v/>
      </c>
      <c r="AO57" s="48">
        <f>IF(AND($G57&lt;&gt;"",$W57&lt;&gt;"",AO$2&gt;=$G57,AO$2&lt;=$W57,WEEKDAY(AO$2,2)&lt;6),$R57/$V57,"")</f>
        <v/>
      </c>
      <c r="AP57" s="48">
        <f>IF(AND($G57&lt;&gt;"",$W57&lt;&gt;"",AP$2&gt;=$G57,AP$2&lt;=$W57,WEEKDAY(AP$2,2)&lt;6),$R57/$V57,"")</f>
        <v/>
      </c>
      <c r="AQ57" s="48">
        <f>IF(AND($G57&lt;&gt;"",$W57&lt;&gt;"",AQ$2&gt;=$G57,AQ$2&lt;=$W57,WEEKDAY(AQ$2,2)&lt;6),$R57/$V57,"")</f>
        <v/>
      </c>
      <c r="AR57" s="48">
        <f>IF(AND($G57&lt;&gt;"",$W57&lt;&gt;"",AR$2&gt;=$G57,AR$2&lt;=$W57,WEEKDAY(AR$2,2)&lt;6),$R57/$V57,"")</f>
        <v/>
      </c>
      <c r="AS57" s="48">
        <f>IF(AND($G57&lt;&gt;"",$W57&lt;&gt;"",AS$2&gt;=$G57,AS$2&lt;=$W57,WEEKDAY(AS$2,2)&lt;6),$R57/$V57,"")</f>
        <v/>
      </c>
      <c r="AT57" s="48">
        <f>IF(AND($G57&lt;&gt;"",$W57&lt;&gt;"",AT$2&gt;=$G57,AT$2&lt;=$W57,WEEKDAY(AT$2,2)&lt;6),$R57/$V57,"")</f>
        <v/>
      </c>
      <c r="AU57" s="48">
        <f>IF(AND($G57&lt;&gt;"",$W57&lt;&gt;"",AU$2&gt;=$G57,AU$2&lt;=$W57,WEEKDAY(AU$2,2)&lt;6),$R57/$V57,"")</f>
        <v/>
      </c>
      <c r="AV57" s="48">
        <f>IF(AND($G57&lt;&gt;"",$W57&lt;&gt;"",AV$2&gt;=$G57,AV$2&lt;=$W57,WEEKDAY(AV$2,2)&lt;6),$R57/$V57,"")</f>
        <v/>
      </c>
      <c r="AW57" s="48">
        <f>IF(AND($G57&lt;&gt;"",$W57&lt;&gt;"",AW$2&gt;=$G57,AW$2&lt;=$W57,WEEKDAY(AW$2,2)&lt;6),$R57/$V57,"")</f>
        <v/>
      </c>
      <c r="AX57" s="48">
        <f>IF(AND($G57&lt;&gt;"",$W57&lt;&gt;"",AX$2&gt;=$G57,AX$2&lt;=$W57,WEEKDAY(AX$2,2)&lt;6),$R57/$V57,"")</f>
        <v/>
      </c>
      <c r="AY57" s="48">
        <f>IF(AND($G57&lt;&gt;"",$W57&lt;&gt;"",AY$2&gt;=$G57,AY$2&lt;=$W57,WEEKDAY(AY$2,2)&lt;6),$R57/$V57,"")</f>
        <v/>
      </c>
      <c r="AZ57" s="48">
        <f>IF(AND($G57&lt;&gt;"",$W57&lt;&gt;"",AZ$2&gt;=$G57,AZ$2&lt;=$W57,WEEKDAY(AZ$2,2)&lt;6),$R57/$V57,"")</f>
        <v/>
      </c>
      <c r="BA57" s="48">
        <f>IF(AND($G57&lt;&gt;"",$W57&lt;&gt;"",BA$2&gt;=$G57,BA$2&lt;=$W57,WEEKDAY(BA$2,2)&lt;6),$R57/$V57,"")</f>
        <v/>
      </c>
      <c r="BB57" s="48">
        <f>IF(AND($G57&lt;&gt;"",$W57&lt;&gt;"",BB$2&gt;=$G57,BB$2&lt;=$W57,WEEKDAY(BB$2,2)&lt;6),$R57/$V57,"")</f>
        <v/>
      </c>
      <c r="BC57" s="48">
        <f>IF(AND($G57&lt;&gt;"",$W57&lt;&gt;"",BC$2&gt;=$G57,BC$2&lt;=$W57,WEEKDAY(BC$2,2)&lt;6),$R57/$V57,"")</f>
        <v/>
      </c>
      <c r="BD57" s="48">
        <f>IF(AND($G57&lt;&gt;"",$W57&lt;&gt;"",BD$2&gt;=$G57,BD$2&lt;=$W57,WEEKDAY(BD$2,2)&lt;6),$R57/$V57,"")</f>
        <v/>
      </c>
      <c r="BE57" s="48">
        <f>IF(AND($G57&lt;&gt;"",$W57&lt;&gt;"",BE$2&gt;=$G57,BE$2&lt;=$W57,WEEKDAY(BE$2,2)&lt;6),$R57/$V57,"")</f>
        <v/>
      </c>
    </row>
  </sheetData>
  <mergeCells count="11">
    <mergeCell ref="R1:Y1"/>
    <mergeCell ref="AA1:BE1"/>
    <mergeCell ref="A5:F5"/>
    <mergeCell ref="I1:K1"/>
    <mergeCell ref="L1:M1"/>
    <mergeCell ref="P1:Q1"/>
    <mergeCell ref="A6:F6"/>
    <mergeCell ref="A4:F4"/>
    <mergeCell ref="A1:H1"/>
    <mergeCell ref="A3:F3"/>
    <mergeCell ref="N1:O1"/>
  </mergeCells>
  <conditionalFormatting sqref="AA3:BE6">
    <cfRule type="expression" priority="1" dxfId="0">
      <formula>AA3&gt;$H3</formula>
    </cfRule>
    <cfRule type="expression" priority="2" dxfId="1">
      <formula>AND(AA3&gt;0,AA3&gt;=$H3*0.8)</formula>
    </cfRule>
  </conditionalFormatting>
  <conditionalFormatting sqref="AA3:BE57">
    <cfRule type="expression" priority="3" dxfId="2">
      <formula>WEEKDAY(AA$2,2)&gt;5</formula>
    </cfRule>
  </conditionalFormatting>
  <conditionalFormatting sqref="AA8:BE57">
    <cfRule type="expression" priority="4" dxfId="3">
      <formula>AND($G8&lt;&gt;"",AA$2&gt;=$G8,AA$2&lt;=$W8,WEEKDAY(AA$2,2)&lt;6,$M8=MAX($M8,$O8,$Q8),$M8&gt;0)</formula>
    </cfRule>
    <cfRule type="expression" priority="5" dxfId="4">
      <formula>AND($G8&lt;&gt;"",AA$2&gt;=$G8,AA$2&lt;=$W8,WEEKDAY(AA$2,2)&lt;6,$O8=MAX($M8,$O8,$Q8),$O8&gt;0)</formula>
    </cfRule>
    <cfRule type="expression" priority="6" dxfId="5">
      <formula>AND($G8&lt;&gt;"",AA$2&gt;=$G8,AA$2&lt;=$W8,WEEKDAY(AA$2,2)&lt;6,$Q8=MAX($M8,$O8,$Q8),$Q8&gt;0)</formula>
    </cfRule>
  </conditionalFormatting>
  <conditionalFormatting sqref="X8:X57">
    <cfRule type="expression" priority="7" dxfId="6">
      <formula>AND(X8&lt;&gt;"",X8&lt;0)</formula>
    </cfRule>
    <cfRule type="expression" priority="8" dxfId="7">
      <formula>AND(X8&lt;&gt;"",X8&gt;=0,X8&lt;=1)</formula>
    </cfRule>
    <cfRule type="expression" priority="9" dxfId="8">
      <formula>AND(X8&lt;&gt;"",X8&gt;1)</formula>
    </cfRule>
  </conditionalFormatting>
  <dataValidations count="4">
    <dataValidation sqref="C8:C57" showDropDown="0" showInputMessage="0" showErrorMessage="0" allowBlank="1" type="list">
      <formula1>='마스터'!$A$3:$A$27</formula1>
    </dataValidation>
    <dataValidation sqref="D8:D57" showDropDown="0" showInputMessage="0" showErrorMessage="0" allowBlank="1" type="list">
      <formula1>='마스터'!$C$3:$C$7</formula1>
    </dataValidation>
    <dataValidation sqref="E8:E57" showDropDown="0" showInputMessage="0" showErrorMessage="0" allowBlank="1" type="list">
      <formula1>='마스터'!$E$3:$E$8</formula1>
    </dataValidation>
    <dataValidation sqref="U8:U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8" customWidth="1" min="8" max="8"/>
    <col width="9" customWidth="1" min="9" max="9"/>
    <col width="9" customWidth="1" min="10" max="10"/>
    <col width="9" customWidth="1" min="11" max="11"/>
  </cols>
  <sheetData>
    <row r="2">
      <c r="B2" s="49" t="inlineStr">
        <is>
          <t>연간요약 - 월별 / 상하반기 / 매월 누적</t>
        </is>
      </c>
    </row>
    <row r="3">
      <c r="B3" s="50" t="inlineStr">
        <is>
          <t>입력은 통합관리 시트. 아래는 자동 집계.</t>
        </is>
      </c>
    </row>
    <row r="5">
      <c r="B5" s="11" t="inlineStr">
        <is>
          <t>월</t>
        </is>
      </c>
      <c r="C5" s="11" t="inlineStr">
        <is>
          <t>영상MD</t>
        </is>
      </c>
      <c r="D5" s="11" t="inlineStr">
        <is>
          <t>이미지MD</t>
        </is>
      </c>
      <c r="E5" s="11" t="inlineStr">
        <is>
          <t>기획MD</t>
        </is>
      </c>
      <c r="F5" s="11" t="inlineStr">
        <is>
          <t>합계MD</t>
        </is>
      </c>
      <c r="G5" s="11" t="inlineStr">
        <is>
          <t>누적MD</t>
        </is>
      </c>
      <c r="H5" s="11" t="inlineStr">
        <is>
          <t>영상수</t>
        </is>
      </c>
      <c r="I5" s="11" t="inlineStr">
        <is>
          <t>사이즈베리</t>
        </is>
      </c>
      <c r="J5" s="11" t="inlineStr">
        <is>
          <t>다국어베리</t>
        </is>
      </c>
      <c r="K5" s="11" t="inlineStr">
        <is>
          <t>가동률</t>
        </is>
      </c>
    </row>
    <row r="6">
      <c r="B6" s="22" t="inlineStr">
        <is>
          <t>1월</t>
        </is>
      </c>
      <c r="C6" s="51">
        <f>SUMIFS('통합관리'!$M$8:$M$57,'통합관리'!$B$8:$B$57,1)</f>
        <v/>
      </c>
      <c r="D6" s="51">
        <f>SUMIFS('통합관리'!$O$8:$O$57,'통합관리'!$B$8:$B$57,1)</f>
        <v/>
      </c>
      <c r="E6" s="51">
        <f>SUMIFS('통합관리'!$Q$8:$Q$57,'통합관리'!$B$8:$B$57,1)</f>
        <v/>
      </c>
      <c r="F6" s="51">
        <f>SUM(C6:E6)</f>
        <v/>
      </c>
      <c r="G6" s="51">
        <f>SUM($F$6:F6)</f>
        <v/>
      </c>
      <c r="H6" s="51">
        <f>SUMIFS('통합관리'!$I$8:$I$57,'통합관리'!$B$8:$B$57,1)</f>
        <v/>
      </c>
      <c r="I6" s="51">
        <f>SUMIFS('통합관리'!$J$8:$J$57,'통합관리'!$B$8:$B$57,1)</f>
        <v/>
      </c>
      <c r="J6" s="51">
        <f>SUMIFS('통합관리'!$K$8:$K$57,'통합관리'!$B$8:$B$57,1)</f>
        <v/>
      </c>
      <c r="K6" s="52">
        <f>IFERROR(F6/(SUM('마스터'!$J$9:$J$11)*'마스터'!$J$5),0)</f>
        <v/>
      </c>
    </row>
    <row r="7">
      <c r="B7" s="22" t="inlineStr">
        <is>
          <t>2월</t>
        </is>
      </c>
      <c r="C7" s="51">
        <f>SUMIFS('통합관리'!$M$8:$M$57,'통합관리'!$B$8:$B$57,2)</f>
        <v/>
      </c>
      <c r="D7" s="51">
        <f>SUMIFS('통합관리'!$O$8:$O$57,'통합관리'!$B$8:$B$57,2)</f>
        <v/>
      </c>
      <c r="E7" s="51">
        <f>SUMIFS('통합관리'!$Q$8:$Q$57,'통합관리'!$B$8:$B$57,2)</f>
        <v/>
      </c>
      <c r="F7" s="51">
        <f>SUM(C7:E7)</f>
        <v/>
      </c>
      <c r="G7" s="51">
        <f>SUM($F$6:F7)</f>
        <v/>
      </c>
      <c r="H7" s="51">
        <f>SUMIFS('통합관리'!$I$8:$I$57,'통합관리'!$B$8:$B$57,2)</f>
        <v/>
      </c>
      <c r="I7" s="51">
        <f>SUMIFS('통합관리'!$J$8:$J$57,'통합관리'!$B$8:$B$57,2)</f>
        <v/>
      </c>
      <c r="J7" s="51">
        <f>SUMIFS('통합관리'!$K$8:$K$57,'통합관리'!$B$8:$B$57,2)</f>
        <v/>
      </c>
      <c r="K7" s="52">
        <f>IFERROR(F7/(SUM('마스터'!$J$9:$J$11)*'마스터'!$J$5),0)</f>
        <v/>
      </c>
    </row>
    <row r="8">
      <c r="B8" s="22" t="inlineStr">
        <is>
          <t>3월</t>
        </is>
      </c>
      <c r="C8" s="51">
        <f>SUMIFS('통합관리'!$M$8:$M$57,'통합관리'!$B$8:$B$57,3)</f>
        <v/>
      </c>
      <c r="D8" s="51">
        <f>SUMIFS('통합관리'!$O$8:$O$57,'통합관리'!$B$8:$B$57,3)</f>
        <v/>
      </c>
      <c r="E8" s="51">
        <f>SUMIFS('통합관리'!$Q$8:$Q$57,'통합관리'!$B$8:$B$57,3)</f>
        <v/>
      </c>
      <c r="F8" s="51">
        <f>SUM(C8:E8)</f>
        <v/>
      </c>
      <c r="G8" s="51">
        <f>SUM($F$6:F8)</f>
        <v/>
      </c>
      <c r="H8" s="51">
        <f>SUMIFS('통합관리'!$I$8:$I$57,'통합관리'!$B$8:$B$57,3)</f>
        <v/>
      </c>
      <c r="I8" s="51">
        <f>SUMIFS('통합관리'!$J$8:$J$57,'통합관리'!$B$8:$B$57,3)</f>
        <v/>
      </c>
      <c r="J8" s="51">
        <f>SUMIFS('통합관리'!$K$8:$K$57,'통합관리'!$B$8:$B$57,3)</f>
        <v/>
      </c>
      <c r="K8" s="52">
        <f>IFERROR(F8/(SUM('마스터'!$J$9:$J$11)*'마스터'!$J$5),0)</f>
        <v/>
      </c>
    </row>
    <row r="9">
      <c r="B9" s="22" t="inlineStr">
        <is>
          <t>4월</t>
        </is>
      </c>
      <c r="C9" s="51">
        <f>SUMIFS('통합관리'!$M$8:$M$57,'통합관리'!$B$8:$B$57,4)</f>
        <v/>
      </c>
      <c r="D9" s="51">
        <f>SUMIFS('통합관리'!$O$8:$O$57,'통합관리'!$B$8:$B$57,4)</f>
        <v/>
      </c>
      <c r="E9" s="51">
        <f>SUMIFS('통합관리'!$Q$8:$Q$57,'통합관리'!$B$8:$B$57,4)</f>
        <v/>
      </c>
      <c r="F9" s="51">
        <f>SUM(C9:E9)</f>
        <v/>
      </c>
      <c r="G9" s="51">
        <f>SUM($F$6:F9)</f>
        <v/>
      </c>
      <c r="H9" s="51">
        <f>SUMIFS('통합관리'!$I$8:$I$57,'통합관리'!$B$8:$B$57,4)</f>
        <v/>
      </c>
      <c r="I9" s="51">
        <f>SUMIFS('통합관리'!$J$8:$J$57,'통합관리'!$B$8:$B$57,4)</f>
        <v/>
      </c>
      <c r="J9" s="51">
        <f>SUMIFS('통합관리'!$K$8:$K$57,'통합관리'!$B$8:$B$57,4)</f>
        <v/>
      </c>
      <c r="K9" s="52">
        <f>IFERROR(F9/(SUM('마스터'!$J$9:$J$11)*'마스터'!$J$5),0)</f>
        <v/>
      </c>
    </row>
    <row r="10">
      <c r="B10" s="22" t="inlineStr">
        <is>
          <t>5월</t>
        </is>
      </c>
      <c r="C10" s="51">
        <f>SUMIFS('통합관리'!$M$8:$M$57,'통합관리'!$B$8:$B$57,5)</f>
        <v/>
      </c>
      <c r="D10" s="51">
        <f>SUMIFS('통합관리'!$O$8:$O$57,'통합관리'!$B$8:$B$57,5)</f>
        <v/>
      </c>
      <c r="E10" s="51">
        <f>SUMIFS('통합관리'!$Q$8:$Q$57,'통합관리'!$B$8:$B$57,5)</f>
        <v/>
      </c>
      <c r="F10" s="51">
        <f>SUM(C10:E10)</f>
        <v/>
      </c>
      <c r="G10" s="51">
        <f>SUM($F$6:F10)</f>
        <v/>
      </c>
      <c r="H10" s="51">
        <f>SUMIFS('통합관리'!$I$8:$I$57,'통합관리'!$B$8:$B$57,5)</f>
        <v/>
      </c>
      <c r="I10" s="51">
        <f>SUMIFS('통합관리'!$J$8:$J$57,'통합관리'!$B$8:$B$57,5)</f>
        <v/>
      </c>
      <c r="J10" s="51">
        <f>SUMIFS('통합관리'!$K$8:$K$57,'통합관리'!$B$8:$B$57,5)</f>
        <v/>
      </c>
      <c r="K10" s="52">
        <f>IFERROR(F10/(SUM('마스터'!$J$9:$J$11)*'마스터'!$J$5),0)</f>
        <v/>
      </c>
    </row>
    <row r="11">
      <c r="B11" s="22" t="inlineStr">
        <is>
          <t>6월</t>
        </is>
      </c>
      <c r="C11" s="51">
        <f>SUMIFS('통합관리'!$M$8:$M$57,'통합관리'!$B$8:$B$57,6)</f>
        <v/>
      </c>
      <c r="D11" s="51">
        <f>SUMIFS('통합관리'!$O$8:$O$57,'통합관리'!$B$8:$B$57,6)</f>
        <v/>
      </c>
      <c r="E11" s="51">
        <f>SUMIFS('통합관리'!$Q$8:$Q$57,'통합관리'!$B$8:$B$57,6)</f>
        <v/>
      </c>
      <c r="F11" s="51">
        <f>SUM(C11:E11)</f>
        <v/>
      </c>
      <c r="G11" s="51">
        <f>SUM($F$6:F11)</f>
        <v/>
      </c>
      <c r="H11" s="51">
        <f>SUMIFS('통합관리'!$I$8:$I$57,'통합관리'!$B$8:$B$57,6)</f>
        <v/>
      </c>
      <c r="I11" s="51">
        <f>SUMIFS('통합관리'!$J$8:$J$57,'통합관리'!$B$8:$B$57,6)</f>
        <v/>
      </c>
      <c r="J11" s="51">
        <f>SUMIFS('통합관리'!$K$8:$K$57,'통합관리'!$B$8:$B$57,6)</f>
        <v/>
      </c>
      <c r="K11" s="52">
        <f>IFERROR(F11/(SUM('마스터'!$J$9:$J$11)*'마스터'!$J$5),0)</f>
        <v/>
      </c>
    </row>
    <row r="12">
      <c r="B12" s="22" t="inlineStr">
        <is>
          <t>7월</t>
        </is>
      </c>
      <c r="C12" s="51">
        <f>SUMIFS('통합관리'!$M$8:$M$57,'통합관리'!$B$8:$B$57,7)</f>
        <v/>
      </c>
      <c r="D12" s="51">
        <f>SUMIFS('통합관리'!$O$8:$O$57,'통합관리'!$B$8:$B$57,7)</f>
        <v/>
      </c>
      <c r="E12" s="51">
        <f>SUMIFS('통합관리'!$Q$8:$Q$57,'통합관리'!$B$8:$B$57,7)</f>
        <v/>
      </c>
      <c r="F12" s="51">
        <f>SUM(C12:E12)</f>
        <v/>
      </c>
      <c r="G12" s="51">
        <f>SUM($F$6:F12)</f>
        <v/>
      </c>
      <c r="H12" s="51">
        <f>SUMIFS('통합관리'!$I$8:$I$57,'통합관리'!$B$8:$B$57,7)</f>
        <v/>
      </c>
      <c r="I12" s="51">
        <f>SUMIFS('통합관리'!$J$8:$J$57,'통합관리'!$B$8:$B$57,7)</f>
        <v/>
      </c>
      <c r="J12" s="51">
        <f>SUMIFS('통합관리'!$K$8:$K$57,'통합관리'!$B$8:$B$57,7)</f>
        <v/>
      </c>
      <c r="K12" s="52">
        <f>IFERROR(F12/(SUM('마스터'!$J$9:$J$11)*'마스터'!$J$5),0)</f>
        <v/>
      </c>
    </row>
    <row r="13">
      <c r="B13" s="22" t="inlineStr">
        <is>
          <t>8월</t>
        </is>
      </c>
      <c r="C13" s="51">
        <f>SUMIFS('통합관리'!$M$8:$M$57,'통합관리'!$B$8:$B$57,8)</f>
        <v/>
      </c>
      <c r="D13" s="51">
        <f>SUMIFS('통합관리'!$O$8:$O$57,'통합관리'!$B$8:$B$57,8)</f>
        <v/>
      </c>
      <c r="E13" s="51">
        <f>SUMIFS('통합관리'!$Q$8:$Q$57,'통합관리'!$B$8:$B$57,8)</f>
        <v/>
      </c>
      <c r="F13" s="51">
        <f>SUM(C13:E13)</f>
        <v/>
      </c>
      <c r="G13" s="51">
        <f>SUM($F$6:F13)</f>
        <v/>
      </c>
      <c r="H13" s="51">
        <f>SUMIFS('통합관리'!$I$8:$I$57,'통합관리'!$B$8:$B$57,8)</f>
        <v/>
      </c>
      <c r="I13" s="51">
        <f>SUMIFS('통합관리'!$J$8:$J$57,'통합관리'!$B$8:$B$57,8)</f>
        <v/>
      </c>
      <c r="J13" s="51">
        <f>SUMIFS('통합관리'!$K$8:$K$57,'통합관리'!$B$8:$B$57,8)</f>
        <v/>
      </c>
      <c r="K13" s="52">
        <f>IFERROR(F13/(SUM('마스터'!$J$9:$J$11)*'마스터'!$J$5),0)</f>
        <v/>
      </c>
    </row>
    <row r="14">
      <c r="B14" s="22" t="inlineStr">
        <is>
          <t>9월</t>
        </is>
      </c>
      <c r="C14" s="51">
        <f>SUMIFS('통합관리'!$M$8:$M$57,'통합관리'!$B$8:$B$57,9)</f>
        <v/>
      </c>
      <c r="D14" s="51">
        <f>SUMIFS('통합관리'!$O$8:$O$57,'통합관리'!$B$8:$B$57,9)</f>
        <v/>
      </c>
      <c r="E14" s="51">
        <f>SUMIFS('통합관리'!$Q$8:$Q$57,'통합관리'!$B$8:$B$57,9)</f>
        <v/>
      </c>
      <c r="F14" s="51">
        <f>SUM(C14:E14)</f>
        <v/>
      </c>
      <c r="G14" s="51">
        <f>SUM($F$6:F14)</f>
        <v/>
      </c>
      <c r="H14" s="51">
        <f>SUMIFS('통합관리'!$I$8:$I$57,'통합관리'!$B$8:$B$57,9)</f>
        <v/>
      </c>
      <c r="I14" s="51">
        <f>SUMIFS('통합관리'!$J$8:$J$57,'통합관리'!$B$8:$B$57,9)</f>
        <v/>
      </c>
      <c r="J14" s="51">
        <f>SUMIFS('통합관리'!$K$8:$K$57,'통합관리'!$B$8:$B$57,9)</f>
        <v/>
      </c>
      <c r="K14" s="52">
        <f>IFERROR(F14/(SUM('마스터'!$J$9:$J$11)*'마스터'!$J$5),0)</f>
        <v/>
      </c>
    </row>
    <row r="15">
      <c r="B15" s="22" t="inlineStr">
        <is>
          <t>10월</t>
        </is>
      </c>
      <c r="C15" s="51">
        <f>SUMIFS('통합관리'!$M$8:$M$57,'통합관리'!$B$8:$B$57,10)</f>
        <v/>
      </c>
      <c r="D15" s="51">
        <f>SUMIFS('통합관리'!$O$8:$O$57,'통합관리'!$B$8:$B$57,10)</f>
        <v/>
      </c>
      <c r="E15" s="51">
        <f>SUMIFS('통합관리'!$Q$8:$Q$57,'통합관리'!$B$8:$B$57,10)</f>
        <v/>
      </c>
      <c r="F15" s="51">
        <f>SUM(C15:E15)</f>
        <v/>
      </c>
      <c r="G15" s="51">
        <f>SUM($F$6:F15)</f>
        <v/>
      </c>
      <c r="H15" s="51">
        <f>SUMIFS('통합관리'!$I$8:$I$57,'통합관리'!$B$8:$B$57,10)</f>
        <v/>
      </c>
      <c r="I15" s="51">
        <f>SUMIFS('통합관리'!$J$8:$J$57,'통합관리'!$B$8:$B$57,10)</f>
        <v/>
      </c>
      <c r="J15" s="51">
        <f>SUMIFS('통합관리'!$K$8:$K$57,'통합관리'!$B$8:$B$57,10)</f>
        <v/>
      </c>
      <c r="K15" s="52">
        <f>IFERROR(F15/(SUM('마스터'!$J$9:$J$11)*'마스터'!$J$5),0)</f>
        <v/>
      </c>
    </row>
    <row r="16">
      <c r="B16" s="22" t="inlineStr">
        <is>
          <t>11월</t>
        </is>
      </c>
      <c r="C16" s="51">
        <f>SUMIFS('통합관리'!$M$8:$M$57,'통합관리'!$B$8:$B$57,11)</f>
        <v/>
      </c>
      <c r="D16" s="51">
        <f>SUMIFS('통합관리'!$O$8:$O$57,'통합관리'!$B$8:$B$57,11)</f>
        <v/>
      </c>
      <c r="E16" s="51">
        <f>SUMIFS('통합관리'!$Q$8:$Q$57,'통합관리'!$B$8:$B$57,11)</f>
        <v/>
      </c>
      <c r="F16" s="51">
        <f>SUM(C16:E16)</f>
        <v/>
      </c>
      <c r="G16" s="51">
        <f>SUM($F$6:F16)</f>
        <v/>
      </c>
      <c r="H16" s="51">
        <f>SUMIFS('통합관리'!$I$8:$I$57,'통합관리'!$B$8:$B$57,11)</f>
        <v/>
      </c>
      <c r="I16" s="51">
        <f>SUMIFS('통합관리'!$J$8:$J$57,'통합관리'!$B$8:$B$57,11)</f>
        <v/>
      </c>
      <c r="J16" s="51">
        <f>SUMIFS('통합관리'!$K$8:$K$57,'통합관리'!$B$8:$B$57,11)</f>
        <v/>
      </c>
      <c r="K16" s="52">
        <f>IFERROR(F16/(SUM('마스터'!$J$9:$J$11)*'마스터'!$J$5),0)</f>
        <v/>
      </c>
    </row>
    <row r="17">
      <c r="B17" s="22" t="inlineStr">
        <is>
          <t>12월</t>
        </is>
      </c>
      <c r="C17" s="51">
        <f>SUMIFS('통합관리'!$M$8:$M$57,'통합관리'!$B$8:$B$57,12)</f>
        <v/>
      </c>
      <c r="D17" s="51">
        <f>SUMIFS('통합관리'!$O$8:$O$57,'통합관리'!$B$8:$B$57,12)</f>
        <v/>
      </c>
      <c r="E17" s="51">
        <f>SUMIFS('통합관리'!$Q$8:$Q$57,'통합관리'!$B$8:$B$57,12)</f>
        <v/>
      </c>
      <c r="F17" s="51">
        <f>SUM(C17:E17)</f>
        <v/>
      </c>
      <c r="G17" s="51">
        <f>SUM($F$6:F17)</f>
        <v/>
      </c>
      <c r="H17" s="51">
        <f>SUMIFS('통합관리'!$I$8:$I$57,'통합관리'!$B$8:$B$57,12)</f>
        <v/>
      </c>
      <c r="I17" s="51">
        <f>SUMIFS('통합관리'!$J$8:$J$57,'통합관리'!$B$8:$B$57,12)</f>
        <v/>
      </c>
      <c r="J17" s="51">
        <f>SUMIFS('통합관리'!$K$8:$K$57,'통합관리'!$B$8:$B$57,12)</f>
        <v/>
      </c>
      <c r="K17" s="52">
        <f>IFERROR(F17/(SUM('마스터'!$J$9:$J$11)*'마스터'!$J$5),0)</f>
        <v/>
      </c>
    </row>
    <row r="18">
      <c r="B18" s="53" t="inlineStr">
        <is>
          <t>상반기(1-6)</t>
        </is>
      </c>
      <c r="C18" s="54">
        <f>SUM(C6:C11)</f>
        <v/>
      </c>
      <c r="D18" s="54">
        <f>SUM(D6:D11)</f>
        <v/>
      </c>
      <c r="E18" s="54">
        <f>SUM(E6:E11)</f>
        <v/>
      </c>
      <c r="F18" s="54">
        <f>SUM(F6:F11)</f>
        <v/>
      </c>
      <c r="G18" s="55" t="inlineStr"/>
      <c r="H18" s="54">
        <f>SUM(H6:H11)</f>
        <v/>
      </c>
      <c r="I18" s="54">
        <f>SUM(I6:I11)</f>
        <v/>
      </c>
      <c r="J18" s="54">
        <f>SUM(J6:J11)</f>
        <v/>
      </c>
      <c r="K18" s="56">
        <f>IFERROR(F18/(SUM('마스터'!$J$9:$J$11)*'마스터'!$J$5*(11-6+1)),0)</f>
        <v/>
      </c>
    </row>
    <row r="19">
      <c r="B19" s="53" t="inlineStr">
        <is>
          <t>하반기(7-12)</t>
        </is>
      </c>
      <c r="C19" s="54">
        <f>SUM(C12:C17)</f>
        <v/>
      </c>
      <c r="D19" s="54">
        <f>SUM(D12:D17)</f>
        <v/>
      </c>
      <c r="E19" s="54">
        <f>SUM(E12:E17)</f>
        <v/>
      </c>
      <c r="F19" s="54">
        <f>SUM(F12:F17)</f>
        <v/>
      </c>
      <c r="G19" s="55" t="inlineStr"/>
      <c r="H19" s="54">
        <f>SUM(H12:H17)</f>
        <v/>
      </c>
      <c r="I19" s="54">
        <f>SUM(I12:I17)</f>
        <v/>
      </c>
      <c r="J19" s="54">
        <f>SUM(J12:J17)</f>
        <v/>
      </c>
      <c r="K19" s="56">
        <f>IFERROR(F19/(SUM('마스터'!$J$9:$J$11)*'마스터'!$J$5*(17-12+1)),0)</f>
        <v/>
      </c>
    </row>
    <row r="20">
      <c r="B20" s="53" t="inlineStr">
        <is>
          <t>연간 합계</t>
        </is>
      </c>
      <c r="C20" s="54">
        <f>SUM(C6:C17)</f>
        <v/>
      </c>
      <c r="D20" s="54">
        <f>SUM(D6:D17)</f>
        <v/>
      </c>
      <c r="E20" s="54">
        <f>SUM(E6:E17)</f>
        <v/>
      </c>
      <c r="F20" s="54">
        <f>SUM(F6:F17)</f>
        <v/>
      </c>
      <c r="G20" s="55" t="inlineStr"/>
      <c r="H20" s="54">
        <f>SUM(H6:H17)</f>
        <v/>
      </c>
      <c r="I20" s="54">
        <f>SUM(I6:I17)</f>
        <v/>
      </c>
      <c r="J20" s="54">
        <f>SUM(J6:J17)</f>
        <v/>
      </c>
      <c r="K20" s="56">
        <f>IFERROR(F20/(SUM('마스터'!$J$9:$J$11)*'마스터'!$J$5*(17-6+1)),0)</f>
        <v/>
      </c>
    </row>
    <row r="23">
      <c r="B23" s="21" t="inlineStr">
        <is>
          <t>고객팀 x 유형 (연간 건수)</t>
        </is>
      </c>
      <c r="H23" s="21" t="inlineStr">
        <is>
          <t>게임타이틀별 (연간)</t>
        </is>
      </c>
    </row>
    <row r="24">
      <c r="B24" s="57" t="inlineStr">
        <is>
          <t>팀\유형</t>
        </is>
      </c>
      <c r="C24" s="57" t="inlineStr">
        <is>
          <t>영상</t>
        </is>
      </c>
      <c r="D24" s="57" t="inlineStr">
        <is>
          <t>이미지</t>
        </is>
      </c>
      <c r="E24" s="57" t="inlineStr">
        <is>
          <t>기획</t>
        </is>
      </c>
      <c r="H24" s="57" t="inlineStr">
        <is>
          <t>타이틀</t>
        </is>
      </c>
      <c r="I24" s="57" t="inlineStr">
        <is>
          <t>건수</t>
        </is>
      </c>
      <c r="J24" s="57" t="inlineStr">
        <is>
          <t>MD</t>
        </is>
      </c>
    </row>
    <row r="25">
      <c r="B25" s="58" t="inlineStr">
        <is>
          <t>마케팅1팀</t>
        </is>
      </c>
      <c r="C25" s="40">
        <f>COUNTIFS('통합관리'!$D$8:$D$57,$B25,'통합관리'!$E$8:$E$57,C$24)</f>
        <v/>
      </c>
      <c r="D25" s="40">
        <f>COUNTIFS('통합관리'!$D$8:$D$57,$B25,'통합관리'!$E$8:$E$57,D$24)</f>
        <v/>
      </c>
      <c r="E25" s="40">
        <f>COUNTIFS('통합관리'!$D$8:$D$57,$B25,'통합관리'!$E$8:$E$57,E$24)</f>
        <v/>
      </c>
      <c r="H25" s="58" t="inlineStr">
        <is>
          <t>뱀피르</t>
        </is>
      </c>
      <c r="I25" s="40">
        <f>COUNTIF('통합관리'!$C$8:$C$57,H25)</f>
        <v/>
      </c>
      <c r="J25" s="59">
        <f>SUMIF('통합관리'!$C$8:$C$57,H25,'통합관리'!$R$8:$R$57)</f>
        <v/>
      </c>
    </row>
    <row r="26">
      <c r="B26" s="58" t="inlineStr">
        <is>
          <t>마케팅2팀</t>
        </is>
      </c>
      <c r="C26" s="40">
        <f>COUNTIFS('통합관리'!$D$8:$D$57,$B26,'통합관리'!$E$8:$E$57,C$24)</f>
        <v/>
      </c>
      <c r="D26" s="40">
        <f>COUNTIFS('통합관리'!$D$8:$D$57,$B26,'통합관리'!$E$8:$E$57,D$24)</f>
        <v/>
      </c>
      <c r="E26" s="40">
        <f>COUNTIFS('통합관리'!$D$8:$D$57,$B26,'통합관리'!$E$8:$E$57,E$24)</f>
        <v/>
      </c>
      <c r="H26" s="58" t="inlineStr">
        <is>
          <t>RF 글로벌</t>
        </is>
      </c>
      <c r="I26" s="40">
        <f>COUNTIF('통합관리'!$C$8:$C$57,H26)</f>
        <v/>
      </c>
      <c r="J26" s="59">
        <f>SUMIF('통합관리'!$C$8:$C$57,H26,'통합관리'!$R$8:$R$57)</f>
        <v/>
      </c>
    </row>
    <row r="27">
      <c r="B27" s="58" t="inlineStr">
        <is>
          <t>마케팅3팀</t>
        </is>
      </c>
      <c r="C27" s="40">
        <f>COUNTIFS('통합관리'!$D$8:$D$57,$B27,'통합관리'!$E$8:$E$57,C$24)</f>
        <v/>
      </c>
      <c r="D27" s="40">
        <f>COUNTIFS('통합관리'!$D$8:$D$57,$B27,'통합관리'!$E$8:$E$57,D$24)</f>
        <v/>
      </c>
      <c r="E27" s="40">
        <f>COUNTIFS('통합관리'!$D$8:$D$57,$B27,'통합관리'!$E$8:$E$57,E$24)</f>
        <v/>
      </c>
      <c r="H27" s="58" t="inlineStr">
        <is>
          <t>SOL 인챈트</t>
        </is>
      </c>
      <c r="I27" s="40">
        <f>COUNTIF('통합관리'!$C$8:$C$57,H27)</f>
        <v/>
      </c>
      <c r="J27" s="59">
        <f>SUMIF('통합관리'!$C$8:$C$57,H27,'통합관리'!$R$8:$R$57)</f>
        <v/>
      </c>
    </row>
    <row r="28">
      <c r="B28" s="58" t="inlineStr">
        <is>
          <t>마케팅4팀</t>
        </is>
      </c>
      <c r="C28" s="40">
        <f>COUNTIFS('통합관리'!$D$8:$D$57,$B28,'통합관리'!$E$8:$E$57,C$24)</f>
        <v/>
      </c>
      <c r="D28" s="40">
        <f>COUNTIFS('통합관리'!$D$8:$D$57,$B28,'통합관리'!$E$8:$E$57,D$24)</f>
        <v/>
      </c>
      <c r="E28" s="40">
        <f>COUNTIFS('통합관리'!$D$8:$D$57,$B28,'통합관리'!$E$8:$E$57,E$24)</f>
        <v/>
      </c>
      <c r="H28" s="58" t="inlineStr">
        <is>
          <t>스톤에이지펫월드</t>
        </is>
      </c>
      <c r="I28" s="40">
        <f>COUNTIF('통합관리'!$C$8:$C$57,H28)</f>
        <v/>
      </c>
      <c r="J28" s="59">
        <f>SUMIF('통합관리'!$C$8:$C$57,H28,'통합관리'!$R$8:$R$57)</f>
        <v/>
      </c>
    </row>
    <row r="29">
      <c r="B29" s="58" t="inlineStr">
        <is>
          <t>기타</t>
        </is>
      </c>
      <c r="C29" s="40">
        <f>COUNTIFS('통합관리'!$D$8:$D$57,$B29,'통합관리'!$E$8:$E$57,C$24)</f>
        <v/>
      </c>
      <c r="D29" s="40">
        <f>COUNTIFS('통합관리'!$D$8:$D$57,$B29,'통합관리'!$E$8:$E$57,D$24)</f>
        <v/>
      </c>
      <c r="E29" s="40">
        <f>COUNTIFS('통합관리'!$D$8:$D$57,$B29,'통합관리'!$E$8:$E$57,E$24)</f>
        <v/>
      </c>
      <c r="H29" s="58" t="inlineStr">
        <is>
          <t>칠대죄오리진</t>
        </is>
      </c>
      <c r="I29" s="40">
        <f>COUNTIF('통합관리'!$C$8:$C$57,H29)</f>
        <v/>
      </c>
      <c r="J29" s="59">
        <f>SUMIF('통합관리'!$C$8:$C$57,H29,'통합관리'!$R$8:$R$57)</f>
        <v/>
      </c>
    </row>
    <row r="30">
      <c r="H30" s="58" t="inlineStr">
        <is>
          <t>세나리버스</t>
        </is>
      </c>
      <c r="I30" s="40">
        <f>COUNTIF('통합관리'!$C$8:$C$57,H30)</f>
        <v/>
      </c>
      <c r="J30" s="59">
        <f>SUMIF('통합관리'!$C$8:$C$57,H30,'통합관리'!$R$8:$R$57)</f>
        <v/>
      </c>
    </row>
    <row r="31">
      <c r="H31" s="58" t="inlineStr">
        <is>
          <t>몬길</t>
        </is>
      </c>
      <c r="I31" s="40">
        <f>COUNTIF('통합관리'!$C$8:$C$57,H31)</f>
        <v/>
      </c>
      <c r="J31" s="59">
        <f>SUMIF('통합관리'!$C$8:$C$57,H31,'통합관리'!$R$8:$R$57)</f>
        <v/>
      </c>
    </row>
    <row r="32">
      <c r="H32" s="58" t="inlineStr">
        <is>
          <t>왕겜(GOT)</t>
        </is>
      </c>
      <c r="I32" s="40">
        <f>COUNTIF('통합관리'!$C$8:$C$57,H32)</f>
        <v/>
      </c>
      <c r="J32" s="59">
        <f>SUMIF('통합관리'!$C$8:$C$57,H32,'통합관리'!$R$8:$R$57)</f>
        <v/>
      </c>
    </row>
    <row r="33">
      <c r="H33" s="58" t="inlineStr">
        <is>
          <t>몬스터길들이기</t>
        </is>
      </c>
      <c r="I33" s="40">
        <f>COUNTIF('통합관리'!$C$8:$C$57,H33)</f>
        <v/>
      </c>
      <c r="J33" s="59">
        <f>SUMIF('통합관리'!$C$8:$C$57,H33,'통합관리'!$R$8:$R$57)</f>
        <v/>
      </c>
    </row>
    <row r="34">
      <c r="H34" s="58" t="inlineStr">
        <is>
          <t>라이즈오브</t>
        </is>
      </c>
      <c r="I34" s="40">
        <f>COUNTIF('통합관리'!$C$8:$C$57,H34)</f>
        <v/>
      </c>
      <c r="J34" s="59">
        <f>SUMIF('통합관리'!$C$8:$C$57,H34,'통합관리'!$R$8:$R$57)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2026-07-28T01:40:57Z</dcterms:created>
  <dcterms:modified xsi:type="dcterms:W3CDTF">2026-07-28T01:40:57Z</dcterms:modified>
</cp:coreProperties>
</file>