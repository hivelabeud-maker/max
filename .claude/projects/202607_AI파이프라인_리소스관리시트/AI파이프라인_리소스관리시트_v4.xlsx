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마스터" sheetId="2" state="visible" r:id="rId2"/>
    <sheet name="통합관리" sheetId="3" state="visible" r:id="rId3"/>
    <sheet name="대시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"/>
    <numFmt numFmtId="166" formatCode="m/d(ddd)"/>
    <numFmt numFmtId="167" formatCode="0.0;;"/>
    <numFmt numFmtId="168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1F4E79"/>
      <sz val="17"/>
    </font>
    <font>
      <name val="Arial"/>
      <color rgb="00808080"/>
      <sz val="10"/>
    </font>
    <font>
      <name val="Arial"/>
      <b val="1"/>
      <color rgb="00C0504D"/>
      <sz val="12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1F4E79"/>
      <sz val="10"/>
    </font>
    <font>
      <name val="Arial"/>
      <b val="1"/>
      <color rgb="001F4E79"/>
      <sz val="11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833C00"/>
      <sz val="8"/>
    </font>
    <font>
      <name val="Arial"/>
      <b val="1"/>
      <color rgb="00375623"/>
      <sz val="8"/>
    </font>
    <font>
      <name val="Arial"/>
      <b val="1"/>
      <color rgb="001F4E79"/>
      <sz val="8"/>
    </font>
    <font>
      <name val="Arial"/>
      <b val="1"/>
      <color rgb="00FFFFFF"/>
      <sz val="7"/>
    </font>
    <font>
      <name val="Arial"/>
      <color rgb="001F4E79"/>
      <sz val="9"/>
    </font>
    <font>
      <name val="Arial"/>
      <b val="1"/>
      <color rgb="00C0504D"/>
      <sz val="11"/>
    </font>
    <font>
      <name val="Arial"/>
      <b val="1"/>
      <color rgb="00000000"/>
      <sz val="8"/>
    </font>
    <font>
      <name val="Arial"/>
      <b val="1"/>
      <color rgb="00C0504D"/>
      <sz val="9"/>
    </font>
    <font>
      <name val="Arial"/>
      <color rgb="00000000"/>
      <sz val="7"/>
    </font>
    <font>
      <name val="Arial"/>
      <b val="1"/>
      <color rgb="001F4E79"/>
      <sz val="15"/>
    </font>
    <font>
      <name val="Arial"/>
      <color rgb="00C0504D"/>
      <sz val="9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7F7F7F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4" borderId="1" applyAlignment="1" pivotButton="0" quotePrefix="0" xfId="0">
      <alignment horizontal="left" vertical="center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11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165" fontId="17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6" fontId="1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/>
    </xf>
    <xf numFmtId="2" fontId="18" fillId="4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9" fillId="0" borderId="0" pivotButton="0" quotePrefix="0" xfId="0"/>
    <xf numFmtId="0" fontId="9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165" fontId="17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  <xf numFmtId="167" fontId="22" fillId="0" borderId="1" applyAlignment="1" pivotButton="0" quotePrefix="0" xfId="0">
      <alignment horizontal="center" vertical="center"/>
    </xf>
    <xf numFmtId="0" fontId="23" fillId="0" borderId="0" pivotButton="0" quotePrefix="0" xfId="0"/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8" fillId="5" borderId="1" pivotButton="0" quotePrefix="0" xfId="0"/>
    <xf numFmtId="2" fontId="8" fillId="5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9" fillId="0" borderId="0" pivotButton="0" quotePrefix="0" xfId="0"/>
    <xf numFmtId="3" fontId="4" fillId="4" borderId="1" pivotButton="0" quotePrefix="0" xfId="0"/>
    <xf numFmtId="0" fontId="24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5" pivotButton="0" quotePrefix="0" xfId="0"/>
    <xf numFmtId="0" fontId="12" fillId="0" borderId="0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1">
    <dxf>
      <font>
        <name val="Arial"/>
        <color rgb="00ED7D31"/>
        <sz val="7"/>
      </font>
      <fill>
        <patternFill patternType="solid">
          <fgColor rgb="00ED7D31"/>
        </patternFill>
      </fill>
    </dxf>
    <dxf>
      <font>
        <name val="Arial"/>
        <color rgb="0070AD47"/>
        <sz val="7"/>
      </font>
      <fill>
        <patternFill patternType="solid">
          <fgColor rgb="0070AD47"/>
        </patternFill>
      </fill>
    </dxf>
    <dxf>
      <font>
        <name val="Arial"/>
        <color rgb="004F81BD"/>
        <sz val="7"/>
      </font>
      <fill>
        <patternFill patternType="solid">
          <fgColor rgb="004F81BD"/>
        </patternFill>
      </fill>
    </dxf>
    <dxf>
      <font>
        <name val="Arial"/>
        <color rgb="00BFBFBF"/>
        <sz val="7"/>
      </font>
      <fill>
        <patternFill patternType="solid">
          <fgColor rgb="00BFBFBF"/>
        </patternFill>
      </fill>
    </dxf>
    <dxf>
      <fill>
        <patternFill patternType="solid">
          <fgColor rgb="00F2F2F2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  <sz val="7"/>
      </font>
      <fill>
        <patternFill patternType="solid">
          <fgColor rgb="00FFC7CE"/>
        </patternFill>
      </fill>
    </dxf>
    <dxf>
      <font>
        <name val="Arial"/>
        <color rgb="009C6500"/>
        <sz val="7"/>
      </font>
      <fill>
        <patternFill patternType="solid">
          <fgColor rgb="00FFEB9C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</author>
  </authors>
  <commentList>
    <comment ref="G3" authorId="0" shapeId="0">
      <text>
        <t>한 행=한 업무명(영상 파이프라인 기준). 영상/이미지/기획(SB) 담당·MD를 각 칸에. 붙는 직군만 기입, 안 붙으면 비움.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6" customWidth="1" min="3" max="3"/>
  </cols>
  <sheetData>
    <row r="2">
      <c r="B2" s="1" t="inlineStr">
        <is>
          <t>AI 파이프라인 · 통합 리소스/스케줄 관리 시트 v4</t>
        </is>
      </c>
    </row>
    <row r="3">
      <c r="B3" s="2" t="inlineStr">
        <is>
          <t>영상 파이프라인 본체 + 이미지/기획(SB) 선택 부착 · 직군별 MD×담당 · 일별/주차별/월 누적 · 간트</t>
        </is>
      </c>
    </row>
    <row r="5">
      <c r="B5" s="3" t="inlineStr">
        <is>
          <t>① 구조 — 영상 파이프라인 중심</t>
        </is>
      </c>
      <c r="C5" s="4" t="n"/>
    </row>
    <row r="6">
      <c r="B6" s="5" t="inlineStr">
        <is>
          <t>행 = 한 업무명(소재)</t>
        </is>
      </c>
      <c r="C6" s="6" t="inlineStr">
        <is>
          <t>큰 틀은 영상 파이프라인. 한 업무에 영상·이미지·기획(SB) 직군이 각각 [담당+MD] 칸으로 붙습니다. 영상만 진행되기도, 이미지가 붙기도, SB(기획)가 빠지기도 → 해당되는 직군만 기입, 나머지는 비움. '투입직군' 칸에 영/이/기 자동 표기.</t>
        </is>
      </c>
    </row>
    <row r="7">
      <c r="B7" s="5" t="inlineStr">
        <is>
          <t>누가 넣었나</t>
        </is>
      </c>
      <c r="C7" s="6" t="inlineStr">
        <is>
          <t>각 직군 담당자는 자기 직군 칸에 이름을 적습니다(자유 입력). 업무당 한 행이라 행이 난립하지 않고, 한 일자에 한 담당은 일 TO 캐파(인원)로 초과 감지.</t>
        </is>
      </c>
    </row>
    <row r="9">
      <c r="B9" s="3" t="inlineStr">
        <is>
          <t>② 입력 (노란 칸)</t>
        </is>
      </c>
      <c r="C9" s="4" t="n"/>
    </row>
    <row r="10">
      <c r="B10" s="5" t="inlineStr">
        <is>
          <t>드롭다운</t>
        </is>
      </c>
      <c r="C10" s="6" t="inlineStr">
        <is>
          <t>프로젝트명 · 고객팀 · 유형 · 상태 = 마스터 시트 관리 드롭다운. / 작업담당자(영상·이미지·기획 담당)는 자유 입력.</t>
        </is>
      </c>
    </row>
    <row r="11">
      <c r="B11" s="5" t="inlineStr">
        <is>
          <t>MD</t>
        </is>
      </c>
      <c r="C11" s="6" t="inlineStr">
        <is>
          <t>각 직군 칸에 공수(MD) 입력. 1일=8h=1.0MD. 합계·소요일·예상완료·여유·간트·부하·주차/월 집계 자동.</t>
        </is>
      </c>
    </row>
    <row r="12">
      <c r="B12" s="5" t="inlineStr">
        <is>
          <t>일정</t>
        </is>
      </c>
      <c r="C12" s="6" t="inlineStr">
        <is>
          <t>요청일·완료일 입력 → 간트 막대(주말 제외). 소요일=병목 직군(최대 MD) 기준 → 예상완료=요청일+소요(영업일). 여유=완료일−예상완료(음수 빨강).</t>
        </is>
      </c>
    </row>
    <row r="14">
      <c r="B14" s="3" t="inlineStr">
        <is>
          <t>③ 한눈에 보기</t>
        </is>
      </c>
      <c r="C14" s="4" t="n"/>
    </row>
    <row r="15">
      <c r="B15" s="5" t="inlineStr">
        <is>
          <t>일별 직군 MD</t>
        </is>
      </c>
      <c r="C15" s="6" t="inlineStr">
        <is>
          <t>하단 '직군별 일일 부하': 날짜별 기획/디자인/영상 MD를 한 번에. 일 TO(예: 영상 6TO) 초과 시 빨강 = TO 오버, 오버일수 카운트.</t>
        </is>
      </c>
    </row>
    <row r="16">
      <c r="B16" s="5" t="inlineStr">
        <is>
          <t>주차별·월 누적</t>
        </is>
      </c>
      <c r="C16" s="6" t="inlineStr">
        <is>
          <t>대시보드: 주차(W1~W5) × 직군 MD, 월 누적 MD·MM·가동률.</t>
        </is>
      </c>
    </row>
    <row r="17">
      <c r="B17" s="5" t="inlineStr">
        <is>
          <t>팀·타이틀</t>
        </is>
      </c>
      <c r="C17" s="6" t="inlineStr">
        <is>
          <t>고객팀 × 유형 건수, 게임타이틀별 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2" customWidth="1" min="3" max="3"/>
    <col width="4" customWidth="1" min="4" max="4"/>
    <col width="10" customWidth="1" min="5" max="5"/>
    <col width="4" customWidth="1" min="6" max="6"/>
    <col width="12" customWidth="1" min="7" max="7"/>
    <col width="4" customWidth="1" min="8" max="8"/>
    <col width="14" customWidth="1" min="9" max="9"/>
    <col width="14" customWidth="1" min="10" max="10"/>
  </cols>
  <sheetData>
    <row r="1">
      <c r="A1" s="7" t="inlineStr">
        <is>
          <t>⚙️ 마스터 / 기준정보</t>
        </is>
      </c>
    </row>
    <row r="2">
      <c r="A2" s="8" t="inlineStr">
        <is>
          <t>게임 타이틀 (25)</t>
        </is>
      </c>
      <c r="C2" s="8" t="inlineStr">
        <is>
          <t>고객팀</t>
        </is>
      </c>
      <c r="E2" s="8" t="inlineStr">
        <is>
          <t>유형</t>
        </is>
      </c>
      <c r="G2" s="8" t="inlineStr">
        <is>
          <t>상태</t>
        </is>
      </c>
      <c r="I2" s="9" t="inlineStr">
        <is>
          <t>운영 파라미터</t>
        </is>
      </c>
      <c r="J2" s="10" t="n"/>
    </row>
    <row r="3">
      <c r="A3" s="11" t="inlineStr">
        <is>
          <t>뱀피르</t>
        </is>
      </c>
      <c r="C3" s="11" t="inlineStr">
        <is>
          <t>마케팅1팀</t>
        </is>
      </c>
      <c r="E3" s="11" t="inlineStr">
        <is>
          <t>이미지</t>
        </is>
      </c>
      <c r="G3" s="11" t="inlineStr">
        <is>
          <t>대기</t>
        </is>
      </c>
      <c r="I3" s="12" t="inlineStr">
        <is>
          <t>월 가동일수</t>
        </is>
      </c>
      <c r="J3" s="13" t="n">
        <v>20</v>
      </c>
    </row>
    <row r="4">
      <c r="A4" s="11" t="inlineStr">
        <is>
          <t>RF 글로벌</t>
        </is>
      </c>
      <c r="C4" s="11" t="inlineStr">
        <is>
          <t>마케팅2팀</t>
        </is>
      </c>
      <c r="E4" s="11" t="inlineStr">
        <is>
          <t>영상</t>
        </is>
      </c>
      <c r="G4" s="11" t="inlineStr">
        <is>
          <t>진행</t>
        </is>
      </c>
      <c r="I4" s="12" t="inlineStr">
        <is>
          <t>1일=MD</t>
        </is>
      </c>
      <c r="J4" s="13" t="n">
        <v>1</v>
      </c>
    </row>
    <row r="5">
      <c r="A5" s="11" t="inlineStr">
        <is>
          <t>SOL 인챈트</t>
        </is>
      </c>
      <c r="C5" s="11" t="inlineStr">
        <is>
          <t>마케팅3팀</t>
        </is>
      </c>
      <c r="E5" s="11" t="inlineStr">
        <is>
          <t>이미지+영상</t>
        </is>
      </c>
      <c r="G5" s="11" t="inlineStr">
        <is>
          <t>검수</t>
        </is>
      </c>
      <c r="I5" s="12" t="inlineStr">
        <is>
          <t>간트 시작일</t>
        </is>
      </c>
      <c r="J5" s="14">
        <f>DATE(2026,6,1)</f>
        <v/>
      </c>
    </row>
    <row r="6">
      <c r="A6" s="11" t="inlineStr">
        <is>
          <t>스톤에이지펫월드</t>
        </is>
      </c>
      <c r="C6" s="11" t="inlineStr">
        <is>
          <t>마케팅4팀</t>
        </is>
      </c>
      <c r="E6" s="11" t="inlineStr">
        <is>
          <t>기획</t>
        </is>
      </c>
      <c r="G6" s="11" t="inlineStr">
        <is>
          <t>완료</t>
        </is>
      </c>
    </row>
    <row r="7">
      <c r="A7" s="11" t="inlineStr">
        <is>
          <t>칠대죄오리진</t>
        </is>
      </c>
      <c r="C7" s="11" t="inlineStr">
        <is>
          <t>기타</t>
        </is>
      </c>
      <c r="E7" s="11" t="inlineStr">
        <is>
          <t>베리</t>
        </is>
      </c>
      <c r="I7" s="9" t="inlineStr">
        <is>
          <t>직군별 일 TO 캐파</t>
        </is>
      </c>
      <c r="J7" s="10" t="n"/>
    </row>
    <row r="8">
      <c r="A8" s="11" t="inlineStr">
        <is>
          <t>세나리버스</t>
        </is>
      </c>
      <c r="E8" s="11" t="inlineStr">
        <is>
          <t>기타</t>
        </is>
      </c>
      <c r="I8" s="15" t="inlineStr">
        <is>
          <t>영상</t>
        </is>
      </c>
      <c r="J8" s="13" t="n">
        <v>6</v>
      </c>
    </row>
    <row r="9">
      <c r="A9" s="11" t="inlineStr">
        <is>
          <t>몬길</t>
        </is>
      </c>
      <c r="I9" s="15" t="inlineStr">
        <is>
          <t>이미지</t>
        </is>
      </c>
      <c r="J9" s="13" t="n">
        <v>8</v>
      </c>
    </row>
    <row r="10">
      <c r="A10" s="11" t="inlineStr">
        <is>
          <t>왕겜(GOT)</t>
        </is>
      </c>
      <c r="I10" s="15" t="inlineStr">
        <is>
          <t>기획</t>
        </is>
      </c>
      <c r="J10" s="13" t="n">
        <v>3</v>
      </c>
    </row>
    <row r="11">
      <c r="A11" s="11" t="inlineStr">
        <is>
          <t>몬스터길들이기</t>
        </is>
      </c>
    </row>
    <row r="12">
      <c r="A12" s="11" t="inlineStr">
        <is>
          <t>라이즈오브</t>
        </is>
      </c>
    </row>
    <row r="13">
      <c r="A13" s="16" t="inlineStr"/>
    </row>
    <row r="14">
      <c r="A14" s="16" t="inlineStr"/>
    </row>
    <row r="15">
      <c r="A15" s="16" t="inlineStr"/>
    </row>
    <row r="16">
      <c r="A16" s="16" t="inlineStr"/>
    </row>
    <row r="17">
      <c r="A17" s="16" t="inlineStr"/>
    </row>
    <row r="18">
      <c r="A18" s="16" t="inlineStr"/>
    </row>
    <row r="19">
      <c r="A19" s="16" t="inlineStr"/>
    </row>
    <row r="20">
      <c r="A20" s="16" t="inlineStr"/>
    </row>
    <row r="21">
      <c r="A21" s="16" t="inlineStr"/>
    </row>
    <row r="22">
      <c r="A22" s="16" t="inlineStr"/>
    </row>
    <row r="23">
      <c r="A23" s="16" t="inlineStr"/>
    </row>
    <row r="24">
      <c r="A24" s="16" t="inlineStr"/>
    </row>
    <row r="25">
      <c r="A25" s="16" t="inlineStr"/>
    </row>
    <row r="26">
      <c r="A26" s="16" t="inlineStr"/>
    </row>
    <row r="27">
      <c r="A27" s="16" t="inlineStr"/>
    </row>
    <row r="30">
      <c r="A30" s="17" t="inlineStr">
        <is>
          <t>비나(VINA) 운영 시나리오</t>
        </is>
      </c>
    </row>
    <row r="31">
      <c r="A31" s="18" t="inlineStr">
        <is>
          <t>방안 1</t>
        </is>
      </c>
      <c r="C31" s="19" t="inlineStr">
        <is>
          <t>기획+내부디자인+비나영상 → 비나 영상공수는 영상실(MAX) 매출 귀속</t>
        </is>
      </c>
    </row>
    <row r="32">
      <c r="A32" s="18" t="inlineStr">
        <is>
          <t>방안 2</t>
        </is>
      </c>
      <c r="C32" s="19" t="inlineStr">
        <is>
          <t>비나=사이즈베리만 → 영상 베리는 디자인 흡수</t>
        </is>
      </c>
    </row>
    <row r="33">
      <c r="A33" s="18" t="inlineStr">
        <is>
          <t>방안 3</t>
        </is>
      </c>
      <c r="C33" s="19" t="inlineStr">
        <is>
          <t>비나 이미지TO 추가발주+추가비용</t>
        </is>
      </c>
    </row>
    <row r="34">
      <c r="A34" s="18" t="inlineStr">
        <is>
          <t>방안 4</t>
        </is>
      </c>
      <c r="C34" s="19" t="inlineStr">
        <is>
          <t>본사 프로세스 통합(이미지TO 추가X)</t>
        </is>
      </c>
    </row>
  </sheetData>
  <mergeCells count="6">
    <mergeCell ref="C34:J34"/>
    <mergeCell ref="C33:J33"/>
    <mergeCell ref="I7:J7"/>
    <mergeCell ref="I2:J2"/>
    <mergeCell ref="C32:J32"/>
    <mergeCell ref="C31:J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9"/>
  <sheetViews>
    <sheetView showGridLines="0"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22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6" customWidth="1" min="14" max="14"/>
    <col width="7" customWidth="1" min="15" max="15"/>
    <col width="6" customWidth="1" min="16" max="16"/>
    <col width="7" customWidth="1" min="17" max="17"/>
    <col width="6" customWidth="1" min="18" max="18"/>
    <col width="8" customWidth="1" min="19" max="19"/>
    <col width="6" customWidth="1" min="20" max="20"/>
    <col width="14" customWidth="1" min="21" max="21"/>
    <col width="2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</cols>
  <sheetData>
    <row r="1">
      <c r="A1" s="20" t="inlineStr">
        <is>
          <t>업무 정보</t>
        </is>
      </c>
      <c r="H1" s="21" t="inlineStr">
        <is>
          <t>영상 (파이프라인 본체)</t>
        </is>
      </c>
      <c r="J1" s="22" t="inlineStr">
        <is>
          <t>이미지</t>
        </is>
      </c>
      <c r="L1" s="23" t="inlineStr">
        <is>
          <t>기획(SB)</t>
        </is>
      </c>
      <c r="N1" s="24" t="inlineStr">
        <is>
          <t>집계 · 일정 · 자동</t>
        </is>
      </c>
      <c r="W1" s="9" t="inlineStr">
        <is>
          <t>간트 (간트시작일 기준 31일 · 주말 음영)</t>
        </is>
      </c>
    </row>
    <row r="2">
      <c r="A2" s="25" t="inlineStr">
        <is>
          <t>No</t>
        </is>
      </c>
      <c r="B2" s="25" t="inlineStr">
        <is>
          <t>요청일</t>
        </is>
      </c>
      <c r="C2" s="25" t="inlineStr">
        <is>
          <t>완료일</t>
        </is>
      </c>
      <c r="D2" s="25" t="inlineStr">
        <is>
          <t>프로젝트명</t>
        </is>
      </c>
      <c r="E2" s="25" t="inlineStr">
        <is>
          <t>고객팀</t>
        </is>
      </c>
      <c r="F2" s="25" t="inlineStr">
        <is>
          <t>유형</t>
        </is>
      </c>
      <c r="G2" s="25" t="inlineStr">
        <is>
          <t>소재명(업무명)</t>
        </is>
      </c>
      <c r="H2" s="26" t="inlineStr">
        <is>
          <t>영상
담당</t>
        </is>
      </c>
      <c r="I2" s="26" t="inlineStr">
        <is>
          <t>영상
MD</t>
        </is>
      </c>
      <c r="J2" s="27" t="inlineStr">
        <is>
          <t>이미지
담당</t>
        </is>
      </c>
      <c r="K2" s="27" t="inlineStr">
        <is>
          <t>이미지
MD</t>
        </is>
      </c>
      <c r="L2" s="28" t="inlineStr">
        <is>
          <t>기획(SB)
담당</t>
        </is>
      </c>
      <c r="M2" s="28" t="inlineStr">
        <is>
          <t>기획
MD</t>
        </is>
      </c>
      <c r="N2" s="25" t="inlineStr">
        <is>
          <t>합계
MD</t>
        </is>
      </c>
      <c r="O2" s="25" t="inlineStr">
        <is>
          <t>투입
직군</t>
        </is>
      </c>
      <c r="P2" s="25" t="inlineStr">
        <is>
          <t>WEEK</t>
        </is>
      </c>
      <c r="Q2" s="25" t="inlineStr">
        <is>
          <t>상태</t>
        </is>
      </c>
      <c r="R2" s="25" t="inlineStr">
        <is>
          <t>소요일</t>
        </is>
      </c>
      <c r="S2" s="25" t="inlineStr">
        <is>
          <t>예상완료</t>
        </is>
      </c>
      <c r="T2" s="25" t="inlineStr">
        <is>
          <t>여유</t>
        </is>
      </c>
      <c r="U2" s="25" t="inlineStr">
        <is>
          <t>비고</t>
        </is>
      </c>
      <c r="W2" s="29">
        <f>'마스터'!$J$5</f>
        <v/>
      </c>
      <c r="X2" s="29">
        <f>W2+1</f>
        <v/>
      </c>
      <c r="Y2" s="29">
        <f>X2+1</f>
        <v/>
      </c>
      <c r="Z2" s="29">
        <f>Y2+1</f>
        <v/>
      </c>
      <c r="AA2" s="29">
        <f>Z2+1</f>
        <v/>
      </c>
      <c r="AB2" s="29">
        <f>AA2+1</f>
        <v/>
      </c>
      <c r="AC2" s="29">
        <f>AB2+1</f>
        <v/>
      </c>
      <c r="AD2" s="29">
        <f>AC2+1</f>
        <v/>
      </c>
      <c r="AE2" s="29">
        <f>AD2+1</f>
        <v/>
      </c>
      <c r="AF2" s="29">
        <f>AE2+1</f>
        <v/>
      </c>
      <c r="AG2" s="29">
        <f>AF2+1</f>
        <v/>
      </c>
      <c r="AH2" s="29">
        <f>AG2+1</f>
        <v/>
      </c>
      <c r="AI2" s="29">
        <f>AH2+1</f>
        <v/>
      </c>
      <c r="AJ2" s="29">
        <f>AI2+1</f>
        <v/>
      </c>
      <c r="AK2" s="29">
        <f>AJ2+1</f>
        <v/>
      </c>
      <c r="AL2" s="29">
        <f>AK2+1</f>
        <v/>
      </c>
      <c r="AM2" s="29">
        <f>AL2+1</f>
        <v/>
      </c>
      <c r="AN2" s="29">
        <f>AM2+1</f>
        <v/>
      </c>
      <c r="AO2" s="29">
        <f>AN2+1</f>
        <v/>
      </c>
      <c r="AP2" s="29">
        <f>AO2+1</f>
        <v/>
      </c>
      <c r="AQ2" s="29">
        <f>AP2+1</f>
        <v/>
      </c>
      <c r="AR2" s="29">
        <f>AQ2+1</f>
        <v/>
      </c>
      <c r="AS2" s="29">
        <f>AR2+1</f>
        <v/>
      </c>
      <c r="AT2" s="29">
        <f>AS2+1</f>
        <v/>
      </c>
      <c r="AU2" s="29">
        <f>AT2+1</f>
        <v/>
      </c>
      <c r="AV2" s="29">
        <f>AU2+1</f>
        <v/>
      </c>
      <c r="AW2" s="29">
        <f>AV2+1</f>
        <v/>
      </c>
      <c r="AX2" s="29">
        <f>AW2+1</f>
        <v/>
      </c>
      <c r="AY2" s="29">
        <f>AX2+1</f>
        <v/>
      </c>
      <c r="AZ2" s="29">
        <f>AY2+1</f>
        <v/>
      </c>
      <c r="BA2" s="29">
        <f>AZ2+1</f>
        <v/>
      </c>
    </row>
    <row r="3">
      <c r="A3" s="30">
        <f>IF(G3="","",COUNTA($G$3:G3))</f>
        <v/>
      </c>
      <c r="B3" s="31">
        <f>DATE(2026,6,2)</f>
        <v/>
      </c>
      <c r="C3" s="31">
        <f>DATE(2026,6,5)</f>
        <v/>
      </c>
      <c r="D3" s="32" t="inlineStr">
        <is>
          <t>SOL 인챈트</t>
        </is>
      </c>
      <c r="E3" s="33" t="inlineStr">
        <is>
          <t>마케팅3팀</t>
        </is>
      </c>
      <c r="F3" s="33" t="inlineStr">
        <is>
          <t>이미지+영상</t>
        </is>
      </c>
      <c r="G3" s="32" t="inlineStr">
        <is>
          <t>SOL_000120_카운트다운</t>
        </is>
      </c>
      <c r="H3" s="32" t="inlineStr">
        <is>
          <t>강승일</t>
        </is>
      </c>
      <c r="I3" s="34" t="n">
        <v>2</v>
      </c>
      <c r="J3" s="32" t="inlineStr">
        <is>
          <t>김민성</t>
        </is>
      </c>
      <c r="K3" s="34" t="n">
        <v>1.5</v>
      </c>
      <c r="L3" s="32" t="inlineStr"/>
      <c r="M3" s="34" t="n">
        <v>0</v>
      </c>
      <c r="N3" s="35">
        <f>IF(SUM(I3,K3,M3)=0,"",SUM(I3,K3,M3))</f>
        <v/>
      </c>
      <c r="O3" s="36">
        <f>IF(I3&gt;0,"영 ","")&amp;IF(K3&gt;0,"이 ","")&amp;IF(M3&gt;0,"기 ","")</f>
        <v/>
      </c>
      <c r="P3" s="30">
        <f>IF(B3="","","W"&amp;ROUNDUP((B3-'마스터'!$J$5+1)/7,0))</f>
        <v/>
      </c>
      <c r="Q3" s="33" t="inlineStr">
        <is>
          <t>진행</t>
        </is>
      </c>
      <c r="R3" s="30">
        <f>IF(N3="",0,ROUNDUP(MAX(I3,K3,M3)/'마스터'!$J$4,0))</f>
        <v/>
      </c>
      <c r="S3" s="37">
        <f>IF(OR(B3="",R3=0),"",WORKDAY(B3-1,R3))</f>
        <v/>
      </c>
      <c r="T3" s="36">
        <f>IF(OR(C3="",S3=""),"",C3-S3)</f>
        <v/>
      </c>
      <c r="U3" s="32" t="inlineStr">
        <is>
          <t>Kling+Freepik</t>
        </is>
      </c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8" t="n"/>
      <c r="AU3" s="38" t="n"/>
      <c r="AV3" s="38" t="n"/>
      <c r="AW3" s="38" t="n"/>
      <c r="AX3" s="38" t="n"/>
      <c r="AY3" s="38" t="n"/>
      <c r="AZ3" s="38" t="n"/>
      <c r="BA3" s="38" t="n"/>
    </row>
    <row r="4">
      <c r="A4" s="30">
        <f>IF(G4="","",COUNTA($G$3:G4))</f>
        <v/>
      </c>
      <c r="B4" s="31">
        <f>DATE(2026,6,3)</f>
        <v/>
      </c>
      <c r="C4" s="31">
        <f>DATE(2026,6,5)</f>
        <v/>
      </c>
      <c r="D4" s="32" t="inlineStr">
        <is>
          <t>세나리버스</t>
        </is>
      </c>
      <c r="E4" s="33" t="inlineStr">
        <is>
          <t>마케팅2팀</t>
        </is>
      </c>
      <c r="F4" s="33" t="inlineStr">
        <is>
          <t>영상</t>
        </is>
      </c>
      <c r="G4" s="32" t="inlineStr">
        <is>
          <t>TSKGB_엔드카드</t>
        </is>
      </c>
      <c r="H4" s="32" t="inlineStr">
        <is>
          <t>강민우</t>
        </is>
      </c>
      <c r="I4" s="34" t="n">
        <v>2</v>
      </c>
      <c r="J4" s="32" t="inlineStr"/>
      <c r="K4" s="34" t="n">
        <v>0</v>
      </c>
      <c r="L4" s="32" t="inlineStr"/>
      <c r="M4" s="34" t="n">
        <v>0</v>
      </c>
      <c r="N4" s="35">
        <f>IF(SUM(I4,K4,M4)=0,"",SUM(I4,K4,M4))</f>
        <v/>
      </c>
      <c r="O4" s="36">
        <f>IF(I4&gt;0,"영 ","")&amp;IF(K4&gt;0,"이 ","")&amp;IF(M4&gt;0,"기 ","")</f>
        <v/>
      </c>
      <c r="P4" s="30">
        <f>IF(B4="","","W"&amp;ROUNDUP((B4-'마스터'!$J$5+1)/7,0))</f>
        <v/>
      </c>
      <c r="Q4" s="33" t="inlineStr">
        <is>
          <t>검수</t>
        </is>
      </c>
      <c r="R4" s="30">
        <f>IF(N4="",0,ROUNDUP(MAX(I4,K4,M4)/'마스터'!$J$4,0))</f>
        <v/>
      </c>
      <c r="S4" s="37">
        <f>IF(OR(B4="",R4=0),"",WORKDAY(B4-1,R4))</f>
        <v/>
      </c>
      <c r="T4" s="36">
        <f>IF(OR(C4="",S4=""),"",C4-S4)</f>
        <v/>
      </c>
      <c r="U4" s="32" t="inlineStr">
        <is>
          <t>Seedance</t>
        </is>
      </c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  <c r="AJ4" s="38" t="n"/>
      <c r="AK4" s="38" t="n"/>
      <c r="AL4" s="38" t="n"/>
      <c r="AM4" s="38" t="n"/>
      <c r="AN4" s="38" t="n"/>
      <c r="AO4" s="38" t="n"/>
      <c r="AP4" s="38" t="n"/>
      <c r="AQ4" s="38" t="n"/>
      <c r="AR4" s="38" t="n"/>
      <c r="AS4" s="38" t="n"/>
      <c r="AT4" s="38" t="n"/>
      <c r="AU4" s="38" t="n"/>
      <c r="AV4" s="38" t="n"/>
      <c r="AW4" s="38" t="n"/>
      <c r="AX4" s="38" t="n"/>
      <c r="AY4" s="38" t="n"/>
      <c r="AZ4" s="38" t="n"/>
      <c r="BA4" s="38" t="n"/>
    </row>
    <row r="5">
      <c r="A5" s="30">
        <f>IF(G5="","",COUNTA($G$3:G5))</f>
        <v/>
      </c>
      <c r="B5" s="31">
        <f>DATE(2026,6,4)</f>
        <v/>
      </c>
      <c r="C5" s="31">
        <f>DATE(2026,6,9)</f>
        <v/>
      </c>
      <c r="D5" s="32" t="inlineStr">
        <is>
          <t>칠대죄오리진</t>
        </is>
      </c>
      <c r="E5" s="33" t="inlineStr">
        <is>
          <t>마케팅4팀</t>
        </is>
      </c>
      <c r="F5" s="33" t="inlineStr">
        <is>
          <t>이미지+영상</t>
        </is>
      </c>
      <c r="G5" s="32" t="inlineStr">
        <is>
          <t>7DSOR_스토리트레일러</t>
        </is>
      </c>
      <c r="H5" s="32" t="inlineStr">
        <is>
          <t>이지현</t>
        </is>
      </c>
      <c r="I5" s="34" t="n">
        <v>2.5</v>
      </c>
      <c r="J5" s="32" t="inlineStr">
        <is>
          <t>양재혁</t>
        </is>
      </c>
      <c r="K5" s="34" t="n">
        <v>1</v>
      </c>
      <c r="L5" s="32" t="inlineStr">
        <is>
          <t>박태원</t>
        </is>
      </c>
      <c r="M5" s="34" t="n">
        <v>0.5</v>
      </c>
      <c r="N5" s="35">
        <f>IF(SUM(I5,K5,M5)=0,"",SUM(I5,K5,M5))</f>
        <v/>
      </c>
      <c r="O5" s="36">
        <f>IF(I5&gt;0,"영 ","")&amp;IF(K5&gt;0,"이 ","")&amp;IF(M5&gt;0,"기 ","")</f>
        <v/>
      </c>
      <c r="P5" s="30">
        <f>IF(B5="","","W"&amp;ROUNDUP((B5-'마스터'!$J$5+1)/7,0))</f>
        <v/>
      </c>
      <c r="Q5" s="33" t="inlineStr">
        <is>
          <t>진행</t>
        </is>
      </c>
      <c r="R5" s="30">
        <f>IF(N5="",0,ROUNDUP(MAX(I5,K5,M5)/'마스터'!$J$4,0))</f>
        <v/>
      </c>
      <c r="S5" s="37">
        <f>IF(OR(B5="",R5=0),"",WORKDAY(B5-1,R5))</f>
        <v/>
      </c>
      <c r="T5" s="36">
        <f>IF(OR(C5="",S5=""),"",C5-S5)</f>
        <v/>
      </c>
      <c r="U5" s="32" t="inlineStr">
        <is>
          <t>GPT+Kling</t>
        </is>
      </c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</row>
    <row r="6">
      <c r="A6" s="30">
        <f>IF(G6="","",COUNTA($G$3:G6))</f>
        <v/>
      </c>
      <c r="B6" s="31">
        <f>DATE(2026,6,5)</f>
        <v/>
      </c>
      <c r="C6" s="31">
        <f>DATE(2026,6,6)</f>
        <v/>
      </c>
      <c r="D6" s="32" t="inlineStr">
        <is>
          <t>뱀피르</t>
        </is>
      </c>
      <c r="E6" s="33" t="inlineStr">
        <is>
          <t>마케팅1팀</t>
        </is>
      </c>
      <c r="F6" s="33" t="inlineStr">
        <is>
          <t>이미지</t>
        </is>
      </c>
      <c r="G6" s="32" t="inlineStr">
        <is>
          <t>VAM_200024_보스 KV</t>
        </is>
      </c>
      <c r="H6" s="32" t="inlineStr"/>
      <c r="I6" s="34" t="n">
        <v>0</v>
      </c>
      <c r="J6" s="32" t="inlineStr">
        <is>
          <t>구유진</t>
        </is>
      </c>
      <c r="K6" s="34" t="n">
        <v>1</v>
      </c>
      <c r="L6" s="32" t="inlineStr"/>
      <c r="M6" s="34" t="n">
        <v>0</v>
      </c>
      <c r="N6" s="35">
        <f>IF(SUM(I6,K6,M6)=0,"",SUM(I6,K6,M6))</f>
        <v/>
      </c>
      <c r="O6" s="36">
        <f>IF(I6&gt;0,"영 ","")&amp;IF(K6&gt;0,"이 ","")&amp;IF(M6&gt;0,"기 ","")</f>
        <v/>
      </c>
      <c r="P6" s="30">
        <f>IF(B6="","","W"&amp;ROUNDUP((B6-'마스터'!$J$5+1)/7,0))</f>
        <v/>
      </c>
      <c r="Q6" s="33" t="inlineStr">
        <is>
          <t>대기</t>
        </is>
      </c>
      <c r="R6" s="30">
        <f>IF(N6="",0,ROUNDUP(MAX(I6,K6,M6)/'마스터'!$J$4,0))</f>
        <v/>
      </c>
      <c r="S6" s="37">
        <f>IF(OR(B6="",R6=0),"",WORKDAY(B6-1,R6))</f>
        <v/>
      </c>
      <c r="T6" s="36">
        <f>IF(OR(C6="",S6=""),"",C6-S6)</f>
        <v/>
      </c>
      <c r="U6" s="32" t="inlineStr">
        <is>
          <t>Freepik</t>
        </is>
      </c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  <c r="BA6" s="38" t="n"/>
    </row>
    <row r="7">
      <c r="A7" s="30">
        <f>IF(G7="","",COUNTA($G$3:G7))</f>
        <v/>
      </c>
      <c r="B7" s="31" t="n"/>
      <c r="C7" s="31" t="n"/>
      <c r="D7" s="32" t="n"/>
      <c r="E7" s="33" t="n"/>
      <c r="F7" s="33" t="n"/>
      <c r="G7" s="32" t="n"/>
      <c r="H7" s="32" t="n"/>
      <c r="I7" s="34" t="n"/>
      <c r="J7" s="32" t="n"/>
      <c r="K7" s="34" t="n"/>
      <c r="L7" s="32" t="n"/>
      <c r="M7" s="34" t="n"/>
      <c r="N7" s="35">
        <f>IF(SUM(I7,K7,M7)=0,"",SUM(I7,K7,M7))</f>
        <v/>
      </c>
      <c r="O7" s="36">
        <f>IF(I7&gt;0,"영 ","")&amp;IF(K7&gt;0,"이 ","")&amp;IF(M7&gt;0,"기 ","")</f>
        <v/>
      </c>
      <c r="P7" s="30">
        <f>IF(B7="","","W"&amp;ROUNDUP((B7-'마스터'!$J$5+1)/7,0))</f>
        <v/>
      </c>
      <c r="Q7" s="33" t="n"/>
      <c r="R7" s="30">
        <f>IF(N7="",0,ROUNDUP(MAX(I7,K7,M7)/'마스터'!$J$4,0))</f>
        <v/>
      </c>
      <c r="S7" s="37">
        <f>IF(OR(B7="",R7=0),"",WORKDAY(B7-1,R7))</f>
        <v/>
      </c>
      <c r="T7" s="36">
        <f>IF(OR(C7="",S7=""),"",C7-S7)</f>
        <v/>
      </c>
      <c r="U7" s="32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</row>
    <row r="8">
      <c r="A8" s="30">
        <f>IF(G8="","",COUNTA($G$3:G8))</f>
        <v/>
      </c>
      <c r="B8" s="31" t="n"/>
      <c r="C8" s="31" t="n"/>
      <c r="D8" s="32" t="n"/>
      <c r="E8" s="33" t="n"/>
      <c r="F8" s="33" t="n"/>
      <c r="G8" s="32" t="n"/>
      <c r="H8" s="32" t="n"/>
      <c r="I8" s="34" t="n"/>
      <c r="J8" s="32" t="n"/>
      <c r="K8" s="34" t="n"/>
      <c r="L8" s="32" t="n"/>
      <c r="M8" s="34" t="n"/>
      <c r="N8" s="35">
        <f>IF(SUM(I8,K8,M8)=0,"",SUM(I8,K8,M8))</f>
        <v/>
      </c>
      <c r="O8" s="36">
        <f>IF(I8&gt;0,"영 ","")&amp;IF(K8&gt;0,"이 ","")&amp;IF(M8&gt;0,"기 ","")</f>
        <v/>
      </c>
      <c r="P8" s="30">
        <f>IF(B8="","","W"&amp;ROUNDUP((B8-'마스터'!$J$5+1)/7,0))</f>
        <v/>
      </c>
      <c r="Q8" s="33" t="n"/>
      <c r="R8" s="30">
        <f>IF(N8="",0,ROUNDUP(MAX(I8,K8,M8)/'마스터'!$J$4,0))</f>
        <v/>
      </c>
      <c r="S8" s="37">
        <f>IF(OR(B8="",R8=0),"",WORKDAY(B8-1,R8))</f>
        <v/>
      </c>
      <c r="T8" s="36">
        <f>IF(OR(C8="",S8=""),"",C8-S8)</f>
        <v/>
      </c>
      <c r="U8" s="32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  <c r="AZ8" s="38" t="n"/>
      <c r="BA8" s="38" t="n"/>
    </row>
    <row r="9">
      <c r="A9" s="30">
        <f>IF(G9="","",COUNTA($G$3:G9))</f>
        <v/>
      </c>
      <c r="B9" s="31" t="n"/>
      <c r="C9" s="31" t="n"/>
      <c r="D9" s="32" t="n"/>
      <c r="E9" s="33" t="n"/>
      <c r="F9" s="33" t="n"/>
      <c r="G9" s="32" t="n"/>
      <c r="H9" s="32" t="n"/>
      <c r="I9" s="34" t="n"/>
      <c r="J9" s="32" t="n"/>
      <c r="K9" s="34" t="n"/>
      <c r="L9" s="32" t="n"/>
      <c r="M9" s="34" t="n"/>
      <c r="N9" s="35">
        <f>IF(SUM(I9,K9,M9)=0,"",SUM(I9,K9,M9))</f>
        <v/>
      </c>
      <c r="O9" s="36">
        <f>IF(I9&gt;0,"영 ","")&amp;IF(K9&gt;0,"이 ","")&amp;IF(M9&gt;0,"기 ","")</f>
        <v/>
      </c>
      <c r="P9" s="30">
        <f>IF(B9="","","W"&amp;ROUNDUP((B9-'마스터'!$J$5+1)/7,0))</f>
        <v/>
      </c>
      <c r="Q9" s="33" t="n"/>
      <c r="R9" s="30">
        <f>IF(N9="",0,ROUNDUP(MAX(I9,K9,M9)/'마스터'!$J$4,0))</f>
        <v/>
      </c>
      <c r="S9" s="37">
        <f>IF(OR(B9="",R9=0),"",WORKDAY(B9-1,R9))</f>
        <v/>
      </c>
      <c r="T9" s="36">
        <f>IF(OR(C9="",S9=""),"",C9-S9)</f>
        <v/>
      </c>
      <c r="U9" s="32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8" t="n"/>
      <c r="AW9" s="38" t="n"/>
      <c r="AX9" s="38" t="n"/>
      <c r="AY9" s="38" t="n"/>
      <c r="AZ9" s="38" t="n"/>
      <c r="BA9" s="38" t="n"/>
    </row>
    <row r="10">
      <c r="A10" s="30">
        <f>IF(G10="","",COUNTA($G$3:G10))</f>
        <v/>
      </c>
      <c r="B10" s="31" t="n"/>
      <c r="C10" s="31" t="n"/>
      <c r="D10" s="32" t="n"/>
      <c r="E10" s="33" t="n"/>
      <c r="F10" s="33" t="n"/>
      <c r="G10" s="32" t="n"/>
      <c r="H10" s="32" t="n"/>
      <c r="I10" s="34" t="n"/>
      <c r="J10" s="32" t="n"/>
      <c r="K10" s="34" t="n"/>
      <c r="L10" s="32" t="n"/>
      <c r="M10" s="34" t="n"/>
      <c r="N10" s="35">
        <f>IF(SUM(I10,K10,M10)=0,"",SUM(I10,K10,M10))</f>
        <v/>
      </c>
      <c r="O10" s="36">
        <f>IF(I10&gt;0,"영 ","")&amp;IF(K10&gt;0,"이 ","")&amp;IF(M10&gt;0,"기 ","")</f>
        <v/>
      </c>
      <c r="P10" s="30">
        <f>IF(B10="","","W"&amp;ROUNDUP((B10-'마스터'!$J$5+1)/7,0))</f>
        <v/>
      </c>
      <c r="Q10" s="33" t="n"/>
      <c r="R10" s="30">
        <f>IF(N10="",0,ROUNDUP(MAX(I10,K10,M10)/'마스터'!$J$4,0))</f>
        <v/>
      </c>
      <c r="S10" s="37">
        <f>IF(OR(B10="",R10=0),"",WORKDAY(B10-1,R10))</f>
        <v/>
      </c>
      <c r="T10" s="36">
        <f>IF(OR(C10="",S10=""),"",C10-S10)</f>
        <v/>
      </c>
      <c r="U10" s="32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8" t="n"/>
      <c r="AW10" s="38" t="n"/>
      <c r="AX10" s="38" t="n"/>
      <c r="AY10" s="38" t="n"/>
      <c r="AZ10" s="38" t="n"/>
      <c r="BA10" s="38" t="n"/>
    </row>
    <row r="11">
      <c r="A11" s="30">
        <f>IF(G11="","",COUNTA($G$3:G11))</f>
        <v/>
      </c>
      <c r="B11" s="31" t="n"/>
      <c r="C11" s="31" t="n"/>
      <c r="D11" s="32" t="n"/>
      <c r="E11" s="33" t="n"/>
      <c r="F11" s="33" t="n"/>
      <c r="G11" s="32" t="n"/>
      <c r="H11" s="32" t="n"/>
      <c r="I11" s="34" t="n"/>
      <c r="J11" s="32" t="n"/>
      <c r="K11" s="34" t="n"/>
      <c r="L11" s="32" t="n"/>
      <c r="M11" s="34" t="n"/>
      <c r="N11" s="35">
        <f>IF(SUM(I11,K11,M11)=0,"",SUM(I11,K11,M11))</f>
        <v/>
      </c>
      <c r="O11" s="36">
        <f>IF(I11&gt;0,"영 ","")&amp;IF(K11&gt;0,"이 ","")&amp;IF(M11&gt;0,"기 ","")</f>
        <v/>
      </c>
      <c r="P11" s="30">
        <f>IF(B11="","","W"&amp;ROUNDUP((B11-'마스터'!$J$5+1)/7,0))</f>
        <v/>
      </c>
      <c r="Q11" s="33" t="n"/>
      <c r="R11" s="30">
        <f>IF(N11="",0,ROUNDUP(MAX(I11,K11,M11)/'마스터'!$J$4,0))</f>
        <v/>
      </c>
      <c r="S11" s="37">
        <f>IF(OR(B11="",R11=0),"",WORKDAY(B11-1,R11))</f>
        <v/>
      </c>
      <c r="T11" s="36">
        <f>IF(OR(C11="",S11=""),"",C11-S11)</f>
        <v/>
      </c>
      <c r="U11" s="32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  <c r="AZ11" s="38" t="n"/>
      <c r="BA11" s="38" t="n"/>
    </row>
    <row r="12">
      <c r="A12" s="30">
        <f>IF(G12="","",COUNTA($G$3:G12))</f>
        <v/>
      </c>
      <c r="B12" s="31" t="n"/>
      <c r="C12" s="31" t="n"/>
      <c r="D12" s="32" t="n"/>
      <c r="E12" s="33" t="n"/>
      <c r="F12" s="33" t="n"/>
      <c r="G12" s="32" t="n"/>
      <c r="H12" s="32" t="n"/>
      <c r="I12" s="34" t="n"/>
      <c r="J12" s="32" t="n"/>
      <c r="K12" s="34" t="n"/>
      <c r="L12" s="32" t="n"/>
      <c r="M12" s="34" t="n"/>
      <c r="N12" s="35">
        <f>IF(SUM(I12,K12,M12)=0,"",SUM(I12,K12,M12))</f>
        <v/>
      </c>
      <c r="O12" s="36">
        <f>IF(I12&gt;0,"영 ","")&amp;IF(K12&gt;0,"이 ","")&amp;IF(M12&gt;0,"기 ","")</f>
        <v/>
      </c>
      <c r="P12" s="30">
        <f>IF(B12="","","W"&amp;ROUNDUP((B12-'마스터'!$J$5+1)/7,0))</f>
        <v/>
      </c>
      <c r="Q12" s="33" t="n"/>
      <c r="R12" s="30">
        <f>IF(N12="",0,ROUNDUP(MAX(I12,K12,M12)/'마스터'!$J$4,0))</f>
        <v/>
      </c>
      <c r="S12" s="37">
        <f>IF(OR(B12="",R12=0),"",WORKDAY(B12-1,R12))</f>
        <v/>
      </c>
      <c r="T12" s="36">
        <f>IF(OR(C12="",S12=""),"",C12-S12)</f>
        <v/>
      </c>
      <c r="U12" s="32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</row>
    <row r="13">
      <c r="A13" s="30">
        <f>IF(G13="","",COUNTA($G$3:G13))</f>
        <v/>
      </c>
      <c r="B13" s="31" t="n"/>
      <c r="C13" s="31" t="n"/>
      <c r="D13" s="32" t="n"/>
      <c r="E13" s="33" t="n"/>
      <c r="F13" s="33" t="n"/>
      <c r="G13" s="32" t="n"/>
      <c r="H13" s="32" t="n"/>
      <c r="I13" s="34" t="n"/>
      <c r="J13" s="32" t="n"/>
      <c r="K13" s="34" t="n"/>
      <c r="L13" s="32" t="n"/>
      <c r="M13" s="34" t="n"/>
      <c r="N13" s="35">
        <f>IF(SUM(I13,K13,M13)=0,"",SUM(I13,K13,M13))</f>
        <v/>
      </c>
      <c r="O13" s="36">
        <f>IF(I13&gt;0,"영 ","")&amp;IF(K13&gt;0,"이 ","")&amp;IF(M13&gt;0,"기 ","")</f>
        <v/>
      </c>
      <c r="P13" s="30">
        <f>IF(B13="","","W"&amp;ROUNDUP((B13-'마스터'!$J$5+1)/7,0))</f>
        <v/>
      </c>
      <c r="Q13" s="33" t="n"/>
      <c r="R13" s="30">
        <f>IF(N13="",0,ROUNDUP(MAX(I13,K13,M13)/'마스터'!$J$4,0))</f>
        <v/>
      </c>
      <c r="S13" s="37">
        <f>IF(OR(B13="",R13=0),"",WORKDAY(B13-1,R13))</f>
        <v/>
      </c>
      <c r="T13" s="36">
        <f>IF(OR(C13="",S13=""),"",C13-S13)</f>
        <v/>
      </c>
      <c r="U13" s="32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</row>
    <row r="14">
      <c r="A14" s="30">
        <f>IF(G14="","",COUNTA($G$3:G14))</f>
        <v/>
      </c>
      <c r="B14" s="31" t="n"/>
      <c r="C14" s="31" t="n"/>
      <c r="D14" s="32" t="n"/>
      <c r="E14" s="33" t="n"/>
      <c r="F14" s="33" t="n"/>
      <c r="G14" s="32" t="n"/>
      <c r="H14" s="32" t="n"/>
      <c r="I14" s="34" t="n"/>
      <c r="J14" s="32" t="n"/>
      <c r="K14" s="34" t="n"/>
      <c r="L14" s="32" t="n"/>
      <c r="M14" s="34" t="n"/>
      <c r="N14" s="35">
        <f>IF(SUM(I14,K14,M14)=0,"",SUM(I14,K14,M14))</f>
        <v/>
      </c>
      <c r="O14" s="36">
        <f>IF(I14&gt;0,"영 ","")&amp;IF(K14&gt;0,"이 ","")&amp;IF(M14&gt;0,"기 ","")</f>
        <v/>
      </c>
      <c r="P14" s="30">
        <f>IF(B14="","","W"&amp;ROUNDUP((B14-'마스터'!$J$5+1)/7,0))</f>
        <v/>
      </c>
      <c r="Q14" s="33" t="n"/>
      <c r="R14" s="30">
        <f>IF(N14="",0,ROUNDUP(MAX(I14,K14,M14)/'마스터'!$J$4,0))</f>
        <v/>
      </c>
      <c r="S14" s="37">
        <f>IF(OR(B14="",R14=0),"",WORKDAY(B14-1,R14))</f>
        <v/>
      </c>
      <c r="T14" s="36">
        <f>IF(OR(C14="",S14=""),"",C14-S14)</f>
        <v/>
      </c>
      <c r="U14" s="32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</row>
    <row r="15">
      <c r="A15" s="30">
        <f>IF(G15="","",COUNTA($G$3:G15))</f>
        <v/>
      </c>
      <c r="B15" s="31" t="n"/>
      <c r="C15" s="31" t="n"/>
      <c r="D15" s="32" t="n"/>
      <c r="E15" s="33" t="n"/>
      <c r="F15" s="33" t="n"/>
      <c r="G15" s="32" t="n"/>
      <c r="H15" s="32" t="n"/>
      <c r="I15" s="34" t="n"/>
      <c r="J15" s="32" t="n"/>
      <c r="K15" s="34" t="n"/>
      <c r="L15" s="32" t="n"/>
      <c r="M15" s="34" t="n"/>
      <c r="N15" s="35">
        <f>IF(SUM(I15,K15,M15)=0,"",SUM(I15,K15,M15))</f>
        <v/>
      </c>
      <c r="O15" s="36">
        <f>IF(I15&gt;0,"영 ","")&amp;IF(K15&gt;0,"이 ","")&amp;IF(M15&gt;0,"기 ","")</f>
        <v/>
      </c>
      <c r="P15" s="30">
        <f>IF(B15="","","W"&amp;ROUNDUP((B15-'마스터'!$J$5+1)/7,0))</f>
        <v/>
      </c>
      <c r="Q15" s="33" t="n"/>
      <c r="R15" s="30">
        <f>IF(N15="",0,ROUNDUP(MAX(I15,K15,M15)/'마스터'!$J$4,0))</f>
        <v/>
      </c>
      <c r="S15" s="37">
        <f>IF(OR(B15="",R15=0),"",WORKDAY(B15-1,R15))</f>
        <v/>
      </c>
      <c r="T15" s="36">
        <f>IF(OR(C15="",S15=""),"",C15-S15)</f>
        <v/>
      </c>
      <c r="U15" s="32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</row>
    <row r="16">
      <c r="A16" s="30">
        <f>IF(G16="","",COUNTA($G$3:G16))</f>
        <v/>
      </c>
      <c r="B16" s="31" t="n"/>
      <c r="C16" s="31" t="n"/>
      <c r="D16" s="32" t="n"/>
      <c r="E16" s="33" t="n"/>
      <c r="F16" s="33" t="n"/>
      <c r="G16" s="32" t="n"/>
      <c r="H16" s="32" t="n"/>
      <c r="I16" s="34" t="n"/>
      <c r="J16" s="32" t="n"/>
      <c r="K16" s="34" t="n"/>
      <c r="L16" s="32" t="n"/>
      <c r="M16" s="34" t="n"/>
      <c r="N16" s="35">
        <f>IF(SUM(I16,K16,M16)=0,"",SUM(I16,K16,M16))</f>
        <v/>
      </c>
      <c r="O16" s="36">
        <f>IF(I16&gt;0,"영 ","")&amp;IF(K16&gt;0,"이 ","")&amp;IF(M16&gt;0,"기 ","")</f>
        <v/>
      </c>
      <c r="P16" s="30">
        <f>IF(B16="","","W"&amp;ROUNDUP((B16-'마스터'!$J$5+1)/7,0))</f>
        <v/>
      </c>
      <c r="Q16" s="33" t="n"/>
      <c r="R16" s="30">
        <f>IF(N16="",0,ROUNDUP(MAX(I16,K16,M16)/'마스터'!$J$4,0))</f>
        <v/>
      </c>
      <c r="S16" s="37">
        <f>IF(OR(B16="",R16=0),"",WORKDAY(B16-1,R16))</f>
        <v/>
      </c>
      <c r="T16" s="36">
        <f>IF(OR(C16="",S16=""),"",C16-S16)</f>
        <v/>
      </c>
      <c r="U16" s="32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</row>
    <row r="17">
      <c r="A17" s="30">
        <f>IF(G17="","",COUNTA($G$3:G17))</f>
        <v/>
      </c>
      <c r="B17" s="31" t="n"/>
      <c r="C17" s="31" t="n"/>
      <c r="D17" s="32" t="n"/>
      <c r="E17" s="33" t="n"/>
      <c r="F17" s="33" t="n"/>
      <c r="G17" s="32" t="n"/>
      <c r="H17" s="32" t="n"/>
      <c r="I17" s="34" t="n"/>
      <c r="J17" s="32" t="n"/>
      <c r="K17" s="34" t="n"/>
      <c r="L17" s="32" t="n"/>
      <c r="M17" s="34" t="n"/>
      <c r="N17" s="35">
        <f>IF(SUM(I17,K17,M17)=0,"",SUM(I17,K17,M17))</f>
        <v/>
      </c>
      <c r="O17" s="36">
        <f>IF(I17&gt;0,"영 ","")&amp;IF(K17&gt;0,"이 ","")&amp;IF(M17&gt;0,"기 ","")</f>
        <v/>
      </c>
      <c r="P17" s="30">
        <f>IF(B17="","","W"&amp;ROUNDUP((B17-'마스터'!$J$5+1)/7,0))</f>
        <v/>
      </c>
      <c r="Q17" s="33" t="n"/>
      <c r="R17" s="30">
        <f>IF(N17="",0,ROUNDUP(MAX(I17,K17,M17)/'마스터'!$J$4,0))</f>
        <v/>
      </c>
      <c r="S17" s="37">
        <f>IF(OR(B17="",R17=0),"",WORKDAY(B17-1,R17))</f>
        <v/>
      </c>
      <c r="T17" s="36">
        <f>IF(OR(C17="",S17=""),"",C17-S17)</f>
        <v/>
      </c>
      <c r="U17" s="32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</row>
    <row r="18">
      <c r="A18" s="30">
        <f>IF(G18="","",COUNTA($G$3:G18))</f>
        <v/>
      </c>
      <c r="B18" s="31" t="n"/>
      <c r="C18" s="31" t="n"/>
      <c r="D18" s="32" t="n"/>
      <c r="E18" s="33" t="n"/>
      <c r="F18" s="33" t="n"/>
      <c r="G18" s="32" t="n"/>
      <c r="H18" s="32" t="n"/>
      <c r="I18" s="34" t="n"/>
      <c r="J18" s="32" t="n"/>
      <c r="K18" s="34" t="n"/>
      <c r="L18" s="32" t="n"/>
      <c r="M18" s="34" t="n"/>
      <c r="N18" s="35">
        <f>IF(SUM(I18,K18,M18)=0,"",SUM(I18,K18,M18))</f>
        <v/>
      </c>
      <c r="O18" s="36">
        <f>IF(I18&gt;0,"영 ","")&amp;IF(K18&gt;0,"이 ","")&amp;IF(M18&gt;0,"기 ","")</f>
        <v/>
      </c>
      <c r="P18" s="30">
        <f>IF(B18="","","W"&amp;ROUNDUP((B18-'마스터'!$J$5+1)/7,0))</f>
        <v/>
      </c>
      <c r="Q18" s="33" t="n"/>
      <c r="R18" s="30">
        <f>IF(N18="",0,ROUNDUP(MAX(I18,K18,M18)/'마스터'!$J$4,0))</f>
        <v/>
      </c>
      <c r="S18" s="37">
        <f>IF(OR(B18="",R18=0),"",WORKDAY(B18-1,R18))</f>
        <v/>
      </c>
      <c r="T18" s="36">
        <f>IF(OR(C18="",S18=""),"",C18-S18)</f>
        <v/>
      </c>
      <c r="U18" s="32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</row>
    <row r="19">
      <c r="A19" s="30">
        <f>IF(G19="","",COUNTA($G$3:G19))</f>
        <v/>
      </c>
      <c r="B19" s="31" t="n"/>
      <c r="C19" s="31" t="n"/>
      <c r="D19" s="32" t="n"/>
      <c r="E19" s="33" t="n"/>
      <c r="F19" s="33" t="n"/>
      <c r="G19" s="32" t="n"/>
      <c r="H19" s="32" t="n"/>
      <c r="I19" s="34" t="n"/>
      <c r="J19" s="32" t="n"/>
      <c r="K19" s="34" t="n"/>
      <c r="L19" s="32" t="n"/>
      <c r="M19" s="34" t="n"/>
      <c r="N19" s="35">
        <f>IF(SUM(I19,K19,M19)=0,"",SUM(I19,K19,M19))</f>
        <v/>
      </c>
      <c r="O19" s="36">
        <f>IF(I19&gt;0,"영 ","")&amp;IF(K19&gt;0,"이 ","")&amp;IF(M19&gt;0,"기 ","")</f>
        <v/>
      </c>
      <c r="P19" s="30">
        <f>IF(B19="","","W"&amp;ROUNDUP((B19-'마스터'!$J$5+1)/7,0))</f>
        <v/>
      </c>
      <c r="Q19" s="33" t="n"/>
      <c r="R19" s="30">
        <f>IF(N19="",0,ROUNDUP(MAX(I19,K19,M19)/'마스터'!$J$4,0))</f>
        <v/>
      </c>
      <c r="S19" s="37">
        <f>IF(OR(B19="",R19=0),"",WORKDAY(B19-1,R19))</f>
        <v/>
      </c>
      <c r="T19" s="36">
        <f>IF(OR(C19="",S19=""),"",C19-S19)</f>
        <v/>
      </c>
      <c r="U19" s="32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</row>
    <row r="20">
      <c r="A20" s="30">
        <f>IF(G20="","",COUNTA($G$3:G20))</f>
        <v/>
      </c>
      <c r="B20" s="31" t="n"/>
      <c r="C20" s="31" t="n"/>
      <c r="D20" s="32" t="n"/>
      <c r="E20" s="33" t="n"/>
      <c r="F20" s="33" t="n"/>
      <c r="G20" s="32" t="n"/>
      <c r="H20" s="32" t="n"/>
      <c r="I20" s="34" t="n"/>
      <c r="J20" s="32" t="n"/>
      <c r="K20" s="34" t="n"/>
      <c r="L20" s="32" t="n"/>
      <c r="M20" s="34" t="n"/>
      <c r="N20" s="35">
        <f>IF(SUM(I20,K20,M20)=0,"",SUM(I20,K20,M20))</f>
        <v/>
      </c>
      <c r="O20" s="36">
        <f>IF(I20&gt;0,"영 ","")&amp;IF(K20&gt;0,"이 ","")&amp;IF(M20&gt;0,"기 ","")</f>
        <v/>
      </c>
      <c r="P20" s="30">
        <f>IF(B20="","","W"&amp;ROUNDUP((B20-'마스터'!$J$5+1)/7,0))</f>
        <v/>
      </c>
      <c r="Q20" s="33" t="n"/>
      <c r="R20" s="30">
        <f>IF(N20="",0,ROUNDUP(MAX(I20,K20,M20)/'마스터'!$J$4,0))</f>
        <v/>
      </c>
      <c r="S20" s="37">
        <f>IF(OR(B20="",R20=0),"",WORKDAY(B20-1,R20))</f>
        <v/>
      </c>
      <c r="T20" s="36">
        <f>IF(OR(C20="",S20=""),"",C20-S20)</f>
        <v/>
      </c>
      <c r="U20" s="32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</row>
    <row r="21">
      <c r="A21" s="30">
        <f>IF(G21="","",COUNTA($G$3:G21))</f>
        <v/>
      </c>
      <c r="B21" s="31" t="n"/>
      <c r="C21" s="31" t="n"/>
      <c r="D21" s="32" t="n"/>
      <c r="E21" s="33" t="n"/>
      <c r="F21" s="33" t="n"/>
      <c r="G21" s="32" t="n"/>
      <c r="H21" s="32" t="n"/>
      <c r="I21" s="34" t="n"/>
      <c r="J21" s="32" t="n"/>
      <c r="K21" s="34" t="n"/>
      <c r="L21" s="32" t="n"/>
      <c r="M21" s="34" t="n"/>
      <c r="N21" s="35">
        <f>IF(SUM(I21,K21,M21)=0,"",SUM(I21,K21,M21))</f>
        <v/>
      </c>
      <c r="O21" s="36">
        <f>IF(I21&gt;0,"영 ","")&amp;IF(K21&gt;0,"이 ","")&amp;IF(M21&gt;0,"기 ","")</f>
        <v/>
      </c>
      <c r="P21" s="30">
        <f>IF(B21="","","W"&amp;ROUNDUP((B21-'마스터'!$J$5+1)/7,0))</f>
        <v/>
      </c>
      <c r="Q21" s="33" t="n"/>
      <c r="R21" s="30">
        <f>IF(N21="",0,ROUNDUP(MAX(I21,K21,M21)/'마스터'!$J$4,0))</f>
        <v/>
      </c>
      <c r="S21" s="37">
        <f>IF(OR(B21="",R21=0),"",WORKDAY(B21-1,R21))</f>
        <v/>
      </c>
      <c r="T21" s="36">
        <f>IF(OR(C21="",S21=""),"",C21-S21)</f>
        <v/>
      </c>
      <c r="U21" s="32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</row>
    <row r="22">
      <c r="A22" s="30">
        <f>IF(G22="","",COUNTA($G$3:G22))</f>
        <v/>
      </c>
      <c r="B22" s="31" t="n"/>
      <c r="C22" s="31" t="n"/>
      <c r="D22" s="32" t="n"/>
      <c r="E22" s="33" t="n"/>
      <c r="F22" s="33" t="n"/>
      <c r="G22" s="32" t="n"/>
      <c r="H22" s="32" t="n"/>
      <c r="I22" s="34" t="n"/>
      <c r="J22" s="32" t="n"/>
      <c r="K22" s="34" t="n"/>
      <c r="L22" s="32" t="n"/>
      <c r="M22" s="34" t="n"/>
      <c r="N22" s="35">
        <f>IF(SUM(I22,K22,M22)=0,"",SUM(I22,K22,M22))</f>
        <v/>
      </c>
      <c r="O22" s="36">
        <f>IF(I22&gt;0,"영 ","")&amp;IF(K22&gt;0,"이 ","")&amp;IF(M22&gt;0,"기 ","")</f>
        <v/>
      </c>
      <c r="P22" s="30">
        <f>IF(B22="","","W"&amp;ROUNDUP((B22-'마스터'!$J$5+1)/7,0))</f>
        <v/>
      </c>
      <c r="Q22" s="33" t="n"/>
      <c r="R22" s="30">
        <f>IF(N22="",0,ROUNDUP(MAX(I22,K22,M22)/'마스터'!$J$4,0))</f>
        <v/>
      </c>
      <c r="S22" s="37">
        <f>IF(OR(B22="",R22=0),"",WORKDAY(B22-1,R22))</f>
        <v/>
      </c>
      <c r="T22" s="36">
        <f>IF(OR(C22="",S22=""),"",C22-S22)</f>
        <v/>
      </c>
      <c r="U22" s="32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</row>
    <row r="23">
      <c r="A23" s="30">
        <f>IF(G23="","",COUNTA($G$3:G23))</f>
        <v/>
      </c>
      <c r="B23" s="31" t="n"/>
      <c r="C23" s="31" t="n"/>
      <c r="D23" s="32" t="n"/>
      <c r="E23" s="33" t="n"/>
      <c r="F23" s="33" t="n"/>
      <c r="G23" s="32" t="n"/>
      <c r="H23" s="32" t="n"/>
      <c r="I23" s="34" t="n"/>
      <c r="J23" s="32" t="n"/>
      <c r="K23" s="34" t="n"/>
      <c r="L23" s="32" t="n"/>
      <c r="M23" s="34" t="n"/>
      <c r="N23" s="35">
        <f>IF(SUM(I23,K23,M23)=0,"",SUM(I23,K23,M23))</f>
        <v/>
      </c>
      <c r="O23" s="36">
        <f>IF(I23&gt;0,"영 ","")&amp;IF(K23&gt;0,"이 ","")&amp;IF(M23&gt;0,"기 ","")</f>
        <v/>
      </c>
      <c r="P23" s="30">
        <f>IF(B23="","","W"&amp;ROUNDUP((B23-'마스터'!$J$5+1)/7,0))</f>
        <v/>
      </c>
      <c r="Q23" s="33" t="n"/>
      <c r="R23" s="30">
        <f>IF(N23="",0,ROUNDUP(MAX(I23,K23,M23)/'마스터'!$J$4,0))</f>
        <v/>
      </c>
      <c r="S23" s="37">
        <f>IF(OR(B23="",R23=0),"",WORKDAY(B23-1,R23))</f>
        <v/>
      </c>
      <c r="T23" s="36">
        <f>IF(OR(C23="",S23=""),"",C23-S23)</f>
        <v/>
      </c>
      <c r="U23" s="32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</row>
    <row r="24">
      <c r="A24" s="30">
        <f>IF(G24="","",COUNTA($G$3:G24))</f>
        <v/>
      </c>
      <c r="B24" s="31" t="n"/>
      <c r="C24" s="31" t="n"/>
      <c r="D24" s="32" t="n"/>
      <c r="E24" s="33" t="n"/>
      <c r="F24" s="33" t="n"/>
      <c r="G24" s="32" t="n"/>
      <c r="H24" s="32" t="n"/>
      <c r="I24" s="34" t="n"/>
      <c r="J24" s="32" t="n"/>
      <c r="K24" s="34" t="n"/>
      <c r="L24" s="32" t="n"/>
      <c r="M24" s="34" t="n"/>
      <c r="N24" s="35">
        <f>IF(SUM(I24,K24,M24)=0,"",SUM(I24,K24,M24))</f>
        <v/>
      </c>
      <c r="O24" s="36">
        <f>IF(I24&gt;0,"영 ","")&amp;IF(K24&gt;0,"이 ","")&amp;IF(M24&gt;0,"기 ","")</f>
        <v/>
      </c>
      <c r="P24" s="30">
        <f>IF(B24="","","W"&amp;ROUNDUP((B24-'마스터'!$J$5+1)/7,0))</f>
        <v/>
      </c>
      <c r="Q24" s="33" t="n"/>
      <c r="R24" s="30">
        <f>IF(N24="",0,ROUNDUP(MAX(I24,K24,M24)/'마스터'!$J$4,0))</f>
        <v/>
      </c>
      <c r="S24" s="37">
        <f>IF(OR(B24="",R24=0),"",WORKDAY(B24-1,R24))</f>
        <v/>
      </c>
      <c r="T24" s="36">
        <f>IF(OR(C24="",S24=""),"",C24-S24)</f>
        <v/>
      </c>
      <c r="U24" s="32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</row>
    <row r="25">
      <c r="A25" s="30">
        <f>IF(G25="","",COUNTA($G$3:G25))</f>
        <v/>
      </c>
      <c r="B25" s="31" t="n"/>
      <c r="C25" s="31" t="n"/>
      <c r="D25" s="32" t="n"/>
      <c r="E25" s="33" t="n"/>
      <c r="F25" s="33" t="n"/>
      <c r="G25" s="32" t="n"/>
      <c r="H25" s="32" t="n"/>
      <c r="I25" s="34" t="n"/>
      <c r="J25" s="32" t="n"/>
      <c r="K25" s="34" t="n"/>
      <c r="L25" s="32" t="n"/>
      <c r="M25" s="34" t="n"/>
      <c r="N25" s="35">
        <f>IF(SUM(I25,K25,M25)=0,"",SUM(I25,K25,M25))</f>
        <v/>
      </c>
      <c r="O25" s="36">
        <f>IF(I25&gt;0,"영 ","")&amp;IF(K25&gt;0,"이 ","")&amp;IF(M25&gt;0,"기 ","")</f>
        <v/>
      </c>
      <c r="P25" s="30">
        <f>IF(B25="","","W"&amp;ROUNDUP((B25-'마스터'!$J$5+1)/7,0))</f>
        <v/>
      </c>
      <c r="Q25" s="33" t="n"/>
      <c r="R25" s="30">
        <f>IF(N25="",0,ROUNDUP(MAX(I25,K25,M25)/'마스터'!$J$4,0))</f>
        <v/>
      </c>
      <c r="S25" s="37">
        <f>IF(OR(B25="",R25=0),"",WORKDAY(B25-1,R25))</f>
        <v/>
      </c>
      <c r="T25" s="36">
        <f>IF(OR(C25="",S25=""),"",C25-S25)</f>
        <v/>
      </c>
      <c r="U25" s="32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</row>
    <row r="26">
      <c r="A26" s="30">
        <f>IF(G26="","",COUNTA($G$3:G26))</f>
        <v/>
      </c>
      <c r="B26" s="31" t="n"/>
      <c r="C26" s="31" t="n"/>
      <c r="D26" s="32" t="n"/>
      <c r="E26" s="33" t="n"/>
      <c r="F26" s="33" t="n"/>
      <c r="G26" s="32" t="n"/>
      <c r="H26" s="32" t="n"/>
      <c r="I26" s="34" t="n"/>
      <c r="J26" s="32" t="n"/>
      <c r="K26" s="34" t="n"/>
      <c r="L26" s="32" t="n"/>
      <c r="M26" s="34" t="n"/>
      <c r="N26" s="35">
        <f>IF(SUM(I26,K26,M26)=0,"",SUM(I26,K26,M26))</f>
        <v/>
      </c>
      <c r="O26" s="36">
        <f>IF(I26&gt;0,"영 ","")&amp;IF(K26&gt;0,"이 ","")&amp;IF(M26&gt;0,"기 ","")</f>
        <v/>
      </c>
      <c r="P26" s="30">
        <f>IF(B26="","","W"&amp;ROUNDUP((B26-'마스터'!$J$5+1)/7,0))</f>
        <v/>
      </c>
      <c r="Q26" s="33" t="n"/>
      <c r="R26" s="30">
        <f>IF(N26="",0,ROUNDUP(MAX(I26,K26,M26)/'마스터'!$J$4,0))</f>
        <v/>
      </c>
      <c r="S26" s="37">
        <f>IF(OR(B26="",R26=0),"",WORKDAY(B26-1,R26))</f>
        <v/>
      </c>
      <c r="T26" s="36">
        <f>IF(OR(C26="",S26=""),"",C26-S26)</f>
        <v/>
      </c>
      <c r="U26" s="32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</row>
    <row r="27">
      <c r="A27" s="30">
        <f>IF(G27="","",COUNTA($G$3:G27))</f>
        <v/>
      </c>
      <c r="B27" s="31" t="n"/>
      <c r="C27" s="31" t="n"/>
      <c r="D27" s="32" t="n"/>
      <c r="E27" s="33" t="n"/>
      <c r="F27" s="33" t="n"/>
      <c r="G27" s="32" t="n"/>
      <c r="H27" s="32" t="n"/>
      <c r="I27" s="34" t="n"/>
      <c r="J27" s="32" t="n"/>
      <c r="K27" s="34" t="n"/>
      <c r="L27" s="32" t="n"/>
      <c r="M27" s="34" t="n"/>
      <c r="N27" s="35">
        <f>IF(SUM(I27,K27,M27)=0,"",SUM(I27,K27,M27))</f>
        <v/>
      </c>
      <c r="O27" s="36">
        <f>IF(I27&gt;0,"영 ","")&amp;IF(K27&gt;0,"이 ","")&amp;IF(M27&gt;0,"기 ","")</f>
        <v/>
      </c>
      <c r="P27" s="30">
        <f>IF(B27="","","W"&amp;ROUNDUP((B27-'마스터'!$J$5+1)/7,0))</f>
        <v/>
      </c>
      <c r="Q27" s="33" t="n"/>
      <c r="R27" s="30">
        <f>IF(N27="",0,ROUNDUP(MAX(I27,K27,M27)/'마스터'!$J$4,0))</f>
        <v/>
      </c>
      <c r="S27" s="37">
        <f>IF(OR(B27="",R27=0),"",WORKDAY(B27-1,R27))</f>
        <v/>
      </c>
      <c r="T27" s="36">
        <f>IF(OR(C27="",S27=""),"",C27-S27)</f>
        <v/>
      </c>
      <c r="U27" s="32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</row>
    <row r="28">
      <c r="A28" s="30">
        <f>IF(G28="","",COUNTA($G$3:G28))</f>
        <v/>
      </c>
      <c r="B28" s="31" t="n"/>
      <c r="C28" s="31" t="n"/>
      <c r="D28" s="32" t="n"/>
      <c r="E28" s="33" t="n"/>
      <c r="F28" s="33" t="n"/>
      <c r="G28" s="32" t="n"/>
      <c r="H28" s="32" t="n"/>
      <c r="I28" s="34" t="n"/>
      <c r="J28" s="32" t="n"/>
      <c r="K28" s="34" t="n"/>
      <c r="L28" s="32" t="n"/>
      <c r="M28" s="34" t="n"/>
      <c r="N28" s="35">
        <f>IF(SUM(I28,K28,M28)=0,"",SUM(I28,K28,M28))</f>
        <v/>
      </c>
      <c r="O28" s="36">
        <f>IF(I28&gt;0,"영 ","")&amp;IF(K28&gt;0,"이 ","")&amp;IF(M28&gt;0,"기 ","")</f>
        <v/>
      </c>
      <c r="P28" s="30">
        <f>IF(B28="","","W"&amp;ROUNDUP((B28-'마스터'!$J$5+1)/7,0))</f>
        <v/>
      </c>
      <c r="Q28" s="33" t="n"/>
      <c r="R28" s="30">
        <f>IF(N28="",0,ROUNDUP(MAX(I28,K28,M28)/'마스터'!$J$4,0))</f>
        <v/>
      </c>
      <c r="S28" s="37">
        <f>IF(OR(B28="",R28=0),"",WORKDAY(B28-1,R28))</f>
        <v/>
      </c>
      <c r="T28" s="36">
        <f>IF(OR(C28="",S28=""),"",C28-S28)</f>
        <v/>
      </c>
      <c r="U28" s="32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</row>
    <row r="29">
      <c r="A29" s="30">
        <f>IF(G29="","",COUNTA($G$3:G29))</f>
        <v/>
      </c>
      <c r="B29" s="31" t="n"/>
      <c r="C29" s="31" t="n"/>
      <c r="D29" s="32" t="n"/>
      <c r="E29" s="33" t="n"/>
      <c r="F29" s="33" t="n"/>
      <c r="G29" s="32" t="n"/>
      <c r="H29" s="32" t="n"/>
      <c r="I29" s="34" t="n"/>
      <c r="J29" s="32" t="n"/>
      <c r="K29" s="34" t="n"/>
      <c r="L29" s="32" t="n"/>
      <c r="M29" s="34" t="n"/>
      <c r="N29" s="35">
        <f>IF(SUM(I29,K29,M29)=0,"",SUM(I29,K29,M29))</f>
        <v/>
      </c>
      <c r="O29" s="36">
        <f>IF(I29&gt;0,"영 ","")&amp;IF(K29&gt;0,"이 ","")&amp;IF(M29&gt;0,"기 ","")</f>
        <v/>
      </c>
      <c r="P29" s="30">
        <f>IF(B29="","","W"&amp;ROUNDUP((B29-'마스터'!$J$5+1)/7,0))</f>
        <v/>
      </c>
      <c r="Q29" s="33" t="n"/>
      <c r="R29" s="30">
        <f>IF(N29="",0,ROUNDUP(MAX(I29,K29,M29)/'마스터'!$J$4,0))</f>
        <v/>
      </c>
      <c r="S29" s="37">
        <f>IF(OR(B29="",R29=0),"",WORKDAY(B29-1,R29))</f>
        <v/>
      </c>
      <c r="T29" s="36">
        <f>IF(OR(C29="",S29=""),"",C29-S29)</f>
        <v/>
      </c>
      <c r="U29" s="32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</row>
    <row r="30">
      <c r="A30" s="30">
        <f>IF(G30="","",COUNTA($G$3:G30))</f>
        <v/>
      </c>
      <c r="B30" s="31" t="n"/>
      <c r="C30" s="31" t="n"/>
      <c r="D30" s="32" t="n"/>
      <c r="E30" s="33" t="n"/>
      <c r="F30" s="33" t="n"/>
      <c r="G30" s="32" t="n"/>
      <c r="H30" s="32" t="n"/>
      <c r="I30" s="34" t="n"/>
      <c r="J30" s="32" t="n"/>
      <c r="K30" s="34" t="n"/>
      <c r="L30" s="32" t="n"/>
      <c r="M30" s="34" t="n"/>
      <c r="N30" s="35">
        <f>IF(SUM(I30,K30,M30)=0,"",SUM(I30,K30,M30))</f>
        <v/>
      </c>
      <c r="O30" s="36">
        <f>IF(I30&gt;0,"영 ","")&amp;IF(K30&gt;0,"이 ","")&amp;IF(M30&gt;0,"기 ","")</f>
        <v/>
      </c>
      <c r="P30" s="30">
        <f>IF(B30="","","W"&amp;ROUNDUP((B30-'마스터'!$J$5+1)/7,0))</f>
        <v/>
      </c>
      <c r="Q30" s="33" t="n"/>
      <c r="R30" s="30">
        <f>IF(N30="",0,ROUNDUP(MAX(I30,K30,M30)/'마스터'!$J$4,0))</f>
        <v/>
      </c>
      <c r="S30" s="37">
        <f>IF(OR(B30="",R30=0),"",WORKDAY(B30-1,R30))</f>
        <v/>
      </c>
      <c r="T30" s="36">
        <f>IF(OR(C30="",S30=""),"",C30-S30)</f>
        <v/>
      </c>
      <c r="U30" s="32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</row>
    <row r="31">
      <c r="A31" s="30">
        <f>IF(G31="","",COUNTA($G$3:G31))</f>
        <v/>
      </c>
      <c r="B31" s="31" t="n"/>
      <c r="C31" s="31" t="n"/>
      <c r="D31" s="32" t="n"/>
      <c r="E31" s="33" t="n"/>
      <c r="F31" s="33" t="n"/>
      <c r="G31" s="32" t="n"/>
      <c r="H31" s="32" t="n"/>
      <c r="I31" s="34" t="n"/>
      <c r="J31" s="32" t="n"/>
      <c r="K31" s="34" t="n"/>
      <c r="L31" s="32" t="n"/>
      <c r="M31" s="34" t="n"/>
      <c r="N31" s="35">
        <f>IF(SUM(I31,K31,M31)=0,"",SUM(I31,K31,M31))</f>
        <v/>
      </c>
      <c r="O31" s="36">
        <f>IF(I31&gt;0,"영 ","")&amp;IF(K31&gt;0,"이 ","")&amp;IF(M31&gt;0,"기 ","")</f>
        <v/>
      </c>
      <c r="P31" s="30">
        <f>IF(B31="","","W"&amp;ROUNDUP((B31-'마스터'!$J$5+1)/7,0))</f>
        <v/>
      </c>
      <c r="Q31" s="33" t="n"/>
      <c r="R31" s="30">
        <f>IF(N31="",0,ROUNDUP(MAX(I31,K31,M31)/'마스터'!$J$4,0))</f>
        <v/>
      </c>
      <c r="S31" s="37">
        <f>IF(OR(B31="",R31=0),"",WORKDAY(B31-1,R31))</f>
        <v/>
      </c>
      <c r="T31" s="36">
        <f>IF(OR(C31="",S31=""),"",C31-S31)</f>
        <v/>
      </c>
      <c r="U31" s="32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</row>
    <row r="32">
      <c r="A32" s="30">
        <f>IF(G32="","",COUNTA($G$3:G32))</f>
        <v/>
      </c>
      <c r="B32" s="31" t="n"/>
      <c r="C32" s="31" t="n"/>
      <c r="D32" s="32" t="n"/>
      <c r="E32" s="33" t="n"/>
      <c r="F32" s="33" t="n"/>
      <c r="G32" s="32" t="n"/>
      <c r="H32" s="32" t="n"/>
      <c r="I32" s="34" t="n"/>
      <c r="J32" s="32" t="n"/>
      <c r="K32" s="34" t="n"/>
      <c r="L32" s="32" t="n"/>
      <c r="M32" s="34" t="n"/>
      <c r="N32" s="35">
        <f>IF(SUM(I32,K32,M32)=0,"",SUM(I32,K32,M32))</f>
        <v/>
      </c>
      <c r="O32" s="36">
        <f>IF(I32&gt;0,"영 ","")&amp;IF(K32&gt;0,"이 ","")&amp;IF(M32&gt;0,"기 ","")</f>
        <v/>
      </c>
      <c r="P32" s="30">
        <f>IF(B32="","","W"&amp;ROUNDUP((B32-'마스터'!$J$5+1)/7,0))</f>
        <v/>
      </c>
      <c r="Q32" s="33" t="n"/>
      <c r="R32" s="30">
        <f>IF(N32="",0,ROUNDUP(MAX(I32,K32,M32)/'마스터'!$J$4,0))</f>
        <v/>
      </c>
      <c r="S32" s="37">
        <f>IF(OR(B32="",R32=0),"",WORKDAY(B32-1,R32))</f>
        <v/>
      </c>
      <c r="T32" s="36">
        <f>IF(OR(C32="",S32=""),"",C32-S32)</f>
        <v/>
      </c>
      <c r="U32" s="32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</row>
    <row r="33">
      <c r="A33" s="30">
        <f>IF(G33="","",COUNTA($G$3:G33))</f>
        <v/>
      </c>
      <c r="B33" s="31" t="n"/>
      <c r="C33" s="31" t="n"/>
      <c r="D33" s="32" t="n"/>
      <c r="E33" s="33" t="n"/>
      <c r="F33" s="33" t="n"/>
      <c r="G33" s="32" t="n"/>
      <c r="H33" s="32" t="n"/>
      <c r="I33" s="34" t="n"/>
      <c r="J33" s="32" t="n"/>
      <c r="K33" s="34" t="n"/>
      <c r="L33" s="32" t="n"/>
      <c r="M33" s="34" t="n"/>
      <c r="N33" s="35">
        <f>IF(SUM(I33,K33,M33)=0,"",SUM(I33,K33,M33))</f>
        <v/>
      </c>
      <c r="O33" s="36">
        <f>IF(I33&gt;0,"영 ","")&amp;IF(K33&gt;0,"이 ","")&amp;IF(M33&gt;0,"기 ","")</f>
        <v/>
      </c>
      <c r="P33" s="30">
        <f>IF(B33="","","W"&amp;ROUNDUP((B33-'마스터'!$J$5+1)/7,0))</f>
        <v/>
      </c>
      <c r="Q33" s="33" t="n"/>
      <c r="R33" s="30">
        <f>IF(N33="",0,ROUNDUP(MAX(I33,K33,M33)/'마스터'!$J$4,0))</f>
        <v/>
      </c>
      <c r="S33" s="37">
        <f>IF(OR(B33="",R33=0),"",WORKDAY(B33-1,R33))</f>
        <v/>
      </c>
      <c r="T33" s="36">
        <f>IF(OR(C33="",S33=""),"",C33-S33)</f>
        <v/>
      </c>
      <c r="U33" s="32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</row>
    <row r="34">
      <c r="A34" s="30">
        <f>IF(G34="","",COUNTA($G$3:G34))</f>
        <v/>
      </c>
      <c r="B34" s="31" t="n"/>
      <c r="C34" s="31" t="n"/>
      <c r="D34" s="32" t="n"/>
      <c r="E34" s="33" t="n"/>
      <c r="F34" s="33" t="n"/>
      <c r="G34" s="32" t="n"/>
      <c r="H34" s="32" t="n"/>
      <c r="I34" s="34" t="n"/>
      <c r="J34" s="32" t="n"/>
      <c r="K34" s="34" t="n"/>
      <c r="L34" s="32" t="n"/>
      <c r="M34" s="34" t="n"/>
      <c r="N34" s="35">
        <f>IF(SUM(I34,K34,M34)=0,"",SUM(I34,K34,M34))</f>
        <v/>
      </c>
      <c r="O34" s="36">
        <f>IF(I34&gt;0,"영 ","")&amp;IF(K34&gt;0,"이 ","")&amp;IF(M34&gt;0,"기 ","")</f>
        <v/>
      </c>
      <c r="P34" s="30">
        <f>IF(B34="","","W"&amp;ROUNDUP((B34-'마스터'!$J$5+1)/7,0))</f>
        <v/>
      </c>
      <c r="Q34" s="33" t="n"/>
      <c r="R34" s="30">
        <f>IF(N34="",0,ROUNDUP(MAX(I34,K34,M34)/'마스터'!$J$4,0))</f>
        <v/>
      </c>
      <c r="S34" s="37">
        <f>IF(OR(B34="",R34=0),"",WORKDAY(B34-1,R34))</f>
        <v/>
      </c>
      <c r="T34" s="36">
        <f>IF(OR(C34="",S34=""),"",C34-S34)</f>
        <v/>
      </c>
      <c r="U34" s="32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</row>
    <row r="35">
      <c r="A35" s="30">
        <f>IF(G35="","",COUNTA($G$3:G35))</f>
        <v/>
      </c>
      <c r="B35" s="31" t="n"/>
      <c r="C35" s="31" t="n"/>
      <c r="D35" s="32" t="n"/>
      <c r="E35" s="33" t="n"/>
      <c r="F35" s="33" t="n"/>
      <c r="G35" s="32" t="n"/>
      <c r="H35" s="32" t="n"/>
      <c r="I35" s="34" t="n"/>
      <c r="J35" s="32" t="n"/>
      <c r="K35" s="34" t="n"/>
      <c r="L35" s="32" t="n"/>
      <c r="M35" s="34" t="n"/>
      <c r="N35" s="35">
        <f>IF(SUM(I35,K35,M35)=0,"",SUM(I35,K35,M35))</f>
        <v/>
      </c>
      <c r="O35" s="36">
        <f>IF(I35&gt;0,"영 ","")&amp;IF(K35&gt;0,"이 ","")&amp;IF(M35&gt;0,"기 ","")</f>
        <v/>
      </c>
      <c r="P35" s="30">
        <f>IF(B35="","","W"&amp;ROUNDUP((B35-'마스터'!$J$5+1)/7,0))</f>
        <v/>
      </c>
      <c r="Q35" s="33" t="n"/>
      <c r="R35" s="30">
        <f>IF(N35="",0,ROUNDUP(MAX(I35,K35,M35)/'마스터'!$J$4,0))</f>
        <v/>
      </c>
      <c r="S35" s="37">
        <f>IF(OR(B35="",R35=0),"",WORKDAY(B35-1,R35))</f>
        <v/>
      </c>
      <c r="T35" s="36">
        <f>IF(OR(C35="",S35=""),"",C35-S35)</f>
        <v/>
      </c>
      <c r="U35" s="32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</row>
    <row r="36">
      <c r="A36" s="30">
        <f>IF(G36="","",COUNTA($G$3:G36))</f>
        <v/>
      </c>
      <c r="B36" s="31" t="n"/>
      <c r="C36" s="31" t="n"/>
      <c r="D36" s="32" t="n"/>
      <c r="E36" s="33" t="n"/>
      <c r="F36" s="33" t="n"/>
      <c r="G36" s="32" t="n"/>
      <c r="H36" s="32" t="n"/>
      <c r="I36" s="34" t="n"/>
      <c r="J36" s="32" t="n"/>
      <c r="K36" s="34" t="n"/>
      <c r="L36" s="32" t="n"/>
      <c r="M36" s="34" t="n"/>
      <c r="N36" s="35">
        <f>IF(SUM(I36,K36,M36)=0,"",SUM(I36,K36,M36))</f>
        <v/>
      </c>
      <c r="O36" s="36">
        <f>IF(I36&gt;0,"영 ","")&amp;IF(K36&gt;0,"이 ","")&amp;IF(M36&gt;0,"기 ","")</f>
        <v/>
      </c>
      <c r="P36" s="30">
        <f>IF(B36="","","W"&amp;ROUNDUP((B36-'마스터'!$J$5+1)/7,0))</f>
        <v/>
      </c>
      <c r="Q36" s="33" t="n"/>
      <c r="R36" s="30">
        <f>IF(N36="",0,ROUNDUP(MAX(I36,K36,M36)/'마스터'!$J$4,0))</f>
        <v/>
      </c>
      <c r="S36" s="37">
        <f>IF(OR(B36="",R36=0),"",WORKDAY(B36-1,R36))</f>
        <v/>
      </c>
      <c r="T36" s="36">
        <f>IF(OR(C36="",S36=""),"",C36-S36)</f>
        <v/>
      </c>
      <c r="U36" s="32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0">
        <f>IF(G37="","",COUNTA($G$3:G37))</f>
        <v/>
      </c>
      <c r="B37" s="31" t="n"/>
      <c r="C37" s="31" t="n"/>
      <c r="D37" s="32" t="n"/>
      <c r="E37" s="33" t="n"/>
      <c r="F37" s="33" t="n"/>
      <c r="G37" s="32" t="n"/>
      <c r="H37" s="32" t="n"/>
      <c r="I37" s="34" t="n"/>
      <c r="J37" s="32" t="n"/>
      <c r="K37" s="34" t="n"/>
      <c r="L37" s="32" t="n"/>
      <c r="M37" s="34" t="n"/>
      <c r="N37" s="35">
        <f>IF(SUM(I37,K37,M37)=0,"",SUM(I37,K37,M37))</f>
        <v/>
      </c>
      <c r="O37" s="36">
        <f>IF(I37&gt;0,"영 ","")&amp;IF(K37&gt;0,"이 ","")&amp;IF(M37&gt;0,"기 ","")</f>
        <v/>
      </c>
      <c r="P37" s="30">
        <f>IF(B37="","","W"&amp;ROUNDUP((B37-'마스터'!$J$5+1)/7,0))</f>
        <v/>
      </c>
      <c r="Q37" s="33" t="n"/>
      <c r="R37" s="30">
        <f>IF(N37="",0,ROUNDUP(MAX(I37,K37,M37)/'마스터'!$J$4,0))</f>
        <v/>
      </c>
      <c r="S37" s="37">
        <f>IF(OR(B37="",R37=0),"",WORKDAY(B37-1,R37))</f>
        <v/>
      </c>
      <c r="T37" s="36">
        <f>IF(OR(C37="",S37=""),"",C37-S37)</f>
        <v/>
      </c>
      <c r="U37" s="32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0">
        <f>IF(G38="","",COUNTA($G$3:G38))</f>
        <v/>
      </c>
      <c r="B38" s="31" t="n"/>
      <c r="C38" s="31" t="n"/>
      <c r="D38" s="32" t="n"/>
      <c r="E38" s="33" t="n"/>
      <c r="F38" s="33" t="n"/>
      <c r="G38" s="32" t="n"/>
      <c r="H38" s="32" t="n"/>
      <c r="I38" s="34" t="n"/>
      <c r="J38" s="32" t="n"/>
      <c r="K38" s="34" t="n"/>
      <c r="L38" s="32" t="n"/>
      <c r="M38" s="34" t="n"/>
      <c r="N38" s="35">
        <f>IF(SUM(I38,K38,M38)=0,"",SUM(I38,K38,M38))</f>
        <v/>
      </c>
      <c r="O38" s="36">
        <f>IF(I38&gt;0,"영 ","")&amp;IF(K38&gt;0,"이 ","")&amp;IF(M38&gt;0,"기 ","")</f>
        <v/>
      </c>
      <c r="P38" s="30">
        <f>IF(B38="","","W"&amp;ROUNDUP((B38-'마스터'!$J$5+1)/7,0))</f>
        <v/>
      </c>
      <c r="Q38" s="33" t="n"/>
      <c r="R38" s="30">
        <f>IF(N38="",0,ROUNDUP(MAX(I38,K38,M38)/'마스터'!$J$4,0))</f>
        <v/>
      </c>
      <c r="S38" s="37">
        <f>IF(OR(B38="",R38=0),"",WORKDAY(B38-1,R38))</f>
        <v/>
      </c>
      <c r="T38" s="36">
        <f>IF(OR(C38="",S38=""),"",C38-S38)</f>
        <v/>
      </c>
      <c r="U38" s="32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0">
        <f>IF(G39="","",COUNTA($G$3:G39))</f>
        <v/>
      </c>
      <c r="B39" s="31" t="n"/>
      <c r="C39" s="31" t="n"/>
      <c r="D39" s="32" t="n"/>
      <c r="E39" s="33" t="n"/>
      <c r="F39" s="33" t="n"/>
      <c r="G39" s="32" t="n"/>
      <c r="H39" s="32" t="n"/>
      <c r="I39" s="34" t="n"/>
      <c r="J39" s="32" t="n"/>
      <c r="K39" s="34" t="n"/>
      <c r="L39" s="32" t="n"/>
      <c r="M39" s="34" t="n"/>
      <c r="N39" s="35">
        <f>IF(SUM(I39,K39,M39)=0,"",SUM(I39,K39,M39))</f>
        <v/>
      </c>
      <c r="O39" s="36">
        <f>IF(I39&gt;0,"영 ","")&amp;IF(K39&gt;0,"이 ","")&amp;IF(M39&gt;0,"기 ","")</f>
        <v/>
      </c>
      <c r="P39" s="30">
        <f>IF(B39="","","W"&amp;ROUNDUP((B39-'마스터'!$J$5+1)/7,0))</f>
        <v/>
      </c>
      <c r="Q39" s="33" t="n"/>
      <c r="R39" s="30">
        <f>IF(N39="",0,ROUNDUP(MAX(I39,K39,M39)/'마스터'!$J$4,0))</f>
        <v/>
      </c>
      <c r="S39" s="37">
        <f>IF(OR(B39="",R39=0),"",WORKDAY(B39-1,R39))</f>
        <v/>
      </c>
      <c r="T39" s="36">
        <f>IF(OR(C39="",S39=""),"",C39-S39)</f>
        <v/>
      </c>
      <c r="U39" s="32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0">
        <f>IF(G40="","",COUNTA($G$3:G40))</f>
        <v/>
      </c>
      <c r="B40" s="31" t="n"/>
      <c r="C40" s="31" t="n"/>
      <c r="D40" s="32" t="n"/>
      <c r="E40" s="33" t="n"/>
      <c r="F40" s="33" t="n"/>
      <c r="G40" s="32" t="n"/>
      <c r="H40" s="32" t="n"/>
      <c r="I40" s="34" t="n"/>
      <c r="J40" s="32" t="n"/>
      <c r="K40" s="34" t="n"/>
      <c r="L40" s="32" t="n"/>
      <c r="M40" s="34" t="n"/>
      <c r="N40" s="35">
        <f>IF(SUM(I40,K40,M40)=0,"",SUM(I40,K40,M40))</f>
        <v/>
      </c>
      <c r="O40" s="36">
        <f>IF(I40&gt;0,"영 ","")&amp;IF(K40&gt;0,"이 ","")&amp;IF(M40&gt;0,"기 ","")</f>
        <v/>
      </c>
      <c r="P40" s="30">
        <f>IF(B40="","","W"&amp;ROUNDUP((B40-'마스터'!$J$5+1)/7,0))</f>
        <v/>
      </c>
      <c r="Q40" s="33" t="n"/>
      <c r="R40" s="30">
        <f>IF(N40="",0,ROUNDUP(MAX(I40,K40,M40)/'마스터'!$J$4,0))</f>
        <v/>
      </c>
      <c r="S40" s="37">
        <f>IF(OR(B40="",R40=0),"",WORKDAY(B40-1,R40))</f>
        <v/>
      </c>
      <c r="T40" s="36">
        <f>IF(OR(C40="",S40=""),"",C40-S40)</f>
        <v/>
      </c>
      <c r="U40" s="32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0">
        <f>IF(G41="","",COUNTA($G$3:G41))</f>
        <v/>
      </c>
      <c r="B41" s="31" t="n"/>
      <c r="C41" s="31" t="n"/>
      <c r="D41" s="32" t="n"/>
      <c r="E41" s="33" t="n"/>
      <c r="F41" s="33" t="n"/>
      <c r="G41" s="32" t="n"/>
      <c r="H41" s="32" t="n"/>
      <c r="I41" s="34" t="n"/>
      <c r="J41" s="32" t="n"/>
      <c r="K41" s="34" t="n"/>
      <c r="L41" s="32" t="n"/>
      <c r="M41" s="34" t="n"/>
      <c r="N41" s="35">
        <f>IF(SUM(I41,K41,M41)=0,"",SUM(I41,K41,M41))</f>
        <v/>
      </c>
      <c r="O41" s="36">
        <f>IF(I41&gt;0,"영 ","")&amp;IF(K41&gt;0,"이 ","")&amp;IF(M41&gt;0,"기 ","")</f>
        <v/>
      </c>
      <c r="P41" s="30">
        <f>IF(B41="","","W"&amp;ROUNDUP((B41-'마스터'!$J$5+1)/7,0))</f>
        <v/>
      </c>
      <c r="Q41" s="33" t="n"/>
      <c r="R41" s="30">
        <f>IF(N41="",0,ROUNDUP(MAX(I41,K41,M41)/'마스터'!$J$4,0))</f>
        <v/>
      </c>
      <c r="S41" s="37">
        <f>IF(OR(B41="",R41=0),"",WORKDAY(B41-1,R41))</f>
        <v/>
      </c>
      <c r="T41" s="36">
        <f>IF(OR(C41="",S41=""),"",C41-S41)</f>
        <v/>
      </c>
      <c r="U41" s="32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0">
        <f>IF(G42="","",COUNTA($G$3:G42))</f>
        <v/>
      </c>
      <c r="B42" s="31" t="n"/>
      <c r="C42" s="31" t="n"/>
      <c r="D42" s="32" t="n"/>
      <c r="E42" s="33" t="n"/>
      <c r="F42" s="33" t="n"/>
      <c r="G42" s="32" t="n"/>
      <c r="H42" s="32" t="n"/>
      <c r="I42" s="34" t="n"/>
      <c r="J42" s="32" t="n"/>
      <c r="K42" s="34" t="n"/>
      <c r="L42" s="32" t="n"/>
      <c r="M42" s="34" t="n"/>
      <c r="N42" s="35">
        <f>IF(SUM(I42,K42,M42)=0,"",SUM(I42,K42,M42))</f>
        <v/>
      </c>
      <c r="O42" s="36">
        <f>IF(I42&gt;0,"영 ","")&amp;IF(K42&gt;0,"이 ","")&amp;IF(M42&gt;0,"기 ","")</f>
        <v/>
      </c>
      <c r="P42" s="30">
        <f>IF(B42="","","W"&amp;ROUNDUP((B42-'마스터'!$J$5+1)/7,0))</f>
        <v/>
      </c>
      <c r="Q42" s="33" t="n"/>
      <c r="R42" s="30">
        <f>IF(N42="",0,ROUNDUP(MAX(I42,K42,M42)/'마스터'!$J$4,0))</f>
        <v/>
      </c>
      <c r="S42" s="37">
        <f>IF(OR(B42="",R42=0),"",WORKDAY(B42-1,R42))</f>
        <v/>
      </c>
      <c r="T42" s="36">
        <f>IF(OR(C42="",S42=""),"",C42-S42)</f>
        <v/>
      </c>
      <c r="U42" s="32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0">
        <f>IF(G43="","",COUNTA($G$3:G43))</f>
        <v/>
      </c>
      <c r="B43" s="31" t="n"/>
      <c r="C43" s="31" t="n"/>
      <c r="D43" s="32" t="n"/>
      <c r="E43" s="33" t="n"/>
      <c r="F43" s="33" t="n"/>
      <c r="G43" s="32" t="n"/>
      <c r="H43" s="32" t="n"/>
      <c r="I43" s="34" t="n"/>
      <c r="J43" s="32" t="n"/>
      <c r="K43" s="34" t="n"/>
      <c r="L43" s="32" t="n"/>
      <c r="M43" s="34" t="n"/>
      <c r="N43" s="35">
        <f>IF(SUM(I43,K43,M43)=0,"",SUM(I43,K43,M43))</f>
        <v/>
      </c>
      <c r="O43" s="36">
        <f>IF(I43&gt;0,"영 ","")&amp;IF(K43&gt;0,"이 ","")&amp;IF(M43&gt;0,"기 ","")</f>
        <v/>
      </c>
      <c r="P43" s="30">
        <f>IF(B43="","","W"&amp;ROUNDUP((B43-'마스터'!$J$5+1)/7,0))</f>
        <v/>
      </c>
      <c r="Q43" s="33" t="n"/>
      <c r="R43" s="30">
        <f>IF(N43="",0,ROUNDUP(MAX(I43,K43,M43)/'마스터'!$J$4,0))</f>
        <v/>
      </c>
      <c r="S43" s="37">
        <f>IF(OR(B43="",R43=0),"",WORKDAY(B43-1,R43))</f>
        <v/>
      </c>
      <c r="T43" s="36">
        <f>IF(OR(C43="",S43=""),"",C43-S43)</f>
        <v/>
      </c>
      <c r="U43" s="32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0">
        <f>IF(G44="","",COUNTA($G$3:G44))</f>
        <v/>
      </c>
      <c r="B44" s="31" t="n"/>
      <c r="C44" s="31" t="n"/>
      <c r="D44" s="32" t="n"/>
      <c r="E44" s="33" t="n"/>
      <c r="F44" s="33" t="n"/>
      <c r="G44" s="32" t="n"/>
      <c r="H44" s="32" t="n"/>
      <c r="I44" s="34" t="n"/>
      <c r="J44" s="32" t="n"/>
      <c r="K44" s="34" t="n"/>
      <c r="L44" s="32" t="n"/>
      <c r="M44" s="34" t="n"/>
      <c r="N44" s="35">
        <f>IF(SUM(I44,K44,M44)=0,"",SUM(I44,K44,M44))</f>
        <v/>
      </c>
      <c r="O44" s="36">
        <f>IF(I44&gt;0,"영 ","")&amp;IF(K44&gt;0,"이 ","")&amp;IF(M44&gt;0,"기 ","")</f>
        <v/>
      </c>
      <c r="P44" s="30">
        <f>IF(B44="","","W"&amp;ROUNDUP((B44-'마스터'!$J$5+1)/7,0))</f>
        <v/>
      </c>
      <c r="Q44" s="33" t="n"/>
      <c r="R44" s="30">
        <f>IF(N44="",0,ROUNDUP(MAX(I44,K44,M44)/'마스터'!$J$4,0))</f>
        <v/>
      </c>
      <c r="S44" s="37">
        <f>IF(OR(B44="",R44=0),"",WORKDAY(B44-1,R44))</f>
        <v/>
      </c>
      <c r="T44" s="36">
        <f>IF(OR(C44="",S44=""),"",C44-S44)</f>
        <v/>
      </c>
      <c r="U44" s="32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0">
        <f>IF(G45="","",COUNTA($G$3:G45))</f>
        <v/>
      </c>
      <c r="B45" s="31" t="n"/>
      <c r="C45" s="31" t="n"/>
      <c r="D45" s="32" t="n"/>
      <c r="E45" s="33" t="n"/>
      <c r="F45" s="33" t="n"/>
      <c r="G45" s="32" t="n"/>
      <c r="H45" s="32" t="n"/>
      <c r="I45" s="34" t="n"/>
      <c r="J45" s="32" t="n"/>
      <c r="K45" s="34" t="n"/>
      <c r="L45" s="32" t="n"/>
      <c r="M45" s="34" t="n"/>
      <c r="N45" s="35">
        <f>IF(SUM(I45,K45,M45)=0,"",SUM(I45,K45,M45))</f>
        <v/>
      </c>
      <c r="O45" s="36">
        <f>IF(I45&gt;0,"영 ","")&amp;IF(K45&gt;0,"이 ","")&amp;IF(M45&gt;0,"기 ","")</f>
        <v/>
      </c>
      <c r="P45" s="30">
        <f>IF(B45="","","W"&amp;ROUNDUP((B45-'마스터'!$J$5+1)/7,0))</f>
        <v/>
      </c>
      <c r="Q45" s="33" t="n"/>
      <c r="R45" s="30">
        <f>IF(N45="",0,ROUNDUP(MAX(I45,K45,M45)/'마스터'!$J$4,0))</f>
        <v/>
      </c>
      <c r="S45" s="37">
        <f>IF(OR(B45="",R45=0),"",WORKDAY(B45-1,R45))</f>
        <v/>
      </c>
      <c r="T45" s="36">
        <f>IF(OR(C45="",S45=""),"",C45-S45)</f>
        <v/>
      </c>
      <c r="U45" s="32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0">
        <f>IF(G46="","",COUNTA($G$3:G46))</f>
        <v/>
      </c>
      <c r="B46" s="31" t="n"/>
      <c r="C46" s="31" t="n"/>
      <c r="D46" s="32" t="n"/>
      <c r="E46" s="33" t="n"/>
      <c r="F46" s="33" t="n"/>
      <c r="G46" s="32" t="n"/>
      <c r="H46" s="32" t="n"/>
      <c r="I46" s="34" t="n"/>
      <c r="J46" s="32" t="n"/>
      <c r="K46" s="34" t="n"/>
      <c r="L46" s="32" t="n"/>
      <c r="M46" s="34" t="n"/>
      <c r="N46" s="35">
        <f>IF(SUM(I46,K46,M46)=0,"",SUM(I46,K46,M46))</f>
        <v/>
      </c>
      <c r="O46" s="36">
        <f>IF(I46&gt;0,"영 ","")&amp;IF(K46&gt;0,"이 ","")&amp;IF(M46&gt;0,"기 ","")</f>
        <v/>
      </c>
      <c r="P46" s="30">
        <f>IF(B46="","","W"&amp;ROUNDUP((B46-'마스터'!$J$5+1)/7,0))</f>
        <v/>
      </c>
      <c r="Q46" s="33" t="n"/>
      <c r="R46" s="30">
        <f>IF(N46="",0,ROUNDUP(MAX(I46,K46,M46)/'마스터'!$J$4,0))</f>
        <v/>
      </c>
      <c r="S46" s="37">
        <f>IF(OR(B46="",R46=0),"",WORKDAY(B46-1,R46))</f>
        <v/>
      </c>
      <c r="T46" s="36">
        <f>IF(OR(C46="",S46=""),"",C46-S46)</f>
        <v/>
      </c>
      <c r="U46" s="32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0">
        <f>IF(G47="","",COUNTA($G$3:G47))</f>
        <v/>
      </c>
      <c r="B47" s="31" t="n"/>
      <c r="C47" s="31" t="n"/>
      <c r="D47" s="32" t="n"/>
      <c r="E47" s="33" t="n"/>
      <c r="F47" s="33" t="n"/>
      <c r="G47" s="32" t="n"/>
      <c r="H47" s="32" t="n"/>
      <c r="I47" s="34" t="n"/>
      <c r="J47" s="32" t="n"/>
      <c r="K47" s="34" t="n"/>
      <c r="L47" s="32" t="n"/>
      <c r="M47" s="34" t="n"/>
      <c r="N47" s="35">
        <f>IF(SUM(I47,K47,M47)=0,"",SUM(I47,K47,M47))</f>
        <v/>
      </c>
      <c r="O47" s="36">
        <f>IF(I47&gt;0,"영 ","")&amp;IF(K47&gt;0,"이 ","")&amp;IF(M47&gt;0,"기 ","")</f>
        <v/>
      </c>
      <c r="P47" s="30">
        <f>IF(B47="","","W"&amp;ROUNDUP((B47-'마스터'!$J$5+1)/7,0))</f>
        <v/>
      </c>
      <c r="Q47" s="33" t="n"/>
      <c r="R47" s="30">
        <f>IF(N47="",0,ROUNDUP(MAX(I47,K47,M47)/'마스터'!$J$4,0))</f>
        <v/>
      </c>
      <c r="S47" s="37">
        <f>IF(OR(B47="",R47=0),"",WORKDAY(B47-1,R47))</f>
        <v/>
      </c>
      <c r="T47" s="36">
        <f>IF(OR(C47="",S47=""),"",C47-S47)</f>
        <v/>
      </c>
      <c r="U47" s="32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0">
        <f>IF(G48="","",COUNTA($G$3:G48))</f>
        <v/>
      </c>
      <c r="B48" s="31" t="n"/>
      <c r="C48" s="31" t="n"/>
      <c r="D48" s="32" t="n"/>
      <c r="E48" s="33" t="n"/>
      <c r="F48" s="33" t="n"/>
      <c r="G48" s="32" t="n"/>
      <c r="H48" s="32" t="n"/>
      <c r="I48" s="34" t="n"/>
      <c r="J48" s="32" t="n"/>
      <c r="K48" s="34" t="n"/>
      <c r="L48" s="32" t="n"/>
      <c r="M48" s="34" t="n"/>
      <c r="N48" s="35">
        <f>IF(SUM(I48,K48,M48)=0,"",SUM(I48,K48,M48))</f>
        <v/>
      </c>
      <c r="O48" s="36">
        <f>IF(I48&gt;0,"영 ","")&amp;IF(K48&gt;0,"이 ","")&amp;IF(M48&gt;0,"기 ","")</f>
        <v/>
      </c>
      <c r="P48" s="30">
        <f>IF(B48="","","W"&amp;ROUNDUP((B48-'마스터'!$J$5+1)/7,0))</f>
        <v/>
      </c>
      <c r="Q48" s="33" t="n"/>
      <c r="R48" s="30">
        <f>IF(N48="",0,ROUNDUP(MAX(I48,K48,M48)/'마스터'!$J$4,0))</f>
        <v/>
      </c>
      <c r="S48" s="37">
        <f>IF(OR(B48="",R48=0),"",WORKDAY(B48-1,R48))</f>
        <v/>
      </c>
      <c r="T48" s="36">
        <f>IF(OR(C48="",S48=""),"",C48-S48)</f>
        <v/>
      </c>
      <c r="U48" s="32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0">
        <f>IF(G49="","",COUNTA($G$3:G49))</f>
        <v/>
      </c>
      <c r="B49" s="31" t="n"/>
      <c r="C49" s="31" t="n"/>
      <c r="D49" s="32" t="n"/>
      <c r="E49" s="33" t="n"/>
      <c r="F49" s="33" t="n"/>
      <c r="G49" s="32" t="n"/>
      <c r="H49" s="32" t="n"/>
      <c r="I49" s="34" t="n"/>
      <c r="J49" s="32" t="n"/>
      <c r="K49" s="34" t="n"/>
      <c r="L49" s="32" t="n"/>
      <c r="M49" s="34" t="n"/>
      <c r="N49" s="35">
        <f>IF(SUM(I49,K49,M49)=0,"",SUM(I49,K49,M49))</f>
        <v/>
      </c>
      <c r="O49" s="36">
        <f>IF(I49&gt;0,"영 ","")&amp;IF(K49&gt;0,"이 ","")&amp;IF(M49&gt;0,"기 ","")</f>
        <v/>
      </c>
      <c r="P49" s="30">
        <f>IF(B49="","","W"&amp;ROUNDUP((B49-'마스터'!$J$5+1)/7,0))</f>
        <v/>
      </c>
      <c r="Q49" s="33" t="n"/>
      <c r="R49" s="30">
        <f>IF(N49="",0,ROUNDUP(MAX(I49,K49,M49)/'마스터'!$J$4,0))</f>
        <v/>
      </c>
      <c r="S49" s="37">
        <f>IF(OR(B49="",R49=0),"",WORKDAY(B49-1,R49))</f>
        <v/>
      </c>
      <c r="T49" s="36">
        <f>IF(OR(C49="",S49=""),"",C49-S49)</f>
        <v/>
      </c>
      <c r="U49" s="32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0">
        <f>IF(G50="","",COUNTA($G$3:G50))</f>
        <v/>
      </c>
      <c r="B50" s="31" t="n"/>
      <c r="C50" s="31" t="n"/>
      <c r="D50" s="32" t="n"/>
      <c r="E50" s="33" t="n"/>
      <c r="F50" s="33" t="n"/>
      <c r="G50" s="32" t="n"/>
      <c r="H50" s="32" t="n"/>
      <c r="I50" s="34" t="n"/>
      <c r="J50" s="32" t="n"/>
      <c r="K50" s="34" t="n"/>
      <c r="L50" s="32" t="n"/>
      <c r="M50" s="34" t="n"/>
      <c r="N50" s="35">
        <f>IF(SUM(I50,K50,M50)=0,"",SUM(I50,K50,M50))</f>
        <v/>
      </c>
      <c r="O50" s="36">
        <f>IF(I50&gt;0,"영 ","")&amp;IF(K50&gt;0,"이 ","")&amp;IF(M50&gt;0,"기 ","")</f>
        <v/>
      </c>
      <c r="P50" s="30">
        <f>IF(B50="","","W"&amp;ROUNDUP((B50-'마스터'!$J$5+1)/7,0))</f>
        <v/>
      </c>
      <c r="Q50" s="33" t="n"/>
      <c r="R50" s="30">
        <f>IF(N50="",0,ROUNDUP(MAX(I50,K50,M50)/'마스터'!$J$4,0))</f>
        <v/>
      </c>
      <c r="S50" s="37">
        <f>IF(OR(B50="",R50=0),"",WORKDAY(B50-1,R50))</f>
        <v/>
      </c>
      <c r="T50" s="36">
        <f>IF(OR(C50="",S50=""),"",C50-S50)</f>
        <v/>
      </c>
      <c r="U50" s="32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0">
        <f>IF(G51="","",COUNTA($G$3:G51))</f>
        <v/>
      </c>
      <c r="B51" s="31" t="n"/>
      <c r="C51" s="31" t="n"/>
      <c r="D51" s="32" t="n"/>
      <c r="E51" s="33" t="n"/>
      <c r="F51" s="33" t="n"/>
      <c r="G51" s="32" t="n"/>
      <c r="H51" s="32" t="n"/>
      <c r="I51" s="34" t="n"/>
      <c r="J51" s="32" t="n"/>
      <c r="K51" s="34" t="n"/>
      <c r="L51" s="32" t="n"/>
      <c r="M51" s="34" t="n"/>
      <c r="N51" s="35">
        <f>IF(SUM(I51,K51,M51)=0,"",SUM(I51,K51,M51))</f>
        <v/>
      </c>
      <c r="O51" s="36">
        <f>IF(I51&gt;0,"영 ","")&amp;IF(K51&gt;0,"이 ","")&amp;IF(M51&gt;0,"기 ","")</f>
        <v/>
      </c>
      <c r="P51" s="30">
        <f>IF(B51="","","W"&amp;ROUNDUP((B51-'마스터'!$J$5+1)/7,0))</f>
        <v/>
      </c>
      <c r="Q51" s="33" t="n"/>
      <c r="R51" s="30">
        <f>IF(N51="",0,ROUNDUP(MAX(I51,K51,M51)/'마스터'!$J$4,0))</f>
        <v/>
      </c>
      <c r="S51" s="37">
        <f>IF(OR(B51="",R51=0),"",WORKDAY(B51-1,R51))</f>
        <v/>
      </c>
      <c r="T51" s="36">
        <f>IF(OR(C51="",S51=""),"",C51-S51)</f>
        <v/>
      </c>
      <c r="U51" s="32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0">
        <f>IF(G52="","",COUNTA($G$3:G52))</f>
        <v/>
      </c>
      <c r="B52" s="31" t="n"/>
      <c r="C52" s="31" t="n"/>
      <c r="D52" s="32" t="n"/>
      <c r="E52" s="33" t="n"/>
      <c r="F52" s="33" t="n"/>
      <c r="G52" s="32" t="n"/>
      <c r="H52" s="32" t="n"/>
      <c r="I52" s="34" t="n"/>
      <c r="J52" s="32" t="n"/>
      <c r="K52" s="34" t="n"/>
      <c r="L52" s="32" t="n"/>
      <c r="M52" s="34" t="n"/>
      <c r="N52" s="35">
        <f>IF(SUM(I52,K52,M52)=0,"",SUM(I52,K52,M52))</f>
        <v/>
      </c>
      <c r="O52" s="36">
        <f>IF(I52&gt;0,"영 ","")&amp;IF(K52&gt;0,"이 ","")&amp;IF(M52&gt;0,"기 ","")</f>
        <v/>
      </c>
      <c r="P52" s="30">
        <f>IF(B52="","","W"&amp;ROUNDUP((B52-'마스터'!$J$5+1)/7,0))</f>
        <v/>
      </c>
      <c r="Q52" s="33" t="n"/>
      <c r="R52" s="30">
        <f>IF(N52="",0,ROUNDUP(MAX(I52,K52,M52)/'마스터'!$J$4,0))</f>
        <v/>
      </c>
      <c r="S52" s="37">
        <f>IF(OR(B52="",R52=0),"",WORKDAY(B52-1,R52))</f>
        <v/>
      </c>
      <c r="T52" s="36">
        <f>IF(OR(C52="",S52=""),"",C52-S52)</f>
        <v/>
      </c>
      <c r="U52" s="32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5">
      <c r="A55" s="39" t="inlineStr">
        <is>
          <t>🔥 직군별 일일 부하 (MD) vs 일 TO — 초과 시 빨강(TO 오버). 영상 6TO 등 정원</t>
        </is>
      </c>
    </row>
    <row r="56">
      <c r="A56" s="40" t="inlineStr">
        <is>
          <t>직군</t>
        </is>
      </c>
      <c r="R56" s="41" t="inlineStr">
        <is>
          <t>오버일수</t>
        </is>
      </c>
      <c r="S56" s="41" t="inlineStr">
        <is>
          <t>일 TO</t>
        </is>
      </c>
      <c r="W56" s="42">
        <f>W2</f>
        <v/>
      </c>
      <c r="X56" s="42">
        <f>X2</f>
        <v/>
      </c>
      <c r="Y56" s="42">
        <f>Y2</f>
        <v/>
      </c>
      <c r="Z56" s="42">
        <f>Z2</f>
        <v/>
      </c>
      <c r="AA56" s="42">
        <f>AA2</f>
        <v/>
      </c>
      <c r="AB56" s="42">
        <f>AB2</f>
        <v/>
      </c>
      <c r="AC56" s="42">
        <f>AC2</f>
        <v/>
      </c>
      <c r="AD56" s="42">
        <f>AD2</f>
        <v/>
      </c>
      <c r="AE56" s="42">
        <f>AE2</f>
        <v/>
      </c>
      <c r="AF56" s="42">
        <f>AF2</f>
        <v/>
      </c>
      <c r="AG56" s="42">
        <f>AG2</f>
        <v/>
      </c>
      <c r="AH56" s="42">
        <f>AH2</f>
        <v/>
      </c>
      <c r="AI56" s="42">
        <f>AI2</f>
        <v/>
      </c>
      <c r="AJ56" s="42">
        <f>AJ2</f>
        <v/>
      </c>
      <c r="AK56" s="42">
        <f>AK2</f>
        <v/>
      </c>
      <c r="AL56" s="42">
        <f>AL2</f>
        <v/>
      </c>
      <c r="AM56" s="42">
        <f>AM2</f>
        <v/>
      </c>
      <c r="AN56" s="42">
        <f>AN2</f>
        <v/>
      </c>
      <c r="AO56" s="42">
        <f>AO2</f>
        <v/>
      </c>
      <c r="AP56" s="42">
        <f>AP2</f>
        <v/>
      </c>
      <c r="AQ56" s="42">
        <f>AQ2</f>
        <v/>
      </c>
      <c r="AR56" s="42">
        <f>AR2</f>
        <v/>
      </c>
      <c r="AS56" s="42">
        <f>AS2</f>
        <v/>
      </c>
      <c r="AT56" s="42">
        <f>AT2</f>
        <v/>
      </c>
      <c r="AU56" s="42">
        <f>AU2</f>
        <v/>
      </c>
      <c r="AV56" s="42">
        <f>AV2</f>
        <v/>
      </c>
      <c r="AW56" s="42">
        <f>AW2</f>
        <v/>
      </c>
      <c r="AX56" s="42">
        <f>AX2</f>
        <v/>
      </c>
      <c r="AY56" s="42">
        <f>AY2</f>
        <v/>
      </c>
      <c r="AZ56" s="42">
        <f>AZ2</f>
        <v/>
      </c>
      <c r="BA56" s="42">
        <f>BA2</f>
        <v/>
      </c>
    </row>
    <row r="57">
      <c r="A57" s="43" t="inlineStr">
        <is>
          <t>영상</t>
        </is>
      </c>
      <c r="R57" s="44">
        <f>SUMPRODUCT((W57:BA57&gt;$S57)*1)</f>
        <v/>
      </c>
      <c r="S57" s="30">
        <f>'마스터'!$J$8</f>
        <v/>
      </c>
      <c r="W57" s="45">
        <f>SUMPRODUCT(($B$3:$B$52&lt;&gt;"")*($B$3:$B$52&lt;=W$2)*($S$3:$S$52&gt;=W$2)*(WEEKDAY(W$2,2)&lt;6)*($I$3:$I$52)/($R$3:$R$52+($R$3:$R$52=0)))</f>
        <v/>
      </c>
      <c r="X57" s="45">
        <f>SUMPRODUCT(($B$3:$B$52&lt;&gt;"")*($B$3:$B$52&lt;=X$2)*($S$3:$S$52&gt;=X$2)*(WEEKDAY(X$2,2)&lt;6)*($I$3:$I$52)/($R$3:$R$52+($R$3:$R$52=0)))</f>
        <v/>
      </c>
      <c r="Y57" s="45">
        <f>SUMPRODUCT(($B$3:$B$52&lt;&gt;"")*($B$3:$B$52&lt;=Y$2)*($S$3:$S$52&gt;=Y$2)*(WEEKDAY(Y$2,2)&lt;6)*($I$3:$I$52)/($R$3:$R$52+($R$3:$R$52=0)))</f>
        <v/>
      </c>
      <c r="Z57" s="45">
        <f>SUMPRODUCT(($B$3:$B$52&lt;&gt;"")*($B$3:$B$52&lt;=Z$2)*($S$3:$S$52&gt;=Z$2)*(WEEKDAY(Z$2,2)&lt;6)*($I$3:$I$52)/($R$3:$R$52+($R$3:$R$52=0)))</f>
        <v/>
      </c>
      <c r="AA57" s="45">
        <f>SUMPRODUCT(($B$3:$B$52&lt;&gt;"")*($B$3:$B$52&lt;=AA$2)*($S$3:$S$52&gt;=AA$2)*(WEEKDAY(AA$2,2)&lt;6)*($I$3:$I$52)/($R$3:$R$52+($R$3:$R$52=0)))</f>
        <v/>
      </c>
      <c r="AB57" s="45">
        <f>SUMPRODUCT(($B$3:$B$52&lt;&gt;"")*($B$3:$B$52&lt;=AB$2)*($S$3:$S$52&gt;=AB$2)*(WEEKDAY(AB$2,2)&lt;6)*($I$3:$I$52)/($R$3:$R$52+($R$3:$R$52=0)))</f>
        <v/>
      </c>
      <c r="AC57" s="45">
        <f>SUMPRODUCT(($B$3:$B$52&lt;&gt;"")*($B$3:$B$52&lt;=AC$2)*($S$3:$S$52&gt;=AC$2)*(WEEKDAY(AC$2,2)&lt;6)*($I$3:$I$52)/($R$3:$R$52+($R$3:$R$52=0)))</f>
        <v/>
      </c>
      <c r="AD57" s="45">
        <f>SUMPRODUCT(($B$3:$B$52&lt;&gt;"")*($B$3:$B$52&lt;=AD$2)*($S$3:$S$52&gt;=AD$2)*(WEEKDAY(AD$2,2)&lt;6)*($I$3:$I$52)/($R$3:$R$52+($R$3:$R$52=0)))</f>
        <v/>
      </c>
      <c r="AE57" s="45">
        <f>SUMPRODUCT(($B$3:$B$52&lt;&gt;"")*($B$3:$B$52&lt;=AE$2)*($S$3:$S$52&gt;=AE$2)*(WEEKDAY(AE$2,2)&lt;6)*($I$3:$I$52)/($R$3:$R$52+($R$3:$R$52=0)))</f>
        <v/>
      </c>
      <c r="AF57" s="45">
        <f>SUMPRODUCT(($B$3:$B$52&lt;&gt;"")*($B$3:$B$52&lt;=AF$2)*($S$3:$S$52&gt;=AF$2)*(WEEKDAY(AF$2,2)&lt;6)*($I$3:$I$52)/($R$3:$R$52+($R$3:$R$52=0)))</f>
        <v/>
      </c>
      <c r="AG57" s="45">
        <f>SUMPRODUCT(($B$3:$B$52&lt;&gt;"")*($B$3:$B$52&lt;=AG$2)*($S$3:$S$52&gt;=AG$2)*(WEEKDAY(AG$2,2)&lt;6)*($I$3:$I$52)/($R$3:$R$52+($R$3:$R$52=0)))</f>
        <v/>
      </c>
      <c r="AH57" s="45">
        <f>SUMPRODUCT(($B$3:$B$52&lt;&gt;"")*($B$3:$B$52&lt;=AH$2)*($S$3:$S$52&gt;=AH$2)*(WEEKDAY(AH$2,2)&lt;6)*($I$3:$I$52)/($R$3:$R$52+($R$3:$R$52=0)))</f>
        <v/>
      </c>
      <c r="AI57" s="45">
        <f>SUMPRODUCT(($B$3:$B$52&lt;&gt;"")*($B$3:$B$52&lt;=AI$2)*($S$3:$S$52&gt;=AI$2)*(WEEKDAY(AI$2,2)&lt;6)*($I$3:$I$52)/($R$3:$R$52+($R$3:$R$52=0)))</f>
        <v/>
      </c>
      <c r="AJ57" s="45">
        <f>SUMPRODUCT(($B$3:$B$52&lt;&gt;"")*($B$3:$B$52&lt;=AJ$2)*($S$3:$S$52&gt;=AJ$2)*(WEEKDAY(AJ$2,2)&lt;6)*($I$3:$I$52)/($R$3:$R$52+($R$3:$R$52=0)))</f>
        <v/>
      </c>
      <c r="AK57" s="45">
        <f>SUMPRODUCT(($B$3:$B$52&lt;&gt;"")*($B$3:$B$52&lt;=AK$2)*($S$3:$S$52&gt;=AK$2)*(WEEKDAY(AK$2,2)&lt;6)*($I$3:$I$52)/($R$3:$R$52+($R$3:$R$52=0)))</f>
        <v/>
      </c>
      <c r="AL57" s="45">
        <f>SUMPRODUCT(($B$3:$B$52&lt;&gt;"")*($B$3:$B$52&lt;=AL$2)*($S$3:$S$52&gt;=AL$2)*(WEEKDAY(AL$2,2)&lt;6)*($I$3:$I$52)/($R$3:$R$52+($R$3:$R$52=0)))</f>
        <v/>
      </c>
      <c r="AM57" s="45">
        <f>SUMPRODUCT(($B$3:$B$52&lt;&gt;"")*($B$3:$B$52&lt;=AM$2)*($S$3:$S$52&gt;=AM$2)*(WEEKDAY(AM$2,2)&lt;6)*($I$3:$I$52)/($R$3:$R$52+($R$3:$R$52=0)))</f>
        <v/>
      </c>
      <c r="AN57" s="45">
        <f>SUMPRODUCT(($B$3:$B$52&lt;&gt;"")*($B$3:$B$52&lt;=AN$2)*($S$3:$S$52&gt;=AN$2)*(WEEKDAY(AN$2,2)&lt;6)*($I$3:$I$52)/($R$3:$R$52+($R$3:$R$52=0)))</f>
        <v/>
      </c>
      <c r="AO57" s="45">
        <f>SUMPRODUCT(($B$3:$B$52&lt;&gt;"")*($B$3:$B$52&lt;=AO$2)*($S$3:$S$52&gt;=AO$2)*(WEEKDAY(AO$2,2)&lt;6)*($I$3:$I$52)/($R$3:$R$52+($R$3:$R$52=0)))</f>
        <v/>
      </c>
      <c r="AP57" s="45">
        <f>SUMPRODUCT(($B$3:$B$52&lt;&gt;"")*($B$3:$B$52&lt;=AP$2)*($S$3:$S$52&gt;=AP$2)*(WEEKDAY(AP$2,2)&lt;6)*($I$3:$I$52)/($R$3:$R$52+($R$3:$R$52=0)))</f>
        <v/>
      </c>
      <c r="AQ57" s="45">
        <f>SUMPRODUCT(($B$3:$B$52&lt;&gt;"")*($B$3:$B$52&lt;=AQ$2)*($S$3:$S$52&gt;=AQ$2)*(WEEKDAY(AQ$2,2)&lt;6)*($I$3:$I$52)/($R$3:$R$52+($R$3:$R$52=0)))</f>
        <v/>
      </c>
      <c r="AR57" s="45">
        <f>SUMPRODUCT(($B$3:$B$52&lt;&gt;"")*($B$3:$B$52&lt;=AR$2)*($S$3:$S$52&gt;=AR$2)*(WEEKDAY(AR$2,2)&lt;6)*($I$3:$I$52)/($R$3:$R$52+($R$3:$R$52=0)))</f>
        <v/>
      </c>
      <c r="AS57" s="45">
        <f>SUMPRODUCT(($B$3:$B$52&lt;&gt;"")*($B$3:$B$52&lt;=AS$2)*($S$3:$S$52&gt;=AS$2)*(WEEKDAY(AS$2,2)&lt;6)*($I$3:$I$52)/($R$3:$R$52+($R$3:$R$52=0)))</f>
        <v/>
      </c>
      <c r="AT57" s="45">
        <f>SUMPRODUCT(($B$3:$B$52&lt;&gt;"")*($B$3:$B$52&lt;=AT$2)*($S$3:$S$52&gt;=AT$2)*(WEEKDAY(AT$2,2)&lt;6)*($I$3:$I$52)/($R$3:$R$52+($R$3:$R$52=0)))</f>
        <v/>
      </c>
      <c r="AU57" s="45">
        <f>SUMPRODUCT(($B$3:$B$52&lt;&gt;"")*($B$3:$B$52&lt;=AU$2)*($S$3:$S$52&gt;=AU$2)*(WEEKDAY(AU$2,2)&lt;6)*($I$3:$I$52)/($R$3:$R$52+($R$3:$R$52=0)))</f>
        <v/>
      </c>
      <c r="AV57" s="45">
        <f>SUMPRODUCT(($B$3:$B$52&lt;&gt;"")*($B$3:$B$52&lt;=AV$2)*($S$3:$S$52&gt;=AV$2)*(WEEKDAY(AV$2,2)&lt;6)*($I$3:$I$52)/($R$3:$R$52+($R$3:$R$52=0)))</f>
        <v/>
      </c>
      <c r="AW57" s="45">
        <f>SUMPRODUCT(($B$3:$B$52&lt;&gt;"")*($B$3:$B$52&lt;=AW$2)*($S$3:$S$52&gt;=AW$2)*(WEEKDAY(AW$2,2)&lt;6)*($I$3:$I$52)/($R$3:$R$52+($R$3:$R$52=0)))</f>
        <v/>
      </c>
      <c r="AX57" s="45">
        <f>SUMPRODUCT(($B$3:$B$52&lt;&gt;"")*($B$3:$B$52&lt;=AX$2)*($S$3:$S$52&gt;=AX$2)*(WEEKDAY(AX$2,2)&lt;6)*($I$3:$I$52)/($R$3:$R$52+($R$3:$R$52=0)))</f>
        <v/>
      </c>
      <c r="AY57" s="45">
        <f>SUMPRODUCT(($B$3:$B$52&lt;&gt;"")*($B$3:$B$52&lt;=AY$2)*($S$3:$S$52&gt;=AY$2)*(WEEKDAY(AY$2,2)&lt;6)*($I$3:$I$52)/($R$3:$R$52+($R$3:$R$52=0)))</f>
        <v/>
      </c>
      <c r="AZ57" s="45">
        <f>SUMPRODUCT(($B$3:$B$52&lt;&gt;"")*($B$3:$B$52&lt;=AZ$2)*($S$3:$S$52&gt;=AZ$2)*(WEEKDAY(AZ$2,2)&lt;6)*($I$3:$I$52)/($R$3:$R$52+($R$3:$R$52=0)))</f>
        <v/>
      </c>
      <c r="BA57" s="45">
        <f>SUMPRODUCT(($B$3:$B$52&lt;&gt;"")*($B$3:$B$52&lt;=BA$2)*($S$3:$S$52&gt;=BA$2)*(WEEKDAY(BA$2,2)&lt;6)*($I$3:$I$52)/($R$3:$R$52+($R$3:$R$52=0)))</f>
        <v/>
      </c>
    </row>
    <row r="58">
      <c r="A58" s="43" t="inlineStr">
        <is>
          <t>이미지</t>
        </is>
      </c>
      <c r="R58" s="44">
        <f>SUMPRODUCT((W58:BA58&gt;$S58)*1)</f>
        <v/>
      </c>
      <c r="S58" s="30">
        <f>'마스터'!$J$9</f>
        <v/>
      </c>
      <c r="W58" s="45">
        <f>SUMPRODUCT(($B$3:$B$52&lt;&gt;"")*($B$3:$B$52&lt;=W$2)*($S$3:$S$52&gt;=W$2)*(WEEKDAY(W$2,2)&lt;6)*($K$3:$K$52)/($R$3:$R$52+($R$3:$R$52=0)))</f>
        <v/>
      </c>
      <c r="X58" s="45">
        <f>SUMPRODUCT(($B$3:$B$52&lt;&gt;"")*($B$3:$B$52&lt;=X$2)*($S$3:$S$52&gt;=X$2)*(WEEKDAY(X$2,2)&lt;6)*($K$3:$K$52)/($R$3:$R$52+($R$3:$R$52=0)))</f>
        <v/>
      </c>
      <c r="Y58" s="45">
        <f>SUMPRODUCT(($B$3:$B$52&lt;&gt;"")*($B$3:$B$52&lt;=Y$2)*($S$3:$S$52&gt;=Y$2)*(WEEKDAY(Y$2,2)&lt;6)*($K$3:$K$52)/($R$3:$R$52+($R$3:$R$52=0)))</f>
        <v/>
      </c>
      <c r="Z58" s="45">
        <f>SUMPRODUCT(($B$3:$B$52&lt;&gt;"")*($B$3:$B$52&lt;=Z$2)*($S$3:$S$52&gt;=Z$2)*(WEEKDAY(Z$2,2)&lt;6)*($K$3:$K$52)/($R$3:$R$52+($R$3:$R$52=0)))</f>
        <v/>
      </c>
      <c r="AA58" s="45">
        <f>SUMPRODUCT(($B$3:$B$52&lt;&gt;"")*($B$3:$B$52&lt;=AA$2)*($S$3:$S$52&gt;=AA$2)*(WEEKDAY(AA$2,2)&lt;6)*($K$3:$K$52)/($R$3:$R$52+($R$3:$R$52=0)))</f>
        <v/>
      </c>
      <c r="AB58" s="45">
        <f>SUMPRODUCT(($B$3:$B$52&lt;&gt;"")*($B$3:$B$52&lt;=AB$2)*($S$3:$S$52&gt;=AB$2)*(WEEKDAY(AB$2,2)&lt;6)*($K$3:$K$52)/($R$3:$R$52+($R$3:$R$52=0)))</f>
        <v/>
      </c>
      <c r="AC58" s="45">
        <f>SUMPRODUCT(($B$3:$B$52&lt;&gt;"")*($B$3:$B$52&lt;=AC$2)*($S$3:$S$52&gt;=AC$2)*(WEEKDAY(AC$2,2)&lt;6)*($K$3:$K$52)/($R$3:$R$52+($R$3:$R$52=0)))</f>
        <v/>
      </c>
      <c r="AD58" s="45">
        <f>SUMPRODUCT(($B$3:$B$52&lt;&gt;"")*($B$3:$B$52&lt;=AD$2)*($S$3:$S$52&gt;=AD$2)*(WEEKDAY(AD$2,2)&lt;6)*($K$3:$K$52)/($R$3:$R$52+($R$3:$R$52=0)))</f>
        <v/>
      </c>
      <c r="AE58" s="45">
        <f>SUMPRODUCT(($B$3:$B$52&lt;&gt;"")*($B$3:$B$52&lt;=AE$2)*($S$3:$S$52&gt;=AE$2)*(WEEKDAY(AE$2,2)&lt;6)*($K$3:$K$52)/($R$3:$R$52+($R$3:$R$52=0)))</f>
        <v/>
      </c>
      <c r="AF58" s="45">
        <f>SUMPRODUCT(($B$3:$B$52&lt;&gt;"")*($B$3:$B$52&lt;=AF$2)*($S$3:$S$52&gt;=AF$2)*(WEEKDAY(AF$2,2)&lt;6)*($K$3:$K$52)/($R$3:$R$52+($R$3:$R$52=0)))</f>
        <v/>
      </c>
      <c r="AG58" s="45">
        <f>SUMPRODUCT(($B$3:$B$52&lt;&gt;"")*($B$3:$B$52&lt;=AG$2)*($S$3:$S$52&gt;=AG$2)*(WEEKDAY(AG$2,2)&lt;6)*($K$3:$K$52)/($R$3:$R$52+($R$3:$R$52=0)))</f>
        <v/>
      </c>
      <c r="AH58" s="45">
        <f>SUMPRODUCT(($B$3:$B$52&lt;&gt;"")*($B$3:$B$52&lt;=AH$2)*($S$3:$S$52&gt;=AH$2)*(WEEKDAY(AH$2,2)&lt;6)*($K$3:$K$52)/($R$3:$R$52+($R$3:$R$52=0)))</f>
        <v/>
      </c>
      <c r="AI58" s="45">
        <f>SUMPRODUCT(($B$3:$B$52&lt;&gt;"")*($B$3:$B$52&lt;=AI$2)*($S$3:$S$52&gt;=AI$2)*(WEEKDAY(AI$2,2)&lt;6)*($K$3:$K$52)/($R$3:$R$52+($R$3:$R$52=0)))</f>
        <v/>
      </c>
      <c r="AJ58" s="45">
        <f>SUMPRODUCT(($B$3:$B$52&lt;&gt;"")*($B$3:$B$52&lt;=AJ$2)*($S$3:$S$52&gt;=AJ$2)*(WEEKDAY(AJ$2,2)&lt;6)*($K$3:$K$52)/($R$3:$R$52+($R$3:$R$52=0)))</f>
        <v/>
      </c>
      <c r="AK58" s="45">
        <f>SUMPRODUCT(($B$3:$B$52&lt;&gt;"")*($B$3:$B$52&lt;=AK$2)*($S$3:$S$52&gt;=AK$2)*(WEEKDAY(AK$2,2)&lt;6)*($K$3:$K$52)/($R$3:$R$52+($R$3:$R$52=0)))</f>
        <v/>
      </c>
      <c r="AL58" s="45">
        <f>SUMPRODUCT(($B$3:$B$52&lt;&gt;"")*($B$3:$B$52&lt;=AL$2)*($S$3:$S$52&gt;=AL$2)*(WEEKDAY(AL$2,2)&lt;6)*($K$3:$K$52)/($R$3:$R$52+($R$3:$R$52=0)))</f>
        <v/>
      </c>
      <c r="AM58" s="45">
        <f>SUMPRODUCT(($B$3:$B$52&lt;&gt;"")*($B$3:$B$52&lt;=AM$2)*($S$3:$S$52&gt;=AM$2)*(WEEKDAY(AM$2,2)&lt;6)*($K$3:$K$52)/($R$3:$R$52+($R$3:$R$52=0)))</f>
        <v/>
      </c>
      <c r="AN58" s="45">
        <f>SUMPRODUCT(($B$3:$B$52&lt;&gt;"")*($B$3:$B$52&lt;=AN$2)*($S$3:$S$52&gt;=AN$2)*(WEEKDAY(AN$2,2)&lt;6)*($K$3:$K$52)/($R$3:$R$52+($R$3:$R$52=0)))</f>
        <v/>
      </c>
      <c r="AO58" s="45">
        <f>SUMPRODUCT(($B$3:$B$52&lt;&gt;"")*($B$3:$B$52&lt;=AO$2)*($S$3:$S$52&gt;=AO$2)*(WEEKDAY(AO$2,2)&lt;6)*($K$3:$K$52)/($R$3:$R$52+($R$3:$R$52=0)))</f>
        <v/>
      </c>
      <c r="AP58" s="45">
        <f>SUMPRODUCT(($B$3:$B$52&lt;&gt;"")*($B$3:$B$52&lt;=AP$2)*($S$3:$S$52&gt;=AP$2)*(WEEKDAY(AP$2,2)&lt;6)*($K$3:$K$52)/($R$3:$R$52+($R$3:$R$52=0)))</f>
        <v/>
      </c>
      <c r="AQ58" s="45">
        <f>SUMPRODUCT(($B$3:$B$52&lt;&gt;"")*($B$3:$B$52&lt;=AQ$2)*($S$3:$S$52&gt;=AQ$2)*(WEEKDAY(AQ$2,2)&lt;6)*($K$3:$K$52)/($R$3:$R$52+($R$3:$R$52=0)))</f>
        <v/>
      </c>
      <c r="AR58" s="45">
        <f>SUMPRODUCT(($B$3:$B$52&lt;&gt;"")*($B$3:$B$52&lt;=AR$2)*($S$3:$S$52&gt;=AR$2)*(WEEKDAY(AR$2,2)&lt;6)*($K$3:$K$52)/($R$3:$R$52+($R$3:$R$52=0)))</f>
        <v/>
      </c>
      <c r="AS58" s="45">
        <f>SUMPRODUCT(($B$3:$B$52&lt;&gt;"")*($B$3:$B$52&lt;=AS$2)*($S$3:$S$52&gt;=AS$2)*(WEEKDAY(AS$2,2)&lt;6)*($K$3:$K$52)/($R$3:$R$52+($R$3:$R$52=0)))</f>
        <v/>
      </c>
      <c r="AT58" s="45">
        <f>SUMPRODUCT(($B$3:$B$52&lt;&gt;"")*($B$3:$B$52&lt;=AT$2)*($S$3:$S$52&gt;=AT$2)*(WEEKDAY(AT$2,2)&lt;6)*($K$3:$K$52)/($R$3:$R$52+($R$3:$R$52=0)))</f>
        <v/>
      </c>
      <c r="AU58" s="45">
        <f>SUMPRODUCT(($B$3:$B$52&lt;&gt;"")*($B$3:$B$52&lt;=AU$2)*($S$3:$S$52&gt;=AU$2)*(WEEKDAY(AU$2,2)&lt;6)*($K$3:$K$52)/($R$3:$R$52+($R$3:$R$52=0)))</f>
        <v/>
      </c>
      <c r="AV58" s="45">
        <f>SUMPRODUCT(($B$3:$B$52&lt;&gt;"")*($B$3:$B$52&lt;=AV$2)*($S$3:$S$52&gt;=AV$2)*(WEEKDAY(AV$2,2)&lt;6)*($K$3:$K$52)/($R$3:$R$52+($R$3:$R$52=0)))</f>
        <v/>
      </c>
      <c r="AW58" s="45">
        <f>SUMPRODUCT(($B$3:$B$52&lt;&gt;"")*($B$3:$B$52&lt;=AW$2)*($S$3:$S$52&gt;=AW$2)*(WEEKDAY(AW$2,2)&lt;6)*($K$3:$K$52)/($R$3:$R$52+($R$3:$R$52=0)))</f>
        <v/>
      </c>
      <c r="AX58" s="45">
        <f>SUMPRODUCT(($B$3:$B$52&lt;&gt;"")*($B$3:$B$52&lt;=AX$2)*($S$3:$S$52&gt;=AX$2)*(WEEKDAY(AX$2,2)&lt;6)*($K$3:$K$52)/($R$3:$R$52+($R$3:$R$52=0)))</f>
        <v/>
      </c>
      <c r="AY58" s="45">
        <f>SUMPRODUCT(($B$3:$B$52&lt;&gt;"")*($B$3:$B$52&lt;=AY$2)*($S$3:$S$52&gt;=AY$2)*(WEEKDAY(AY$2,2)&lt;6)*($K$3:$K$52)/($R$3:$R$52+($R$3:$R$52=0)))</f>
        <v/>
      </c>
      <c r="AZ58" s="45">
        <f>SUMPRODUCT(($B$3:$B$52&lt;&gt;"")*($B$3:$B$52&lt;=AZ$2)*($S$3:$S$52&gt;=AZ$2)*(WEEKDAY(AZ$2,2)&lt;6)*($K$3:$K$52)/($R$3:$R$52+($R$3:$R$52=0)))</f>
        <v/>
      </c>
      <c r="BA58" s="45">
        <f>SUMPRODUCT(($B$3:$B$52&lt;&gt;"")*($B$3:$B$52&lt;=BA$2)*($S$3:$S$52&gt;=BA$2)*(WEEKDAY(BA$2,2)&lt;6)*($K$3:$K$52)/($R$3:$R$52+($R$3:$R$52=0)))</f>
        <v/>
      </c>
    </row>
    <row r="59">
      <c r="A59" s="43" t="inlineStr">
        <is>
          <t>기획</t>
        </is>
      </c>
      <c r="R59" s="44">
        <f>SUMPRODUCT((W59:BA59&gt;$S59)*1)</f>
        <v/>
      </c>
      <c r="S59" s="30">
        <f>'마스터'!$J$10</f>
        <v/>
      </c>
      <c r="W59" s="45">
        <f>SUMPRODUCT(($B$3:$B$52&lt;&gt;"")*($B$3:$B$52&lt;=W$2)*($S$3:$S$52&gt;=W$2)*(WEEKDAY(W$2,2)&lt;6)*($M$3:$M$52)/($R$3:$R$52+($R$3:$R$52=0)))</f>
        <v/>
      </c>
      <c r="X59" s="45">
        <f>SUMPRODUCT(($B$3:$B$52&lt;&gt;"")*($B$3:$B$52&lt;=X$2)*($S$3:$S$52&gt;=X$2)*(WEEKDAY(X$2,2)&lt;6)*($M$3:$M$52)/($R$3:$R$52+($R$3:$R$52=0)))</f>
        <v/>
      </c>
      <c r="Y59" s="45">
        <f>SUMPRODUCT(($B$3:$B$52&lt;&gt;"")*($B$3:$B$52&lt;=Y$2)*($S$3:$S$52&gt;=Y$2)*(WEEKDAY(Y$2,2)&lt;6)*($M$3:$M$52)/($R$3:$R$52+($R$3:$R$52=0)))</f>
        <v/>
      </c>
      <c r="Z59" s="45">
        <f>SUMPRODUCT(($B$3:$B$52&lt;&gt;"")*($B$3:$B$52&lt;=Z$2)*($S$3:$S$52&gt;=Z$2)*(WEEKDAY(Z$2,2)&lt;6)*($M$3:$M$52)/($R$3:$R$52+($R$3:$R$52=0)))</f>
        <v/>
      </c>
      <c r="AA59" s="45">
        <f>SUMPRODUCT(($B$3:$B$52&lt;&gt;"")*($B$3:$B$52&lt;=AA$2)*($S$3:$S$52&gt;=AA$2)*(WEEKDAY(AA$2,2)&lt;6)*($M$3:$M$52)/($R$3:$R$52+($R$3:$R$52=0)))</f>
        <v/>
      </c>
      <c r="AB59" s="45">
        <f>SUMPRODUCT(($B$3:$B$52&lt;&gt;"")*($B$3:$B$52&lt;=AB$2)*($S$3:$S$52&gt;=AB$2)*(WEEKDAY(AB$2,2)&lt;6)*($M$3:$M$52)/($R$3:$R$52+($R$3:$R$52=0)))</f>
        <v/>
      </c>
      <c r="AC59" s="45">
        <f>SUMPRODUCT(($B$3:$B$52&lt;&gt;"")*($B$3:$B$52&lt;=AC$2)*($S$3:$S$52&gt;=AC$2)*(WEEKDAY(AC$2,2)&lt;6)*($M$3:$M$52)/($R$3:$R$52+($R$3:$R$52=0)))</f>
        <v/>
      </c>
      <c r="AD59" s="45">
        <f>SUMPRODUCT(($B$3:$B$52&lt;&gt;"")*($B$3:$B$52&lt;=AD$2)*($S$3:$S$52&gt;=AD$2)*(WEEKDAY(AD$2,2)&lt;6)*($M$3:$M$52)/($R$3:$R$52+($R$3:$R$52=0)))</f>
        <v/>
      </c>
      <c r="AE59" s="45">
        <f>SUMPRODUCT(($B$3:$B$52&lt;&gt;"")*($B$3:$B$52&lt;=AE$2)*($S$3:$S$52&gt;=AE$2)*(WEEKDAY(AE$2,2)&lt;6)*($M$3:$M$52)/($R$3:$R$52+($R$3:$R$52=0)))</f>
        <v/>
      </c>
      <c r="AF59" s="45">
        <f>SUMPRODUCT(($B$3:$B$52&lt;&gt;"")*($B$3:$B$52&lt;=AF$2)*($S$3:$S$52&gt;=AF$2)*(WEEKDAY(AF$2,2)&lt;6)*($M$3:$M$52)/($R$3:$R$52+($R$3:$R$52=0)))</f>
        <v/>
      </c>
      <c r="AG59" s="45">
        <f>SUMPRODUCT(($B$3:$B$52&lt;&gt;"")*($B$3:$B$52&lt;=AG$2)*($S$3:$S$52&gt;=AG$2)*(WEEKDAY(AG$2,2)&lt;6)*($M$3:$M$52)/($R$3:$R$52+($R$3:$R$52=0)))</f>
        <v/>
      </c>
      <c r="AH59" s="45">
        <f>SUMPRODUCT(($B$3:$B$52&lt;&gt;"")*($B$3:$B$52&lt;=AH$2)*($S$3:$S$52&gt;=AH$2)*(WEEKDAY(AH$2,2)&lt;6)*($M$3:$M$52)/($R$3:$R$52+($R$3:$R$52=0)))</f>
        <v/>
      </c>
      <c r="AI59" s="45">
        <f>SUMPRODUCT(($B$3:$B$52&lt;&gt;"")*($B$3:$B$52&lt;=AI$2)*($S$3:$S$52&gt;=AI$2)*(WEEKDAY(AI$2,2)&lt;6)*($M$3:$M$52)/($R$3:$R$52+($R$3:$R$52=0)))</f>
        <v/>
      </c>
      <c r="AJ59" s="45">
        <f>SUMPRODUCT(($B$3:$B$52&lt;&gt;"")*($B$3:$B$52&lt;=AJ$2)*($S$3:$S$52&gt;=AJ$2)*(WEEKDAY(AJ$2,2)&lt;6)*($M$3:$M$52)/($R$3:$R$52+($R$3:$R$52=0)))</f>
        <v/>
      </c>
      <c r="AK59" s="45">
        <f>SUMPRODUCT(($B$3:$B$52&lt;&gt;"")*($B$3:$B$52&lt;=AK$2)*($S$3:$S$52&gt;=AK$2)*(WEEKDAY(AK$2,2)&lt;6)*($M$3:$M$52)/($R$3:$R$52+($R$3:$R$52=0)))</f>
        <v/>
      </c>
      <c r="AL59" s="45">
        <f>SUMPRODUCT(($B$3:$B$52&lt;&gt;"")*($B$3:$B$52&lt;=AL$2)*($S$3:$S$52&gt;=AL$2)*(WEEKDAY(AL$2,2)&lt;6)*($M$3:$M$52)/($R$3:$R$52+($R$3:$R$52=0)))</f>
        <v/>
      </c>
      <c r="AM59" s="45">
        <f>SUMPRODUCT(($B$3:$B$52&lt;&gt;"")*($B$3:$B$52&lt;=AM$2)*($S$3:$S$52&gt;=AM$2)*(WEEKDAY(AM$2,2)&lt;6)*($M$3:$M$52)/($R$3:$R$52+($R$3:$R$52=0)))</f>
        <v/>
      </c>
      <c r="AN59" s="45">
        <f>SUMPRODUCT(($B$3:$B$52&lt;&gt;"")*($B$3:$B$52&lt;=AN$2)*($S$3:$S$52&gt;=AN$2)*(WEEKDAY(AN$2,2)&lt;6)*($M$3:$M$52)/($R$3:$R$52+($R$3:$R$52=0)))</f>
        <v/>
      </c>
      <c r="AO59" s="45">
        <f>SUMPRODUCT(($B$3:$B$52&lt;&gt;"")*($B$3:$B$52&lt;=AO$2)*($S$3:$S$52&gt;=AO$2)*(WEEKDAY(AO$2,2)&lt;6)*($M$3:$M$52)/($R$3:$R$52+($R$3:$R$52=0)))</f>
        <v/>
      </c>
      <c r="AP59" s="45">
        <f>SUMPRODUCT(($B$3:$B$52&lt;&gt;"")*($B$3:$B$52&lt;=AP$2)*($S$3:$S$52&gt;=AP$2)*(WEEKDAY(AP$2,2)&lt;6)*($M$3:$M$52)/($R$3:$R$52+($R$3:$R$52=0)))</f>
        <v/>
      </c>
      <c r="AQ59" s="45">
        <f>SUMPRODUCT(($B$3:$B$52&lt;&gt;"")*($B$3:$B$52&lt;=AQ$2)*($S$3:$S$52&gt;=AQ$2)*(WEEKDAY(AQ$2,2)&lt;6)*($M$3:$M$52)/($R$3:$R$52+($R$3:$R$52=0)))</f>
        <v/>
      </c>
      <c r="AR59" s="45">
        <f>SUMPRODUCT(($B$3:$B$52&lt;&gt;"")*($B$3:$B$52&lt;=AR$2)*($S$3:$S$52&gt;=AR$2)*(WEEKDAY(AR$2,2)&lt;6)*($M$3:$M$52)/($R$3:$R$52+($R$3:$R$52=0)))</f>
        <v/>
      </c>
      <c r="AS59" s="45">
        <f>SUMPRODUCT(($B$3:$B$52&lt;&gt;"")*($B$3:$B$52&lt;=AS$2)*($S$3:$S$52&gt;=AS$2)*(WEEKDAY(AS$2,2)&lt;6)*($M$3:$M$52)/($R$3:$R$52+($R$3:$R$52=0)))</f>
        <v/>
      </c>
      <c r="AT59" s="45">
        <f>SUMPRODUCT(($B$3:$B$52&lt;&gt;"")*($B$3:$B$52&lt;=AT$2)*($S$3:$S$52&gt;=AT$2)*(WEEKDAY(AT$2,2)&lt;6)*($M$3:$M$52)/($R$3:$R$52+($R$3:$R$52=0)))</f>
        <v/>
      </c>
      <c r="AU59" s="45">
        <f>SUMPRODUCT(($B$3:$B$52&lt;&gt;"")*($B$3:$B$52&lt;=AU$2)*($S$3:$S$52&gt;=AU$2)*(WEEKDAY(AU$2,2)&lt;6)*($M$3:$M$52)/($R$3:$R$52+($R$3:$R$52=0)))</f>
        <v/>
      </c>
      <c r="AV59" s="45">
        <f>SUMPRODUCT(($B$3:$B$52&lt;&gt;"")*($B$3:$B$52&lt;=AV$2)*($S$3:$S$52&gt;=AV$2)*(WEEKDAY(AV$2,2)&lt;6)*($M$3:$M$52)/($R$3:$R$52+($R$3:$R$52=0)))</f>
        <v/>
      </c>
      <c r="AW59" s="45">
        <f>SUMPRODUCT(($B$3:$B$52&lt;&gt;"")*($B$3:$B$52&lt;=AW$2)*($S$3:$S$52&gt;=AW$2)*(WEEKDAY(AW$2,2)&lt;6)*($M$3:$M$52)/($R$3:$R$52+($R$3:$R$52=0)))</f>
        <v/>
      </c>
      <c r="AX59" s="45">
        <f>SUMPRODUCT(($B$3:$B$52&lt;&gt;"")*($B$3:$B$52&lt;=AX$2)*($S$3:$S$52&gt;=AX$2)*(WEEKDAY(AX$2,2)&lt;6)*($M$3:$M$52)/($R$3:$R$52+($R$3:$R$52=0)))</f>
        <v/>
      </c>
      <c r="AY59" s="45">
        <f>SUMPRODUCT(($B$3:$B$52&lt;&gt;"")*($B$3:$B$52&lt;=AY$2)*($S$3:$S$52&gt;=AY$2)*(WEEKDAY(AY$2,2)&lt;6)*($M$3:$M$52)/($R$3:$R$52+($R$3:$R$52=0)))</f>
        <v/>
      </c>
      <c r="AZ59" s="45">
        <f>SUMPRODUCT(($B$3:$B$52&lt;&gt;"")*($B$3:$B$52&lt;=AZ$2)*($S$3:$S$52&gt;=AZ$2)*(WEEKDAY(AZ$2,2)&lt;6)*($M$3:$M$52)/($R$3:$R$52+($R$3:$R$52=0)))</f>
        <v/>
      </c>
      <c r="BA59" s="45">
        <f>SUMPRODUCT(($B$3:$B$52&lt;&gt;"")*($B$3:$B$52&lt;=BA$2)*($S$3:$S$52&gt;=BA$2)*(WEEKDAY(BA$2,2)&lt;6)*($M$3:$M$52)/($R$3:$R$52+($R$3:$R$52=0)))</f>
        <v/>
      </c>
    </row>
  </sheetData>
  <mergeCells count="6">
    <mergeCell ref="N1:U1"/>
    <mergeCell ref="A1:G1"/>
    <mergeCell ref="H1:I1"/>
    <mergeCell ref="L1:M1"/>
    <mergeCell ref="J1:K1"/>
    <mergeCell ref="W1:BA1"/>
  </mergeCells>
  <conditionalFormatting sqref="W3:BA52">
    <cfRule type="expression" priority="1" dxfId="0">
      <formula>AND($B3&lt;&gt;"",$C3&lt;&gt;"",W$2&gt;=$B3,W$2&lt;=$C3,WEEKDAY(W$2,2)&lt;6,$I3=MAX($I3,$K3,$M3),$I3&gt;0)</formula>
    </cfRule>
    <cfRule type="expression" priority="2" dxfId="1">
      <formula>AND($B3&lt;&gt;"",$C3&lt;&gt;"",W$2&gt;=$B3,W$2&lt;=$C3,WEEKDAY(W$2,2)&lt;6,$K3=MAX($I3,$K3,$M3),$K3&gt;0)</formula>
    </cfRule>
    <cfRule type="expression" priority="3" dxfId="2">
      <formula>AND($B3&lt;&gt;"",$C3&lt;&gt;"",W$2&gt;=$B3,W$2&lt;=$C3,WEEKDAY(W$2,2)&lt;6,$M3=MAX($I3,$K3,$M3),$M3&gt;0)</formula>
    </cfRule>
    <cfRule type="expression" priority="4" dxfId="3">
      <formula>AND($B3&lt;&gt;"",$C3&lt;&gt;"",W$2&gt;=$B3,W$2&lt;=$C3,WEEKDAY(W$2,2)&lt;6)</formula>
    </cfRule>
  </conditionalFormatting>
  <conditionalFormatting sqref="W3:BA59">
    <cfRule type="expression" priority="5" dxfId="4">
      <formula>WEEKDAY(W$2,2)&gt;5</formula>
    </cfRule>
  </conditionalFormatting>
  <conditionalFormatting sqref="T3:T52">
    <cfRule type="expression" priority="6" dxfId="5">
      <formula>AND(T3&lt;&gt;"",T3&lt;0)</formula>
    </cfRule>
    <cfRule type="expression" priority="7" dxfId="6">
      <formula>AND(T3&lt;&gt;"",T3&gt;=0,T3&lt;=1)</formula>
    </cfRule>
    <cfRule type="expression" priority="8" dxfId="7">
      <formula>AND(T3&lt;&gt;"",T3&gt;1)</formula>
    </cfRule>
  </conditionalFormatting>
  <conditionalFormatting sqref="W57:BA59">
    <cfRule type="expression" priority="9" dxfId="8">
      <formula>W57&gt;$S57</formula>
    </cfRule>
    <cfRule type="expression" priority="10" dxfId="9">
      <formula>AND(W57&gt;$S57*0.8,W57&lt;=$S57)</formula>
    </cfRule>
  </conditionalFormatting>
  <dataValidations count="4">
    <dataValidation sqref="D3:D52" showDropDown="0" showInputMessage="0" showErrorMessage="0" allowBlank="1" type="list">
      <formula1>='마스터'!$A$3:$A$27</formula1>
    </dataValidation>
    <dataValidation sqref="E3:E52" showDropDown="0" showInputMessage="0" showErrorMessage="0" allowBlank="1" type="list">
      <formula1>='마스터'!$C$3:$C$7</formula1>
    </dataValidation>
    <dataValidation sqref="F3:F52" showDropDown="0" showInputMessage="0" showErrorMessage="0" allowBlank="1" type="list">
      <formula1>='마스터'!$E$3:$E$8</formula1>
    </dataValidation>
    <dataValidation sqref="Q3:Q5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3" customWidth="1" min="7" max="7"/>
    <col width="11" customWidth="1" min="8" max="8"/>
    <col width="8" customWidth="1" min="9" max="9"/>
    <col width="9" customWidth="1" min="10" max="10"/>
  </cols>
  <sheetData>
    <row r="2">
      <c r="B2" s="46" t="inlineStr">
        <is>
          <t>📈 대시보드 — 주차/월 직군 MD · 팀 · 타이틀</t>
        </is>
      </c>
    </row>
    <row r="4">
      <c r="B4" s="17" t="inlineStr">
        <is>
          <t>① 주차별 직군 MD · 월 누적</t>
        </is>
      </c>
      <c r="H4" s="17" t="inlineStr">
        <is>
          <t>② 고객팀 × 유형 (건수)</t>
        </is>
      </c>
    </row>
    <row r="5">
      <c r="B5" s="8" t="inlineStr">
        <is>
          <t>주차</t>
        </is>
      </c>
      <c r="C5" s="8" t="inlineStr">
        <is>
          <t>영상</t>
        </is>
      </c>
      <c r="D5" s="8" t="inlineStr">
        <is>
          <t>이미지</t>
        </is>
      </c>
      <c r="E5" s="8" t="inlineStr">
        <is>
          <t>기획</t>
        </is>
      </c>
      <c r="F5" s="8" t="inlineStr">
        <is>
          <t>합계</t>
        </is>
      </c>
      <c r="H5" s="41" t="inlineStr">
        <is>
          <t>팀\유형</t>
        </is>
      </c>
      <c r="I5" s="41" t="inlineStr">
        <is>
          <t>이미지</t>
        </is>
      </c>
      <c r="J5" s="41" t="inlineStr">
        <is>
          <t>영상</t>
        </is>
      </c>
      <c r="K5" s="41" t="inlineStr">
        <is>
          <t>기획</t>
        </is>
      </c>
    </row>
    <row r="6">
      <c r="B6" s="47" t="inlineStr">
        <is>
          <t>W1</t>
        </is>
      </c>
      <c r="C6" s="48">
        <f>SUMIFS('통합관리'!$I$3:$I$52,'통합관리'!$P$3:$P$52,$B6)</f>
        <v/>
      </c>
      <c r="D6" s="48">
        <f>SUMIFS('통합관리'!$K$3:$K$52,'통합관리'!$P$3:$P$52,$B6)</f>
        <v/>
      </c>
      <c r="E6" s="48">
        <f>SUMIFS('통합관리'!$M$3:$M$52,'통합관리'!$P$3:$P$52,$B6)</f>
        <v/>
      </c>
      <c r="F6" s="49">
        <f>SUM(C6:E6)</f>
        <v/>
      </c>
      <c r="H6" s="50" t="inlineStr">
        <is>
          <t>마케팅1팀</t>
        </is>
      </c>
      <c r="I6" s="30">
        <f>COUNTIFS('통합관리'!$E$3:$E$52,$H6,'통합관리'!$F$3:$F$52,I$5)</f>
        <v/>
      </c>
      <c r="J6" s="30">
        <f>COUNTIFS('통합관리'!$E$3:$E$52,$H6,'통합관리'!$F$3:$F$52,J$5)</f>
        <v/>
      </c>
      <c r="K6" s="30">
        <f>COUNTIFS('통합관리'!$E$3:$E$52,$H6,'통합관리'!$F$3:$F$52,K$5)</f>
        <v/>
      </c>
    </row>
    <row r="7">
      <c r="B7" s="47" t="inlineStr">
        <is>
          <t>W2</t>
        </is>
      </c>
      <c r="C7" s="48">
        <f>SUMIFS('통합관리'!$I$3:$I$52,'통합관리'!$P$3:$P$52,$B7)</f>
        <v/>
      </c>
      <c r="D7" s="48">
        <f>SUMIFS('통합관리'!$K$3:$K$52,'통합관리'!$P$3:$P$52,$B7)</f>
        <v/>
      </c>
      <c r="E7" s="48">
        <f>SUMIFS('통합관리'!$M$3:$M$52,'통합관리'!$P$3:$P$52,$B7)</f>
        <v/>
      </c>
      <c r="F7" s="49">
        <f>SUM(C7:E7)</f>
        <v/>
      </c>
      <c r="H7" s="50" t="inlineStr">
        <is>
          <t>마케팅2팀</t>
        </is>
      </c>
      <c r="I7" s="30">
        <f>COUNTIFS('통합관리'!$E$3:$E$52,$H7,'통합관리'!$F$3:$F$52,I$5)</f>
        <v/>
      </c>
      <c r="J7" s="30">
        <f>COUNTIFS('통합관리'!$E$3:$E$52,$H7,'통합관리'!$F$3:$F$52,J$5)</f>
        <v/>
      </c>
      <c r="K7" s="30">
        <f>COUNTIFS('통합관리'!$E$3:$E$52,$H7,'통합관리'!$F$3:$F$52,K$5)</f>
        <v/>
      </c>
    </row>
    <row r="8">
      <c r="B8" s="47" t="inlineStr">
        <is>
          <t>W3</t>
        </is>
      </c>
      <c r="C8" s="48">
        <f>SUMIFS('통합관리'!$I$3:$I$52,'통합관리'!$P$3:$P$52,$B8)</f>
        <v/>
      </c>
      <c r="D8" s="48">
        <f>SUMIFS('통합관리'!$K$3:$K$52,'통합관리'!$P$3:$P$52,$B8)</f>
        <v/>
      </c>
      <c r="E8" s="48">
        <f>SUMIFS('통합관리'!$M$3:$M$52,'통합관리'!$P$3:$P$52,$B8)</f>
        <v/>
      </c>
      <c r="F8" s="49">
        <f>SUM(C8:E8)</f>
        <v/>
      </c>
      <c r="H8" s="50" t="inlineStr">
        <is>
          <t>마케팅3팀</t>
        </is>
      </c>
      <c r="I8" s="30">
        <f>COUNTIFS('통합관리'!$E$3:$E$52,$H8,'통합관리'!$F$3:$F$52,I$5)</f>
        <v/>
      </c>
      <c r="J8" s="30">
        <f>COUNTIFS('통합관리'!$E$3:$E$52,$H8,'통합관리'!$F$3:$F$52,J$5)</f>
        <v/>
      </c>
      <c r="K8" s="30">
        <f>COUNTIFS('통합관리'!$E$3:$E$52,$H8,'통합관리'!$F$3:$F$52,K$5)</f>
        <v/>
      </c>
    </row>
    <row r="9">
      <c r="B9" s="47" t="inlineStr">
        <is>
          <t>W4</t>
        </is>
      </c>
      <c r="C9" s="48">
        <f>SUMIFS('통합관리'!$I$3:$I$52,'통합관리'!$P$3:$P$52,$B9)</f>
        <v/>
      </c>
      <c r="D9" s="48">
        <f>SUMIFS('통합관리'!$K$3:$K$52,'통합관리'!$P$3:$P$52,$B9)</f>
        <v/>
      </c>
      <c r="E9" s="48">
        <f>SUMIFS('통합관리'!$M$3:$M$52,'통합관리'!$P$3:$P$52,$B9)</f>
        <v/>
      </c>
      <c r="F9" s="49">
        <f>SUM(C9:E9)</f>
        <v/>
      </c>
      <c r="H9" s="50" t="inlineStr">
        <is>
          <t>마케팅4팀</t>
        </is>
      </c>
      <c r="I9" s="30">
        <f>COUNTIFS('통합관리'!$E$3:$E$52,$H9,'통합관리'!$F$3:$F$52,I$5)</f>
        <v/>
      </c>
      <c r="J9" s="30">
        <f>COUNTIFS('통합관리'!$E$3:$E$52,$H9,'통합관리'!$F$3:$F$52,J$5)</f>
        <v/>
      </c>
      <c r="K9" s="30">
        <f>COUNTIFS('통합관리'!$E$3:$E$52,$H9,'통합관리'!$F$3:$F$52,K$5)</f>
        <v/>
      </c>
    </row>
    <row r="10">
      <c r="B10" s="47" t="inlineStr">
        <is>
          <t>W5</t>
        </is>
      </c>
      <c r="C10" s="48">
        <f>SUMIFS('통합관리'!$I$3:$I$52,'통합관리'!$P$3:$P$52,$B10)</f>
        <v/>
      </c>
      <c r="D10" s="48">
        <f>SUMIFS('통합관리'!$K$3:$K$52,'통합관리'!$P$3:$P$52,$B10)</f>
        <v/>
      </c>
      <c r="E10" s="48">
        <f>SUMIFS('통합관리'!$M$3:$M$52,'통합관리'!$P$3:$P$52,$B10)</f>
        <v/>
      </c>
      <c r="F10" s="49">
        <f>SUM(C10:E10)</f>
        <v/>
      </c>
      <c r="H10" s="50" t="inlineStr">
        <is>
          <t>기타</t>
        </is>
      </c>
      <c r="I10" s="30">
        <f>COUNTIFS('통합관리'!$E$3:$E$52,$H10,'통합관리'!$F$3:$F$52,I$5)</f>
        <v/>
      </c>
      <c r="J10" s="30">
        <f>COUNTIFS('통합관리'!$E$3:$E$52,$H10,'통합관리'!$F$3:$F$52,J$5)</f>
        <v/>
      </c>
      <c r="K10" s="30">
        <f>COUNTIFS('통합관리'!$E$3:$E$52,$H10,'통합관리'!$F$3:$F$52,K$5)</f>
        <v/>
      </c>
    </row>
    <row r="11">
      <c r="B11" s="51" t="inlineStr">
        <is>
          <t>월 누적 MD</t>
        </is>
      </c>
      <c r="C11" s="52">
        <f>SUM(C6:C10)</f>
        <v/>
      </c>
      <c r="D11" s="52">
        <f>SUM(D6:D10)</f>
        <v/>
      </c>
      <c r="E11" s="52">
        <f>SUM(E6:E10)</f>
        <v/>
      </c>
      <c r="F11" s="52">
        <f>SUM(C11:E11)</f>
        <v/>
      </c>
    </row>
    <row r="12">
      <c r="B12" s="51" t="inlineStr">
        <is>
          <t>월 MM</t>
        </is>
      </c>
      <c r="C12" s="52">
        <f>C11/'마스터'!$J$3</f>
        <v/>
      </c>
      <c r="D12" s="52">
        <f>D11/'마스터'!$J$3</f>
        <v/>
      </c>
      <c r="E12" s="52">
        <f>E11/'마스터'!$J$3</f>
        <v/>
      </c>
    </row>
    <row r="13">
      <c r="B13" s="51" t="inlineStr">
        <is>
          <t>가동률</t>
        </is>
      </c>
      <c r="C13" s="53">
        <f>IFERROR(C12/('마스터'!$J$8*'마스터'!$J$3),0)</f>
        <v/>
      </c>
      <c r="D13" s="53">
        <f>IFERROR(D12/('마스터'!$J$9*'마스터'!$J$3),0)</f>
        <v/>
      </c>
      <c r="E13" s="53">
        <f>IFERROR(E12/('마스터'!$J$10*'마스터'!$J$3),0)</f>
        <v/>
      </c>
      <c r="H13" s="17" t="inlineStr">
        <is>
          <t>③ 게임타이틀별 MD</t>
        </is>
      </c>
    </row>
    <row r="14">
      <c r="H14" s="8" t="inlineStr">
        <is>
          <t>타이틀</t>
        </is>
      </c>
      <c r="I14" s="8" t="inlineStr">
        <is>
          <t>건수</t>
        </is>
      </c>
      <c r="J14" s="8" t="inlineStr">
        <is>
          <t>MD</t>
        </is>
      </c>
    </row>
    <row r="15">
      <c r="H15" s="50" t="inlineStr">
        <is>
          <t>뱀피르</t>
        </is>
      </c>
      <c r="I15" s="30">
        <f>COUNTIF('통합관리'!$D$3:$D$52,H15)</f>
        <v/>
      </c>
      <c r="J15" s="54">
        <f>SUMIF('통합관리'!$D$3:$D$52,H15,'통합관리'!$N$3:$N$52)</f>
        <v/>
      </c>
    </row>
    <row r="16">
      <c r="B16" s="17" t="inlineStr">
        <is>
          <t>④ 영상 견적 · 비나 시나리오</t>
        </is>
      </c>
      <c r="H16" s="50" t="inlineStr">
        <is>
          <t>RF 글로벌</t>
        </is>
      </c>
      <c r="I16" s="30">
        <f>COUNTIF('통합관리'!$D$3:$D$52,H16)</f>
        <v/>
      </c>
      <c r="J16" s="54">
        <f>SUMIF('통합관리'!$D$3:$D$52,H16,'통합관리'!$N$3:$N$52)</f>
        <v/>
      </c>
    </row>
    <row r="17">
      <c r="B17" s="55" t="inlineStr">
        <is>
          <t>총 영상견적(원)</t>
        </is>
      </c>
      <c r="D17" s="56" t="n">
        <v>92000000</v>
      </c>
      <c r="E17" s="10" t="n"/>
      <c r="H17" s="50" t="inlineStr">
        <is>
          <t>SOL 인챈트</t>
        </is>
      </c>
      <c r="I17" s="30">
        <f>COUNTIF('통합관리'!$D$3:$D$52,H17)</f>
        <v/>
      </c>
      <c r="J17" s="54">
        <f>SUMIF('통합관리'!$D$3:$D$52,H17,'통합관리'!$N$3:$N$52)</f>
        <v/>
      </c>
    </row>
    <row r="18">
      <c r="B18" s="55" t="inlineStr">
        <is>
          <t>비나 시나리오</t>
        </is>
      </c>
      <c r="D18" s="13" t="n">
        <v>1</v>
      </c>
      <c r="F18" s="57">
        <f>IF($D$18=1,"방안1:비나공수→영상실 귀속",IF($D$18=2,"방안2:비나=베리만",IF($D$18=3,"방안3:비나 이미지TO 추가발주+비용","방안4:본사 통합(이미지TO 추가X)")))</f>
        <v/>
      </c>
      <c r="G18" s="58" t="n"/>
      <c r="H18" s="58" t="n"/>
      <c r="I18" s="58" t="n"/>
      <c r="J18" s="59" t="n"/>
    </row>
    <row r="19">
      <c r="B19" s="60" t="inlineStr">
        <is>
          <t>영상 월 MD</t>
        </is>
      </c>
      <c r="D19" s="61">
        <f>E12</f>
        <v/>
      </c>
      <c r="H19" s="50" t="inlineStr">
        <is>
          <t>칠대죄오리진</t>
        </is>
      </c>
      <c r="I19" s="30">
        <f>COUNTIF('통합관리'!$D$3:$D$52,H19)</f>
        <v/>
      </c>
      <c r="J19" s="54">
        <f>SUMIF('통합관리'!$D$3:$D$52,H19,'통합관리'!$N$3:$N$52)</f>
        <v/>
      </c>
    </row>
    <row r="20">
      <c r="H20" s="50" t="inlineStr">
        <is>
          <t>세나리버스</t>
        </is>
      </c>
      <c r="I20" s="30">
        <f>COUNTIF('통합관리'!$D$3:$D$52,H20)</f>
        <v/>
      </c>
      <c r="J20" s="54">
        <f>SUMIF('통합관리'!$D$3:$D$52,H20,'통합관리'!$N$3:$N$52)</f>
        <v/>
      </c>
    </row>
    <row r="21">
      <c r="H21" s="50" t="inlineStr">
        <is>
          <t>몬길</t>
        </is>
      </c>
      <c r="I21" s="30">
        <f>COUNTIF('통합관리'!$D$3:$D$52,H21)</f>
        <v/>
      </c>
      <c r="J21" s="54">
        <f>SUMIF('통합관리'!$D$3:$D$52,H21,'통합관리'!$N$3:$N$52)</f>
        <v/>
      </c>
    </row>
    <row r="22">
      <c r="H22" s="50" t="inlineStr">
        <is>
          <t>왕겜(GOT)</t>
        </is>
      </c>
      <c r="I22" s="30">
        <f>COUNTIF('통합관리'!$D$3:$D$52,H22)</f>
        <v/>
      </c>
      <c r="J22" s="54">
        <f>SUMIF('통합관리'!$D$3:$D$52,H22,'통합관리'!$N$3:$N$52)</f>
        <v/>
      </c>
    </row>
    <row r="23">
      <c r="H23" s="50" t="inlineStr">
        <is>
          <t>몬스터길들이기</t>
        </is>
      </c>
      <c r="I23" s="30">
        <f>COUNTIF('통합관리'!$D$3:$D$52,H23)</f>
        <v/>
      </c>
      <c r="J23" s="54">
        <f>SUMIF('통합관리'!$D$3:$D$52,H23,'통합관리'!$N$3:$N$52)</f>
        <v/>
      </c>
    </row>
    <row r="24">
      <c r="H24" s="50" t="inlineStr">
        <is>
          <t>라이즈오브</t>
        </is>
      </c>
      <c r="I24" s="30">
        <f>COUNTIF('통합관리'!$D$3:$D$52,H24)</f>
        <v/>
      </c>
      <c r="J24" s="54">
        <f>SUMIF('통합관리'!$D$3:$D$52,H24,'통합관리'!$N$3:$N$52)</f>
        <v/>
      </c>
    </row>
  </sheetData>
  <mergeCells count="2">
    <mergeCell ref="D17:E17"/>
    <mergeCell ref="F18:J18"/>
  </mergeCells>
  <conditionalFormatting sqref="C13:E13">
    <cfRule type="expression" priority="1" dxfId="5">
      <formula>C13&gt;1</formula>
    </cfRule>
    <cfRule type="expression" priority="2" dxfId="10">
      <formula>AND(C13&gt;0.8,C13&lt;=1)</formula>
    </cfRule>
  </conditionalFormatting>
  <dataValidations count="1">
    <dataValidation sqref="D18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2026-07-24T05:46:15Z</dcterms:created>
  <dcterms:modified xsi:type="dcterms:W3CDTF">2026-07-24T05:46:15Z</dcterms:modified>
</cp:coreProperties>
</file>