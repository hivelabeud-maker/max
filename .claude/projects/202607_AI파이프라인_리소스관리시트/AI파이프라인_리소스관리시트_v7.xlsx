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m/d"/>
    <numFmt numFmtId="166" formatCode="0.0;;"/>
    <numFmt numFmtId="167" formatCode="m/d(ddd)"/>
    <numFmt numFmtId="168" formatCode="0.00;;"/>
    <numFmt numFmtId="169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color rgb="001F4E79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808080"/>
      <sz val="9"/>
    </font>
  </fonts>
  <fills count="1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6" borderId="1" applyAlignment="1" pivotButton="0" quotePrefix="0" xfId="0">
      <alignment horizontal="left" vertical="center"/>
    </xf>
    <xf numFmtId="0" fontId="10" fillId="0" borderId="0" pivotButton="0" quotePrefix="0" xfId="0"/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3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0" borderId="0" pivotButton="0" quotePrefix="0" xfId="0"/>
    <xf numFmtId="2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0" fillId="7" borderId="1" pivotButton="0" quotePrefix="0" xfId="0"/>
    <xf numFmtId="169" fontId="1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0" fillId="4" borderId="1" pivotButton="0" quotePrefix="0" xfId="0"/>
    <xf numFmtId="166" fontId="21" fillId="0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167" fontId="22" fillId="6" borderId="1" applyAlignment="1" pivotButton="0" quotePrefix="0" xfId="0">
      <alignment horizontal="center" vertical="center"/>
    </xf>
    <xf numFmtId="2" fontId="22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8" fontId="2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F2F2F2"/>
        </patternFill>
      </fill>
    </dxf>
    <dxf>
      <font>
        <name val="Arial"/>
        <color rgb="00000000"/>
        <sz val="7"/>
      </font>
      <fill>
        <patternFill patternType="solid">
          <fgColor rgb="00FCE4D6"/>
        </patternFill>
      </fill>
    </dxf>
    <dxf>
      <font>
        <name val="Arial"/>
        <color rgb="00000000"/>
        <sz val="7"/>
      </font>
      <fill>
        <patternFill patternType="solid">
          <fgColor rgb="00E2EFDA"/>
        </patternFill>
      </fill>
    </dxf>
    <dxf>
      <font>
        <name val="Arial"/>
        <color rgb="00000000"/>
        <sz val="7"/>
      </font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</author>
  </authors>
  <commentList>
    <comment ref="E8" authorId="0" shapeId="0">
      <text>
        <t>1월 업무만 입력. 한 행=한 업무명(영상 기준). 상단 4줄이 이 달 일자별 직군 TO 과부하를 표시.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E8" authorId="0" shapeId="0">
      <text>
        <t>2월 업무만 입력. 한 행=한 업무명(영상 기준). 상단 4줄이 이 달 일자별 직군 TO 과부하를 표시.</t>
      </text>
    </comment>
  </commentList>
</comments>
</file>

<file path=xl/comments/comment3.xml><?xml version="1.0" encoding="utf-8"?>
<comments xmlns="http://schemas.openxmlformats.org/spreadsheetml/2006/main">
  <authors>
    <author>m</author>
  </authors>
  <commentList>
    <comment ref="E8" authorId="0" shapeId="0">
      <text>
        <t>3월 업무만 입력. 한 행=한 업무명(영상 기준). 상단 4줄이 이 달 일자별 직군 TO 과부하를 표시.</t>
      </text>
    </comment>
  </commentList>
</comments>
</file>

<file path=xl/comments/comment4.xml><?xml version="1.0" encoding="utf-8"?>
<comments xmlns="http://schemas.openxmlformats.org/spreadsheetml/2006/main">
  <authors>
    <author>m</author>
  </authors>
  <commentList>
    <comment ref="E8" authorId="0" shapeId="0">
      <text>
        <t>4월 업무만 입력. 한 행=한 업무명(영상 기준). 상단 4줄이 이 달 일자별 직군 TO 과부하를 표시.</t>
      </text>
    </comment>
  </commentList>
</comments>
</file>

<file path=xl/comments/comment5.xml><?xml version="1.0" encoding="utf-8"?>
<comments xmlns="http://schemas.openxmlformats.org/spreadsheetml/2006/main">
  <authors>
    <author>m</author>
  </authors>
  <commentList>
    <comment ref="E8" authorId="0" shapeId="0">
      <text>
        <t>5월 업무만 입력. 한 행=한 업무명(영상 기준). 상단 4줄이 이 달 일자별 직군 TO 과부하를 표시.</t>
      </text>
    </comment>
  </commentList>
</comments>
</file>

<file path=xl/comments/comment6.xml><?xml version="1.0" encoding="utf-8"?>
<comments xmlns="http://schemas.openxmlformats.org/spreadsheetml/2006/main">
  <authors>
    <author>m</author>
  </authors>
  <commentList>
    <comment ref="E8" authorId="0" shapeId="0">
      <text>
        <t>6월 업무만 입력. 한 행=한 업무명(영상 기준). 상단 4줄이 이 달 일자별 직군 TO 과부하를 표시.</t>
      </text>
    </comment>
  </commentList>
</comments>
</file>

<file path=xl/comments/comment7.xml><?xml version="1.0" encoding="utf-8"?>
<comments xmlns="http://schemas.openxmlformats.org/spreadsheetml/2006/main">
  <authors>
    <author>m</author>
  </authors>
  <commentList>
    <comment ref="E8" authorId="0" shapeId="0">
      <text>
        <t>7월 업무만 입력. 한 행=한 업무명(영상 기준). 상단 4줄이 이 달 일자별 직군 TO 과부하를 표시.</t>
      </text>
    </comment>
  </commentList>
</comments>
</file>

<file path=xl/comments/comment8.xml><?xml version="1.0" encoding="utf-8"?>
<comments xmlns="http://schemas.openxmlformats.org/spreadsheetml/2006/main">
  <authors>
    <author>m</author>
  </authors>
  <commentList>
    <comment ref="E8" authorId="0" shapeId="0">
      <text>
        <t>8월 업무만 입력. 한 행=한 업무명(영상 기준). 상단 4줄이 이 달 일자별 직군 TO 과부하를 표시.</t>
      </text>
    </comment>
  </commentList>
</comments>
</file>

<file path=xl/comments/comment9.xml><?xml version="1.0" encoding="utf-8"?>
<comments xmlns="http://schemas.openxmlformats.org/spreadsheetml/2006/main">
  <authors>
    <author>m</author>
  </authors>
  <commentList>
    <comment ref="E8" authorId="0" shapeId="0">
      <text>
        <t>9월 업무만 입력. 한 행=한 업무명(영상 기준). 상단 4줄이 이 달 일자별 직군 TO 과부하를 표시.</t>
      </text>
    </comment>
  </commentList>
</comments>
</file>

<file path=xl/comments/comment10.xml><?xml version="1.0" encoding="utf-8"?>
<comments xmlns="http://schemas.openxmlformats.org/spreadsheetml/2006/main">
  <authors>
    <author>m</author>
  </authors>
  <commentList>
    <comment ref="E8" authorId="0" shapeId="0">
      <text>
        <t>10월 업무만 입력. 한 행=한 업무명(영상 기준). 상단 4줄이 이 달 일자별 직군 TO 과부하를 표시.</t>
      </text>
    </comment>
  </commentList>
</comments>
</file>

<file path=xl/comments/comment11.xml><?xml version="1.0" encoding="utf-8"?>
<comments xmlns="http://schemas.openxmlformats.org/spreadsheetml/2006/main">
  <authors>
    <author>m</author>
  </authors>
  <commentList>
    <comment ref="E8" authorId="0" shapeId="0">
      <text>
        <t>11월 업무만 입력. 한 행=한 업무명(영상 기준). 상단 4줄이 이 달 일자별 직군 TO 과부하를 표시.</t>
      </text>
    </comment>
  </commentList>
</comments>
</file>

<file path=xl/comments/comment12.xml><?xml version="1.0" encoding="utf-8"?>
<comments xmlns="http://schemas.openxmlformats.org/spreadsheetml/2006/main">
  <authors>
    <author>m</author>
  </authors>
  <commentList>
    <comment ref="E8" authorId="0" shapeId="0">
      <text>
        <t>12월 업무만 입력. 한 행=한 업무명(영상 기준). 상단 4줄이 이 달 일자별 직군 TO 과부하를 표시.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v7 (월별 탭 + 연간요약)</t>
        </is>
      </c>
    </row>
    <row r="3">
      <c r="B3" s="2" t="inlineStr">
        <is>
          <t>1월~12월 각각 별도 탭. 입력은 해당 월 탭에서. 연간요약이 12개 탭을 자동 집계.</t>
        </is>
      </c>
    </row>
    <row r="5">
      <c r="B5" s="3" t="inlineStr">
        <is>
          <t>색 표시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9">
      <c r="B9" s="7" t="inlineStr">
        <is>
          <t>1. 월별 탭</t>
        </is>
      </c>
      <c r="C9" s="8" t="n"/>
    </row>
    <row r="10">
      <c r="B10" s="9" t="inlineStr">
        <is>
          <t>탭 구조</t>
        </is>
      </c>
      <c r="C10" s="5" t="inlineStr">
        <is>
          <t>1월~12월 탭이 각각 독립된 통합관리. 그 달 업무만 그 탭에 입력 - 리스트가 길어져도 달마다 분리되어 관리가 쉬움.</t>
        </is>
      </c>
    </row>
    <row r="11">
      <c r="B11" s="9" t="inlineStr">
        <is>
          <t>행 = 한 업무명</t>
        </is>
      </c>
      <c r="C11" s="5" t="inlineStr">
        <is>
          <t>영상 파이프라인 기준. 영상/이미지/기획(SB)이 각각 담당+MD 칸으로 붙음. 붙는 직군만 기입, 나머지 비움.</t>
        </is>
      </c>
    </row>
    <row r="12">
      <c r="B12" s="9" t="inlineStr">
        <is>
          <t>요청일 위치</t>
        </is>
      </c>
      <c r="C12" s="5" t="inlineStr">
        <is>
          <t>소재명 바로 오른쪽. 소재명+요청일은 스크롤해도 고정.</t>
        </is>
      </c>
    </row>
    <row r="13">
      <c r="B13" s="9" t="inlineStr">
        <is>
          <t>수량</t>
        </is>
      </c>
      <c r="C13" s="5" t="inlineStr">
        <is>
          <t>영상 수 / 사이즈베리 수 / 다국어베리 수 3개 분리.</t>
        </is>
      </c>
    </row>
    <row r="15">
      <c r="B15" s="7" t="inlineStr">
        <is>
          <t>2. 각 월 탭 - 일별 직군 TO 과부하</t>
        </is>
      </c>
      <c r="C15" s="8" t="n"/>
    </row>
    <row r="16">
      <c r="B16" s="9" t="inlineStr">
        <is>
          <t>상단 4줄</t>
        </is>
      </c>
      <c r="C16" s="5" t="inlineStr">
        <is>
          <t>날짜 위 전체/영상/이미지/기획 TO 줄. 각 날짜 셀 = 그날 그 직군 총 MD. 정원 대비 파랑(참)/보라(오버).</t>
        </is>
      </c>
    </row>
    <row r="17">
      <c r="B17" s="9" t="inlineStr">
        <is>
          <t>간트</t>
        </is>
      </c>
      <c r="C17" s="5" t="inlineStr">
        <is>
          <t>각 소재 셀에 합계MD를 요청~예상완료 영업일에 균등 분산(숫자). 주말 음영.</t>
        </is>
      </c>
    </row>
    <row r="19">
      <c r="B19" s="7" t="inlineStr">
        <is>
          <t>3. 연간요약</t>
        </is>
      </c>
      <c r="C19" s="8" t="n"/>
    </row>
    <row r="20">
      <c r="B20" s="9" t="inlineStr">
        <is>
          <t>월별/누적</t>
        </is>
      </c>
      <c r="C20" s="5" t="inlineStr">
        <is>
          <t>12개 월 탭에서 직접 집계. 매월 누적(1월부터 running), 상반기(1-6)/하반기(7-12)/연간 합계, 월별 가동률.</t>
        </is>
      </c>
    </row>
    <row r="21">
      <c r="B21" s="9" t="inlineStr">
        <is>
          <t>팀/타이틀</t>
        </is>
      </c>
      <c r="C21" s="5" t="inlineStr">
        <is>
          <t>고객팀x유형 연간 건수, 게임타이틀별 연간 MD - 12개 탭 합산.</t>
        </is>
      </c>
    </row>
    <row r="22">
      <c r="B22" s="9" t="inlineStr">
        <is>
          <t>새 연도 시작</t>
        </is>
      </c>
      <c r="C22" s="5" t="inlineStr">
        <is>
          <t>마스터의 연도만 바꾸면 전체 탭의 날짜가 그 연도 기준으로 재계산.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4" customWidth="1" min="9" max="9"/>
    <col width="14" customWidth="1" min="10" max="10"/>
  </cols>
  <sheetData>
    <row r="1">
      <c r="A1" s="10" t="inlineStr">
        <is>
          <t>마스터 / 기준정보</t>
        </is>
      </c>
    </row>
    <row r="2">
      <c r="A2" s="11" t="inlineStr">
        <is>
          <t>게임 타이틀 (25)</t>
        </is>
      </c>
      <c r="C2" s="11" t="inlineStr">
        <is>
          <t>고객팀</t>
        </is>
      </c>
      <c r="E2" s="11" t="inlineStr">
        <is>
          <t>유형</t>
        </is>
      </c>
      <c r="G2" s="11" t="inlineStr">
        <is>
          <t>상태</t>
        </is>
      </c>
      <c r="I2" s="12" t="inlineStr">
        <is>
          <t>운영 파라미터</t>
        </is>
      </c>
      <c r="J2" s="13" t="n"/>
    </row>
    <row r="3">
      <c r="A3" s="14" t="inlineStr">
        <is>
          <t>뱀피르</t>
        </is>
      </c>
      <c r="C3" s="14" t="inlineStr">
        <is>
          <t>마케팅1팀</t>
        </is>
      </c>
      <c r="E3" s="14" t="inlineStr">
        <is>
          <t>영상</t>
        </is>
      </c>
      <c r="G3" s="14" t="inlineStr">
        <is>
          <t>대기</t>
        </is>
      </c>
      <c r="I3" s="15" t="inlineStr">
        <is>
          <t>연도</t>
        </is>
      </c>
      <c r="J3" s="16" t="n">
        <v>2026</v>
      </c>
    </row>
    <row r="4">
      <c r="A4" s="14" t="inlineStr">
        <is>
          <t>RF 글로벌</t>
        </is>
      </c>
      <c r="C4" s="14" t="inlineStr">
        <is>
          <t>마케팅2팀</t>
        </is>
      </c>
      <c r="E4" s="14" t="inlineStr">
        <is>
          <t>영상+이미지</t>
        </is>
      </c>
      <c r="G4" s="14" t="inlineStr">
        <is>
          <t>진행</t>
        </is>
      </c>
      <c r="I4" s="15" t="inlineStr">
        <is>
          <t>월 가동일수</t>
        </is>
      </c>
      <c r="J4" s="16" t="n">
        <v>20</v>
      </c>
    </row>
    <row r="5">
      <c r="A5" s="14" t="inlineStr">
        <is>
          <t>SOL 인챈트</t>
        </is>
      </c>
      <c r="C5" s="14" t="inlineStr">
        <is>
          <t>마케팅3팀</t>
        </is>
      </c>
      <c r="E5" s="14" t="inlineStr">
        <is>
          <t>이미지</t>
        </is>
      </c>
      <c r="G5" s="14" t="inlineStr">
        <is>
          <t>검수</t>
        </is>
      </c>
      <c r="I5" s="15" t="inlineStr">
        <is>
          <t>1일=MD</t>
        </is>
      </c>
      <c r="J5" s="17" t="n">
        <v>1</v>
      </c>
    </row>
    <row r="6">
      <c r="A6" s="14" t="inlineStr">
        <is>
          <t>스톤에이지펫월드</t>
        </is>
      </c>
      <c r="C6" s="14" t="inlineStr">
        <is>
          <t>마케팅4팀</t>
        </is>
      </c>
      <c r="E6" s="14" t="inlineStr">
        <is>
          <t>베리</t>
        </is>
      </c>
      <c r="G6" s="14" t="inlineStr">
        <is>
          <t>완료</t>
        </is>
      </c>
    </row>
    <row r="7">
      <c r="A7" s="14" t="inlineStr">
        <is>
          <t>칠대죄오리진</t>
        </is>
      </c>
      <c r="C7" s="14" t="inlineStr">
        <is>
          <t>기타</t>
        </is>
      </c>
      <c r="E7" s="14" t="inlineStr">
        <is>
          <t>기획</t>
        </is>
      </c>
      <c r="I7" s="12" t="inlineStr">
        <is>
          <t>직군 일 TO 정원</t>
        </is>
      </c>
      <c r="J7" s="13" t="n"/>
    </row>
    <row r="8">
      <c r="A8" s="14" t="inlineStr">
        <is>
          <t>세나리버스</t>
        </is>
      </c>
      <c r="E8" s="14" t="inlineStr">
        <is>
          <t>기타</t>
        </is>
      </c>
      <c r="I8" s="18" t="inlineStr">
        <is>
          <t>영상</t>
        </is>
      </c>
      <c r="J8" s="19" t="n">
        <v>6</v>
      </c>
    </row>
    <row r="9">
      <c r="A9" s="14" t="inlineStr">
        <is>
          <t>몬길</t>
        </is>
      </c>
      <c r="I9" s="18" t="inlineStr">
        <is>
          <t>이미지</t>
        </is>
      </c>
      <c r="J9" s="19" t="n">
        <v>8</v>
      </c>
    </row>
    <row r="10">
      <c r="A10" s="14" t="inlineStr">
        <is>
          <t>왕겜(GOT)</t>
        </is>
      </c>
      <c r="I10" s="18" t="inlineStr">
        <is>
          <t>기획</t>
        </is>
      </c>
      <c r="J10" s="19" t="n">
        <v>3</v>
      </c>
    </row>
    <row r="11">
      <c r="A11" s="14" t="inlineStr">
        <is>
          <t>몬스터길들이기</t>
        </is>
      </c>
    </row>
    <row r="12">
      <c r="A12" s="14" t="inlineStr">
        <is>
          <t>라이즈오브</t>
        </is>
      </c>
    </row>
    <row r="13">
      <c r="A13" s="20" t="inlineStr"/>
    </row>
    <row r="14">
      <c r="A14" s="20" t="inlineStr"/>
    </row>
    <row r="15">
      <c r="A15" s="20" t="inlineStr"/>
    </row>
    <row r="16">
      <c r="A16" s="20" t="inlineStr"/>
    </row>
    <row r="17">
      <c r="A17" s="20" t="inlineStr"/>
    </row>
    <row r="18">
      <c r="A18" s="20" t="inlineStr"/>
    </row>
    <row r="19">
      <c r="A19" s="20" t="inlineStr"/>
    </row>
    <row r="20">
      <c r="A20" s="20" t="inlineStr"/>
    </row>
    <row r="21">
      <c r="A21" s="20" t="inlineStr"/>
    </row>
    <row r="22">
      <c r="A22" s="20" t="inlineStr"/>
    </row>
    <row r="23">
      <c r="A23" s="20" t="inlineStr"/>
    </row>
    <row r="24">
      <c r="A24" s="20" t="inlineStr"/>
    </row>
    <row r="25">
      <c r="A25" s="20" t="inlineStr"/>
    </row>
    <row r="26">
      <c r="A26" s="20" t="inlineStr"/>
    </row>
    <row r="27">
      <c r="A27" s="20" t="inlineStr"/>
    </row>
    <row r="30">
      <c r="A30" s="21" t="inlineStr">
        <is>
          <t>비나(VINA) 운영 시나리오 (참고)</t>
        </is>
      </c>
    </row>
    <row r="31">
      <c r="A31" s="22" t="inlineStr">
        <is>
          <t>방안 1</t>
        </is>
      </c>
      <c r="C31" s="23" t="inlineStr">
        <is>
          <t>기획+내부디자인+비나영상 - 비나 영상공수는 영상실 매출 귀속</t>
        </is>
      </c>
    </row>
    <row r="32">
      <c r="A32" s="22" t="inlineStr">
        <is>
          <t>방안 2</t>
        </is>
      </c>
      <c r="C32" s="23" t="inlineStr">
        <is>
          <t>비나=사이즈베리만 - 영상 베리는 디자인 흡수</t>
        </is>
      </c>
    </row>
    <row r="33">
      <c r="A33" s="22" t="inlineStr">
        <is>
          <t>방안 3</t>
        </is>
      </c>
      <c r="C33" s="23" t="inlineStr">
        <is>
          <t>비나 이미지TO 추가발주+추가비용</t>
        </is>
      </c>
    </row>
    <row r="34">
      <c r="A34" s="22" t="inlineStr">
        <is>
          <t>방안 4</t>
        </is>
      </c>
      <c r="C34" s="23" t="inlineStr">
        <is>
          <t>본사 프로세스 통합(이미지TO 추가X)</t>
        </is>
      </c>
    </row>
  </sheetData>
  <mergeCells count="6">
    <mergeCell ref="C34:J34"/>
    <mergeCell ref="C33:J33"/>
    <mergeCell ref="I7:J7"/>
    <mergeCell ref="I2:J2"/>
    <mergeCell ref="C32:J32"/>
    <mergeCell ref="C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24" t="inlineStr">
        <is>
          <t>연간요약 - 월별 / 상하반기 / 매월 누적</t>
        </is>
      </c>
    </row>
    <row r="3">
      <c r="B3" s="25" t="inlineStr">
        <is>
          <t>각 월 탭에서 직접 집계. 입력은 해당 월 탭에서.</t>
        </is>
      </c>
    </row>
    <row r="5">
      <c r="B5" s="11" t="inlineStr">
        <is>
          <t>월</t>
        </is>
      </c>
      <c r="C5" s="11" t="inlineStr">
        <is>
          <t>영상MD</t>
        </is>
      </c>
      <c r="D5" s="11" t="inlineStr">
        <is>
          <t>이미지MD</t>
        </is>
      </c>
      <c r="E5" s="11" t="inlineStr">
        <is>
          <t>기획MD</t>
        </is>
      </c>
      <c r="F5" s="11" t="inlineStr">
        <is>
          <t>합계MD</t>
        </is>
      </c>
      <c r="G5" s="11" t="inlineStr">
        <is>
          <t>누적MD</t>
        </is>
      </c>
      <c r="H5" s="11" t="inlineStr">
        <is>
          <t>영상수</t>
        </is>
      </c>
      <c r="I5" s="11" t="inlineStr">
        <is>
          <t>사이즈베리</t>
        </is>
      </c>
      <c r="J5" s="11" t="inlineStr">
        <is>
          <t>다국어베리</t>
        </is>
      </c>
      <c r="K5" s="11" t="inlineStr">
        <is>
          <t>가동률</t>
        </is>
      </c>
    </row>
    <row r="6">
      <c r="B6" s="22" t="inlineStr">
        <is>
          <t>1월</t>
        </is>
      </c>
      <c r="C6" s="26">
        <f>SUM('1월'!L8:L57)</f>
        <v/>
      </c>
      <c r="D6" s="26">
        <f>SUM('1월'!N8:N57)</f>
        <v/>
      </c>
      <c r="E6" s="26">
        <f>SUM('1월'!P8:P57)</f>
        <v/>
      </c>
      <c r="F6" s="26">
        <f>SUM(C6:E6)</f>
        <v/>
      </c>
      <c r="G6" s="26">
        <f>SUM($F$6:F6)</f>
        <v/>
      </c>
      <c r="H6" s="26">
        <f>SUM('1월'!H8:H57)</f>
        <v/>
      </c>
      <c r="I6" s="26">
        <f>SUM('1월'!I8:I57)</f>
        <v/>
      </c>
      <c r="J6" s="26">
        <f>SUM('1월'!J8:J57)</f>
        <v/>
      </c>
      <c r="K6" s="27">
        <f>IFERROR(F6/(SUM('마스터'!$J$8:$J$10)*'마스터'!$J$4),0)</f>
        <v/>
      </c>
    </row>
    <row r="7">
      <c r="B7" s="22" t="inlineStr">
        <is>
          <t>2월</t>
        </is>
      </c>
      <c r="C7" s="26">
        <f>SUM('2월'!L8:L57)</f>
        <v/>
      </c>
      <c r="D7" s="26">
        <f>SUM('2월'!N8:N57)</f>
        <v/>
      </c>
      <c r="E7" s="26">
        <f>SUM('2월'!P8:P57)</f>
        <v/>
      </c>
      <c r="F7" s="26">
        <f>SUM(C7:E7)</f>
        <v/>
      </c>
      <c r="G7" s="26">
        <f>SUM($F$6:F7)</f>
        <v/>
      </c>
      <c r="H7" s="26">
        <f>SUM('2월'!H8:H57)</f>
        <v/>
      </c>
      <c r="I7" s="26">
        <f>SUM('2월'!I8:I57)</f>
        <v/>
      </c>
      <c r="J7" s="26">
        <f>SUM('2월'!J8:J57)</f>
        <v/>
      </c>
      <c r="K7" s="27">
        <f>IFERROR(F7/(SUM('마스터'!$J$8:$J$10)*'마스터'!$J$4),0)</f>
        <v/>
      </c>
    </row>
    <row r="8">
      <c r="B8" s="22" t="inlineStr">
        <is>
          <t>3월</t>
        </is>
      </c>
      <c r="C8" s="26">
        <f>SUM('3월'!L8:L57)</f>
        <v/>
      </c>
      <c r="D8" s="26">
        <f>SUM('3월'!N8:N57)</f>
        <v/>
      </c>
      <c r="E8" s="26">
        <f>SUM('3월'!P8:P57)</f>
        <v/>
      </c>
      <c r="F8" s="26">
        <f>SUM(C8:E8)</f>
        <v/>
      </c>
      <c r="G8" s="26">
        <f>SUM($F$6:F8)</f>
        <v/>
      </c>
      <c r="H8" s="26">
        <f>SUM('3월'!H8:H57)</f>
        <v/>
      </c>
      <c r="I8" s="26">
        <f>SUM('3월'!I8:I57)</f>
        <v/>
      </c>
      <c r="J8" s="26">
        <f>SUM('3월'!J8:J57)</f>
        <v/>
      </c>
      <c r="K8" s="27">
        <f>IFERROR(F8/(SUM('마스터'!$J$8:$J$10)*'마스터'!$J$4),0)</f>
        <v/>
      </c>
    </row>
    <row r="9">
      <c r="B9" s="22" t="inlineStr">
        <is>
          <t>4월</t>
        </is>
      </c>
      <c r="C9" s="26">
        <f>SUM('4월'!L8:L57)</f>
        <v/>
      </c>
      <c r="D9" s="26">
        <f>SUM('4월'!N8:N57)</f>
        <v/>
      </c>
      <c r="E9" s="26">
        <f>SUM('4월'!P8:P57)</f>
        <v/>
      </c>
      <c r="F9" s="26">
        <f>SUM(C9:E9)</f>
        <v/>
      </c>
      <c r="G9" s="26">
        <f>SUM($F$6:F9)</f>
        <v/>
      </c>
      <c r="H9" s="26">
        <f>SUM('4월'!H8:H57)</f>
        <v/>
      </c>
      <c r="I9" s="26">
        <f>SUM('4월'!I8:I57)</f>
        <v/>
      </c>
      <c r="J9" s="26">
        <f>SUM('4월'!J8:J57)</f>
        <v/>
      </c>
      <c r="K9" s="27">
        <f>IFERROR(F9/(SUM('마스터'!$J$8:$J$10)*'마스터'!$J$4),0)</f>
        <v/>
      </c>
    </row>
    <row r="10">
      <c r="B10" s="22" t="inlineStr">
        <is>
          <t>5월</t>
        </is>
      </c>
      <c r="C10" s="26">
        <f>SUM('5월'!L8:L57)</f>
        <v/>
      </c>
      <c r="D10" s="26">
        <f>SUM('5월'!N8:N57)</f>
        <v/>
      </c>
      <c r="E10" s="26">
        <f>SUM('5월'!P8:P57)</f>
        <v/>
      </c>
      <c r="F10" s="26">
        <f>SUM(C10:E10)</f>
        <v/>
      </c>
      <c r="G10" s="26">
        <f>SUM($F$6:F10)</f>
        <v/>
      </c>
      <c r="H10" s="26">
        <f>SUM('5월'!H8:H57)</f>
        <v/>
      </c>
      <c r="I10" s="26">
        <f>SUM('5월'!I8:I57)</f>
        <v/>
      </c>
      <c r="J10" s="26">
        <f>SUM('5월'!J8:J57)</f>
        <v/>
      </c>
      <c r="K10" s="27">
        <f>IFERROR(F10/(SUM('마스터'!$J$8:$J$10)*'마스터'!$J$4),0)</f>
        <v/>
      </c>
    </row>
    <row r="11">
      <c r="B11" s="22" t="inlineStr">
        <is>
          <t>6월</t>
        </is>
      </c>
      <c r="C11" s="26">
        <f>SUM('6월'!L8:L57)</f>
        <v/>
      </c>
      <c r="D11" s="26">
        <f>SUM('6월'!N8:N57)</f>
        <v/>
      </c>
      <c r="E11" s="26">
        <f>SUM('6월'!P8:P57)</f>
        <v/>
      </c>
      <c r="F11" s="26">
        <f>SUM(C11:E11)</f>
        <v/>
      </c>
      <c r="G11" s="26">
        <f>SUM($F$6:F11)</f>
        <v/>
      </c>
      <c r="H11" s="26">
        <f>SUM('6월'!H8:H57)</f>
        <v/>
      </c>
      <c r="I11" s="26">
        <f>SUM('6월'!I8:I57)</f>
        <v/>
      </c>
      <c r="J11" s="26">
        <f>SUM('6월'!J8:J57)</f>
        <v/>
      </c>
      <c r="K11" s="27">
        <f>IFERROR(F11/(SUM('마스터'!$J$8:$J$10)*'마스터'!$J$4),0)</f>
        <v/>
      </c>
    </row>
    <row r="12">
      <c r="B12" s="22" t="inlineStr">
        <is>
          <t>7월</t>
        </is>
      </c>
      <c r="C12" s="26">
        <f>SUM('7월'!L8:L57)</f>
        <v/>
      </c>
      <c r="D12" s="26">
        <f>SUM('7월'!N8:N57)</f>
        <v/>
      </c>
      <c r="E12" s="26">
        <f>SUM('7월'!P8:P57)</f>
        <v/>
      </c>
      <c r="F12" s="26">
        <f>SUM(C12:E12)</f>
        <v/>
      </c>
      <c r="G12" s="26">
        <f>SUM($F$6:F12)</f>
        <v/>
      </c>
      <c r="H12" s="26">
        <f>SUM('7월'!H8:H57)</f>
        <v/>
      </c>
      <c r="I12" s="26">
        <f>SUM('7월'!I8:I57)</f>
        <v/>
      </c>
      <c r="J12" s="26">
        <f>SUM('7월'!J8:J57)</f>
        <v/>
      </c>
      <c r="K12" s="27">
        <f>IFERROR(F12/(SUM('마스터'!$J$8:$J$10)*'마스터'!$J$4),0)</f>
        <v/>
      </c>
    </row>
    <row r="13">
      <c r="B13" s="22" t="inlineStr">
        <is>
          <t>8월</t>
        </is>
      </c>
      <c r="C13" s="26">
        <f>SUM('8월'!L8:L57)</f>
        <v/>
      </c>
      <c r="D13" s="26">
        <f>SUM('8월'!N8:N57)</f>
        <v/>
      </c>
      <c r="E13" s="26">
        <f>SUM('8월'!P8:P57)</f>
        <v/>
      </c>
      <c r="F13" s="26">
        <f>SUM(C13:E13)</f>
        <v/>
      </c>
      <c r="G13" s="26">
        <f>SUM($F$6:F13)</f>
        <v/>
      </c>
      <c r="H13" s="26">
        <f>SUM('8월'!H8:H57)</f>
        <v/>
      </c>
      <c r="I13" s="26">
        <f>SUM('8월'!I8:I57)</f>
        <v/>
      </c>
      <c r="J13" s="26">
        <f>SUM('8월'!J8:J57)</f>
        <v/>
      </c>
      <c r="K13" s="27">
        <f>IFERROR(F13/(SUM('마스터'!$J$8:$J$10)*'마스터'!$J$4),0)</f>
        <v/>
      </c>
    </row>
    <row r="14">
      <c r="B14" s="22" t="inlineStr">
        <is>
          <t>9월</t>
        </is>
      </c>
      <c r="C14" s="26">
        <f>SUM('9월'!L8:L57)</f>
        <v/>
      </c>
      <c r="D14" s="26">
        <f>SUM('9월'!N8:N57)</f>
        <v/>
      </c>
      <c r="E14" s="26">
        <f>SUM('9월'!P8:P57)</f>
        <v/>
      </c>
      <c r="F14" s="26">
        <f>SUM(C14:E14)</f>
        <v/>
      </c>
      <c r="G14" s="26">
        <f>SUM($F$6:F14)</f>
        <v/>
      </c>
      <c r="H14" s="26">
        <f>SUM('9월'!H8:H57)</f>
        <v/>
      </c>
      <c r="I14" s="26">
        <f>SUM('9월'!I8:I57)</f>
        <v/>
      </c>
      <c r="J14" s="26">
        <f>SUM('9월'!J8:J57)</f>
        <v/>
      </c>
      <c r="K14" s="27">
        <f>IFERROR(F14/(SUM('마스터'!$J$8:$J$10)*'마스터'!$J$4),0)</f>
        <v/>
      </c>
    </row>
    <row r="15">
      <c r="B15" s="22" t="inlineStr">
        <is>
          <t>10월</t>
        </is>
      </c>
      <c r="C15" s="26">
        <f>SUM('10월'!L8:L57)</f>
        <v/>
      </c>
      <c r="D15" s="26">
        <f>SUM('10월'!N8:N57)</f>
        <v/>
      </c>
      <c r="E15" s="26">
        <f>SUM('10월'!P8:P57)</f>
        <v/>
      </c>
      <c r="F15" s="26">
        <f>SUM(C15:E15)</f>
        <v/>
      </c>
      <c r="G15" s="26">
        <f>SUM($F$6:F15)</f>
        <v/>
      </c>
      <c r="H15" s="26">
        <f>SUM('10월'!H8:H57)</f>
        <v/>
      </c>
      <c r="I15" s="26">
        <f>SUM('10월'!I8:I57)</f>
        <v/>
      </c>
      <c r="J15" s="26">
        <f>SUM('10월'!J8:J57)</f>
        <v/>
      </c>
      <c r="K15" s="27">
        <f>IFERROR(F15/(SUM('마스터'!$J$8:$J$10)*'마스터'!$J$4),0)</f>
        <v/>
      </c>
    </row>
    <row r="16">
      <c r="B16" s="22" t="inlineStr">
        <is>
          <t>11월</t>
        </is>
      </c>
      <c r="C16" s="26">
        <f>SUM('11월'!L8:L57)</f>
        <v/>
      </c>
      <c r="D16" s="26">
        <f>SUM('11월'!N8:N57)</f>
        <v/>
      </c>
      <c r="E16" s="26">
        <f>SUM('11월'!P8:P57)</f>
        <v/>
      </c>
      <c r="F16" s="26">
        <f>SUM(C16:E16)</f>
        <v/>
      </c>
      <c r="G16" s="26">
        <f>SUM($F$6:F16)</f>
        <v/>
      </c>
      <c r="H16" s="26">
        <f>SUM('11월'!H8:H57)</f>
        <v/>
      </c>
      <c r="I16" s="26">
        <f>SUM('11월'!I8:I57)</f>
        <v/>
      </c>
      <c r="J16" s="26">
        <f>SUM('11월'!J8:J57)</f>
        <v/>
      </c>
      <c r="K16" s="27">
        <f>IFERROR(F16/(SUM('마스터'!$J$8:$J$10)*'마스터'!$J$4),0)</f>
        <v/>
      </c>
    </row>
    <row r="17">
      <c r="B17" s="22" t="inlineStr">
        <is>
          <t>12월</t>
        </is>
      </c>
      <c r="C17" s="26">
        <f>SUM('12월'!L8:L57)</f>
        <v/>
      </c>
      <c r="D17" s="26">
        <f>SUM('12월'!N8:N57)</f>
        <v/>
      </c>
      <c r="E17" s="26">
        <f>SUM('12월'!P8:P57)</f>
        <v/>
      </c>
      <c r="F17" s="26">
        <f>SUM(C17:E17)</f>
        <v/>
      </c>
      <c r="G17" s="26">
        <f>SUM($F$6:F17)</f>
        <v/>
      </c>
      <c r="H17" s="26">
        <f>SUM('12월'!H8:H57)</f>
        <v/>
      </c>
      <c r="I17" s="26">
        <f>SUM('12월'!I8:I57)</f>
        <v/>
      </c>
      <c r="J17" s="26">
        <f>SUM('12월'!J8:J57)</f>
        <v/>
      </c>
      <c r="K17" s="27">
        <f>IFERROR(F17/(SUM('마스터'!$J$8:$J$10)*'마스터'!$J$4),0)</f>
        <v/>
      </c>
    </row>
    <row r="18">
      <c r="B18" s="28" t="inlineStr">
        <is>
          <t>상반기(1-6)</t>
        </is>
      </c>
      <c r="C18" s="29">
        <f>SUM(C6:C11)</f>
        <v/>
      </c>
      <c r="D18" s="29">
        <f>SUM(D6:D11)</f>
        <v/>
      </c>
      <c r="E18" s="29">
        <f>SUM(E6:E11)</f>
        <v/>
      </c>
      <c r="F18" s="29">
        <f>SUM(F6:F11)</f>
        <v/>
      </c>
      <c r="G18" s="30" t="inlineStr"/>
      <c r="H18" s="29">
        <f>SUM(H6:H11)</f>
        <v/>
      </c>
      <c r="I18" s="29">
        <f>SUM(I6:I11)</f>
        <v/>
      </c>
      <c r="J18" s="29">
        <f>SUM(J6:J11)</f>
        <v/>
      </c>
      <c r="K18" s="31">
        <f>IFERROR(F18/(SUM('마스터'!$J$8:$J$10)*'마스터'!$J$4*(11-6+1)),0)</f>
        <v/>
      </c>
    </row>
    <row r="19">
      <c r="B19" s="28" t="inlineStr">
        <is>
          <t>하반기(7-12)</t>
        </is>
      </c>
      <c r="C19" s="29">
        <f>SUM(C12:C17)</f>
        <v/>
      </c>
      <c r="D19" s="29">
        <f>SUM(D12:D17)</f>
        <v/>
      </c>
      <c r="E19" s="29">
        <f>SUM(E12:E17)</f>
        <v/>
      </c>
      <c r="F19" s="29">
        <f>SUM(F12:F17)</f>
        <v/>
      </c>
      <c r="G19" s="30" t="inlineStr"/>
      <c r="H19" s="29">
        <f>SUM(H12:H17)</f>
        <v/>
      </c>
      <c r="I19" s="29">
        <f>SUM(I12:I17)</f>
        <v/>
      </c>
      <c r="J19" s="29">
        <f>SUM(J12:J17)</f>
        <v/>
      </c>
      <c r="K19" s="31">
        <f>IFERROR(F19/(SUM('마스터'!$J$8:$J$10)*'마스터'!$J$4*(17-12+1)),0)</f>
        <v/>
      </c>
    </row>
    <row r="20">
      <c r="B20" s="28" t="inlineStr">
        <is>
          <t>연간 합계</t>
        </is>
      </c>
      <c r="C20" s="29">
        <f>SUM(C6:C17)</f>
        <v/>
      </c>
      <c r="D20" s="29">
        <f>SUM(D6:D17)</f>
        <v/>
      </c>
      <c r="E20" s="29">
        <f>SUM(E6:E17)</f>
        <v/>
      </c>
      <c r="F20" s="29">
        <f>SUM(F6:F17)</f>
        <v/>
      </c>
      <c r="G20" s="30" t="inlineStr"/>
      <c r="H20" s="29">
        <f>SUM(H6:H17)</f>
        <v/>
      </c>
      <c r="I20" s="29">
        <f>SUM(I6:I17)</f>
        <v/>
      </c>
      <c r="J20" s="29">
        <f>SUM(J6:J17)</f>
        <v/>
      </c>
      <c r="K20" s="31">
        <f>IFERROR(F20/(SUM('마스터'!$J$8:$J$10)*'마스터'!$J$4*(17-6+1)),0)</f>
        <v/>
      </c>
    </row>
    <row r="23">
      <c r="B23" s="21" t="inlineStr">
        <is>
          <t>고객팀 x 유형 (연간 건수)</t>
        </is>
      </c>
      <c r="H23" s="21" t="inlineStr">
        <is>
          <t>게임타이틀별 (연간)</t>
        </is>
      </c>
    </row>
    <row r="24">
      <c r="B24" s="32" t="inlineStr">
        <is>
          <t>팀\유형</t>
        </is>
      </c>
      <c r="C24" s="32" t="inlineStr">
        <is>
          <t>영상</t>
        </is>
      </c>
      <c r="D24" s="32" t="inlineStr">
        <is>
          <t>이미지</t>
        </is>
      </c>
      <c r="E24" s="32" t="inlineStr">
        <is>
          <t>기획</t>
        </is>
      </c>
      <c r="H24" s="32" t="inlineStr">
        <is>
          <t>타이틀</t>
        </is>
      </c>
      <c r="I24" s="32" t="inlineStr">
        <is>
          <t>건수</t>
        </is>
      </c>
      <c r="J24" s="32" t="inlineStr">
        <is>
          <t>MD</t>
        </is>
      </c>
    </row>
    <row r="25">
      <c r="B25" s="33" t="inlineStr">
        <is>
          <t>마케팅1팀</t>
        </is>
      </c>
      <c r="C25" s="34">
        <f>COUNTIFS('1월'!$C$8:$C$57,$B25,'1월'!$D$8:$D$57,C$24)+COUNTIFS('2월'!$C$8:$C$57,$B25,'2월'!$D$8:$D$57,C$24)+COUNTIFS('3월'!$C$8:$C$57,$B25,'3월'!$D$8:$D$57,C$24)+COUNTIFS('4월'!$C$8:$C$57,$B25,'4월'!$D$8:$D$57,C$24)+COUNTIFS('5월'!$C$8:$C$57,$B25,'5월'!$D$8:$D$57,C$24)+COUNTIFS('6월'!$C$8:$C$57,$B25,'6월'!$D$8:$D$57,C$24)+COUNTIFS('7월'!$C$8:$C$57,$B25,'7월'!$D$8:$D$57,C$24)+COUNTIFS('8월'!$C$8:$C$57,$B25,'8월'!$D$8:$D$57,C$24)+COUNTIFS('9월'!$C$8:$C$57,$B25,'9월'!$D$8:$D$57,C$24)+COUNTIFS('10월'!$C$8:$C$57,$B25,'10월'!$D$8:$D$57,C$24)+COUNTIFS('11월'!$C$8:$C$57,$B25,'11월'!$D$8:$D$57,C$24)+COUNTIFS('12월'!$C$8:$C$57,$B25,'12월'!$D$8:$D$57,C$24)</f>
        <v/>
      </c>
      <c r="D25" s="34">
        <f>COUNTIFS('1월'!$C$8:$C$57,$B25,'1월'!$D$8:$D$57,D$24)+COUNTIFS('2월'!$C$8:$C$57,$B25,'2월'!$D$8:$D$57,D$24)+COUNTIFS('3월'!$C$8:$C$57,$B25,'3월'!$D$8:$D$57,D$24)+COUNTIFS('4월'!$C$8:$C$57,$B25,'4월'!$D$8:$D$57,D$24)+COUNTIFS('5월'!$C$8:$C$57,$B25,'5월'!$D$8:$D$57,D$24)+COUNTIFS('6월'!$C$8:$C$57,$B25,'6월'!$D$8:$D$57,D$24)+COUNTIFS('7월'!$C$8:$C$57,$B25,'7월'!$D$8:$D$57,D$24)+COUNTIFS('8월'!$C$8:$C$57,$B25,'8월'!$D$8:$D$57,D$24)+COUNTIFS('9월'!$C$8:$C$57,$B25,'9월'!$D$8:$D$57,D$24)+COUNTIFS('10월'!$C$8:$C$57,$B25,'10월'!$D$8:$D$57,D$24)+COUNTIFS('11월'!$C$8:$C$57,$B25,'11월'!$D$8:$D$57,D$24)+COUNTIFS('12월'!$C$8:$C$57,$B25,'12월'!$D$8:$D$57,D$24)</f>
        <v/>
      </c>
      <c r="E25" s="34">
        <f>COUNTIFS('1월'!$C$8:$C$57,$B25,'1월'!$D$8:$D$57,E$24)+COUNTIFS('2월'!$C$8:$C$57,$B25,'2월'!$D$8:$D$57,E$24)+COUNTIFS('3월'!$C$8:$C$57,$B25,'3월'!$D$8:$D$57,E$24)+COUNTIFS('4월'!$C$8:$C$57,$B25,'4월'!$D$8:$D$57,E$24)+COUNTIFS('5월'!$C$8:$C$57,$B25,'5월'!$D$8:$D$57,E$24)+COUNTIFS('6월'!$C$8:$C$57,$B25,'6월'!$D$8:$D$57,E$24)+COUNTIFS('7월'!$C$8:$C$57,$B25,'7월'!$D$8:$D$57,E$24)+COUNTIFS('8월'!$C$8:$C$57,$B25,'8월'!$D$8:$D$57,E$24)+COUNTIFS('9월'!$C$8:$C$57,$B25,'9월'!$D$8:$D$57,E$24)+COUNTIFS('10월'!$C$8:$C$57,$B25,'10월'!$D$8:$D$57,E$24)+COUNTIFS('11월'!$C$8:$C$57,$B25,'11월'!$D$8:$D$57,E$24)+COUNTIFS('12월'!$C$8:$C$57,$B25,'12월'!$D$8:$D$57,E$24)</f>
        <v/>
      </c>
      <c r="H25" s="33" t="inlineStr">
        <is>
          <t>뱀피르</t>
        </is>
      </c>
      <c r="I25" s="34">
        <f>COUNTIF('1월'!$B$8:$B$57,$H25)+COUNTIF('2월'!$B$8:$B$57,$H25)+COUNTIF('3월'!$B$8:$B$57,$H25)+COUNTIF('4월'!$B$8:$B$57,$H25)+COUNTIF('5월'!$B$8:$B$57,$H25)+COUNTIF('6월'!$B$8:$B$57,$H25)+COUNTIF('7월'!$B$8:$B$57,$H25)+COUNTIF('8월'!$B$8:$B$57,$H25)+COUNTIF('9월'!$B$8:$B$57,$H25)+COUNTIF('10월'!$B$8:$B$57,$H25)+COUNTIF('11월'!$B$8:$B$57,$H25)+COUNTIF('12월'!$B$8:$B$57,$H25)</f>
        <v/>
      </c>
      <c r="J25" s="35">
        <f>SUMIF('1월'!$B$8:$B$57,$H25,'1월'!$Q$8:$Q$57)+SUMIF('2월'!$B$8:$B$57,$H25,'2월'!$Q$8:$Q$57)+SUMIF('3월'!$B$8:$B$57,$H25,'3월'!$Q$8:$Q$57)+SUMIF('4월'!$B$8:$B$57,$H25,'4월'!$Q$8:$Q$57)+SUMIF('5월'!$B$8:$B$57,$H25,'5월'!$Q$8:$Q$57)+SUMIF('6월'!$B$8:$B$57,$H25,'6월'!$Q$8:$Q$57)+SUMIF('7월'!$B$8:$B$57,$H25,'7월'!$Q$8:$Q$57)+SUMIF('8월'!$B$8:$B$57,$H25,'8월'!$Q$8:$Q$57)+SUMIF('9월'!$B$8:$B$57,$H25,'9월'!$Q$8:$Q$57)+SUMIF('10월'!$B$8:$B$57,$H25,'10월'!$Q$8:$Q$57)+SUMIF('11월'!$B$8:$B$57,$H25,'11월'!$Q$8:$Q$57)+SUMIF('12월'!$B$8:$B$57,$H25,'12월'!$Q$8:$Q$57)</f>
        <v/>
      </c>
    </row>
    <row r="26">
      <c r="B26" s="33" t="inlineStr">
        <is>
          <t>마케팅2팀</t>
        </is>
      </c>
      <c r="C26" s="34">
        <f>COUNTIFS('1월'!$C$8:$C$57,$B26,'1월'!$D$8:$D$57,C$24)+COUNTIFS('2월'!$C$8:$C$57,$B26,'2월'!$D$8:$D$57,C$24)+COUNTIFS('3월'!$C$8:$C$57,$B26,'3월'!$D$8:$D$57,C$24)+COUNTIFS('4월'!$C$8:$C$57,$B26,'4월'!$D$8:$D$57,C$24)+COUNTIFS('5월'!$C$8:$C$57,$B26,'5월'!$D$8:$D$57,C$24)+COUNTIFS('6월'!$C$8:$C$57,$B26,'6월'!$D$8:$D$57,C$24)+COUNTIFS('7월'!$C$8:$C$57,$B26,'7월'!$D$8:$D$57,C$24)+COUNTIFS('8월'!$C$8:$C$57,$B26,'8월'!$D$8:$D$57,C$24)+COUNTIFS('9월'!$C$8:$C$57,$B26,'9월'!$D$8:$D$57,C$24)+COUNTIFS('10월'!$C$8:$C$57,$B26,'10월'!$D$8:$D$57,C$24)+COUNTIFS('11월'!$C$8:$C$57,$B26,'11월'!$D$8:$D$57,C$24)+COUNTIFS('12월'!$C$8:$C$57,$B26,'12월'!$D$8:$D$57,C$24)</f>
        <v/>
      </c>
      <c r="D26" s="34">
        <f>COUNTIFS('1월'!$C$8:$C$57,$B26,'1월'!$D$8:$D$57,D$24)+COUNTIFS('2월'!$C$8:$C$57,$B26,'2월'!$D$8:$D$57,D$24)+COUNTIFS('3월'!$C$8:$C$57,$B26,'3월'!$D$8:$D$57,D$24)+COUNTIFS('4월'!$C$8:$C$57,$B26,'4월'!$D$8:$D$57,D$24)+COUNTIFS('5월'!$C$8:$C$57,$B26,'5월'!$D$8:$D$57,D$24)+COUNTIFS('6월'!$C$8:$C$57,$B26,'6월'!$D$8:$D$57,D$24)+COUNTIFS('7월'!$C$8:$C$57,$B26,'7월'!$D$8:$D$57,D$24)+COUNTIFS('8월'!$C$8:$C$57,$B26,'8월'!$D$8:$D$57,D$24)+COUNTIFS('9월'!$C$8:$C$57,$B26,'9월'!$D$8:$D$57,D$24)+COUNTIFS('10월'!$C$8:$C$57,$B26,'10월'!$D$8:$D$57,D$24)+COUNTIFS('11월'!$C$8:$C$57,$B26,'11월'!$D$8:$D$57,D$24)+COUNTIFS('12월'!$C$8:$C$57,$B26,'12월'!$D$8:$D$57,D$24)</f>
        <v/>
      </c>
      <c r="E26" s="34">
        <f>COUNTIFS('1월'!$C$8:$C$57,$B26,'1월'!$D$8:$D$57,E$24)+COUNTIFS('2월'!$C$8:$C$57,$B26,'2월'!$D$8:$D$57,E$24)+COUNTIFS('3월'!$C$8:$C$57,$B26,'3월'!$D$8:$D$57,E$24)+COUNTIFS('4월'!$C$8:$C$57,$B26,'4월'!$D$8:$D$57,E$24)+COUNTIFS('5월'!$C$8:$C$57,$B26,'5월'!$D$8:$D$57,E$24)+COUNTIFS('6월'!$C$8:$C$57,$B26,'6월'!$D$8:$D$57,E$24)+COUNTIFS('7월'!$C$8:$C$57,$B26,'7월'!$D$8:$D$57,E$24)+COUNTIFS('8월'!$C$8:$C$57,$B26,'8월'!$D$8:$D$57,E$24)+COUNTIFS('9월'!$C$8:$C$57,$B26,'9월'!$D$8:$D$57,E$24)+COUNTIFS('10월'!$C$8:$C$57,$B26,'10월'!$D$8:$D$57,E$24)+COUNTIFS('11월'!$C$8:$C$57,$B26,'11월'!$D$8:$D$57,E$24)+COUNTIFS('12월'!$C$8:$C$57,$B26,'12월'!$D$8:$D$57,E$24)</f>
        <v/>
      </c>
      <c r="H26" s="33" t="inlineStr">
        <is>
          <t>RF 글로벌</t>
        </is>
      </c>
      <c r="I26" s="34">
        <f>COUNTIF('1월'!$B$8:$B$57,$H26)+COUNTIF('2월'!$B$8:$B$57,$H26)+COUNTIF('3월'!$B$8:$B$57,$H26)+COUNTIF('4월'!$B$8:$B$57,$H26)+COUNTIF('5월'!$B$8:$B$57,$H26)+COUNTIF('6월'!$B$8:$B$57,$H26)+COUNTIF('7월'!$B$8:$B$57,$H26)+COUNTIF('8월'!$B$8:$B$57,$H26)+COUNTIF('9월'!$B$8:$B$57,$H26)+COUNTIF('10월'!$B$8:$B$57,$H26)+COUNTIF('11월'!$B$8:$B$57,$H26)+COUNTIF('12월'!$B$8:$B$57,$H26)</f>
        <v/>
      </c>
      <c r="J26" s="35">
        <f>SUMIF('1월'!$B$8:$B$57,$H26,'1월'!$Q$8:$Q$57)+SUMIF('2월'!$B$8:$B$57,$H26,'2월'!$Q$8:$Q$57)+SUMIF('3월'!$B$8:$B$57,$H26,'3월'!$Q$8:$Q$57)+SUMIF('4월'!$B$8:$B$57,$H26,'4월'!$Q$8:$Q$57)+SUMIF('5월'!$B$8:$B$57,$H26,'5월'!$Q$8:$Q$57)+SUMIF('6월'!$B$8:$B$57,$H26,'6월'!$Q$8:$Q$57)+SUMIF('7월'!$B$8:$B$57,$H26,'7월'!$Q$8:$Q$57)+SUMIF('8월'!$B$8:$B$57,$H26,'8월'!$Q$8:$Q$57)+SUMIF('9월'!$B$8:$B$57,$H26,'9월'!$Q$8:$Q$57)+SUMIF('10월'!$B$8:$B$57,$H26,'10월'!$Q$8:$Q$57)+SUMIF('11월'!$B$8:$B$57,$H26,'11월'!$Q$8:$Q$57)+SUMIF('12월'!$B$8:$B$57,$H26,'12월'!$Q$8:$Q$57)</f>
        <v/>
      </c>
    </row>
    <row r="27">
      <c r="B27" s="33" t="inlineStr">
        <is>
          <t>마케팅3팀</t>
        </is>
      </c>
      <c r="C27" s="34">
        <f>COUNTIFS('1월'!$C$8:$C$57,$B27,'1월'!$D$8:$D$57,C$24)+COUNTIFS('2월'!$C$8:$C$57,$B27,'2월'!$D$8:$D$57,C$24)+COUNTIFS('3월'!$C$8:$C$57,$B27,'3월'!$D$8:$D$57,C$24)+COUNTIFS('4월'!$C$8:$C$57,$B27,'4월'!$D$8:$D$57,C$24)+COUNTIFS('5월'!$C$8:$C$57,$B27,'5월'!$D$8:$D$57,C$24)+COUNTIFS('6월'!$C$8:$C$57,$B27,'6월'!$D$8:$D$57,C$24)+COUNTIFS('7월'!$C$8:$C$57,$B27,'7월'!$D$8:$D$57,C$24)+COUNTIFS('8월'!$C$8:$C$57,$B27,'8월'!$D$8:$D$57,C$24)+COUNTIFS('9월'!$C$8:$C$57,$B27,'9월'!$D$8:$D$57,C$24)+COUNTIFS('10월'!$C$8:$C$57,$B27,'10월'!$D$8:$D$57,C$24)+COUNTIFS('11월'!$C$8:$C$57,$B27,'11월'!$D$8:$D$57,C$24)+COUNTIFS('12월'!$C$8:$C$57,$B27,'12월'!$D$8:$D$57,C$24)</f>
        <v/>
      </c>
      <c r="D27" s="34">
        <f>COUNTIFS('1월'!$C$8:$C$57,$B27,'1월'!$D$8:$D$57,D$24)+COUNTIFS('2월'!$C$8:$C$57,$B27,'2월'!$D$8:$D$57,D$24)+COUNTIFS('3월'!$C$8:$C$57,$B27,'3월'!$D$8:$D$57,D$24)+COUNTIFS('4월'!$C$8:$C$57,$B27,'4월'!$D$8:$D$57,D$24)+COUNTIFS('5월'!$C$8:$C$57,$B27,'5월'!$D$8:$D$57,D$24)+COUNTIFS('6월'!$C$8:$C$57,$B27,'6월'!$D$8:$D$57,D$24)+COUNTIFS('7월'!$C$8:$C$57,$B27,'7월'!$D$8:$D$57,D$24)+COUNTIFS('8월'!$C$8:$C$57,$B27,'8월'!$D$8:$D$57,D$24)+COUNTIFS('9월'!$C$8:$C$57,$B27,'9월'!$D$8:$D$57,D$24)+COUNTIFS('10월'!$C$8:$C$57,$B27,'10월'!$D$8:$D$57,D$24)+COUNTIFS('11월'!$C$8:$C$57,$B27,'11월'!$D$8:$D$57,D$24)+COUNTIFS('12월'!$C$8:$C$57,$B27,'12월'!$D$8:$D$57,D$24)</f>
        <v/>
      </c>
      <c r="E27" s="34">
        <f>COUNTIFS('1월'!$C$8:$C$57,$B27,'1월'!$D$8:$D$57,E$24)+COUNTIFS('2월'!$C$8:$C$57,$B27,'2월'!$D$8:$D$57,E$24)+COUNTIFS('3월'!$C$8:$C$57,$B27,'3월'!$D$8:$D$57,E$24)+COUNTIFS('4월'!$C$8:$C$57,$B27,'4월'!$D$8:$D$57,E$24)+COUNTIFS('5월'!$C$8:$C$57,$B27,'5월'!$D$8:$D$57,E$24)+COUNTIFS('6월'!$C$8:$C$57,$B27,'6월'!$D$8:$D$57,E$24)+COUNTIFS('7월'!$C$8:$C$57,$B27,'7월'!$D$8:$D$57,E$24)+COUNTIFS('8월'!$C$8:$C$57,$B27,'8월'!$D$8:$D$57,E$24)+COUNTIFS('9월'!$C$8:$C$57,$B27,'9월'!$D$8:$D$57,E$24)+COUNTIFS('10월'!$C$8:$C$57,$B27,'10월'!$D$8:$D$57,E$24)+COUNTIFS('11월'!$C$8:$C$57,$B27,'11월'!$D$8:$D$57,E$24)+COUNTIFS('12월'!$C$8:$C$57,$B27,'12월'!$D$8:$D$57,E$24)</f>
        <v/>
      </c>
      <c r="H27" s="33" t="inlineStr">
        <is>
          <t>SOL 인챈트</t>
        </is>
      </c>
      <c r="I27" s="34">
        <f>COUNTIF('1월'!$B$8:$B$57,$H27)+COUNTIF('2월'!$B$8:$B$57,$H27)+COUNTIF('3월'!$B$8:$B$57,$H27)+COUNTIF('4월'!$B$8:$B$57,$H27)+COUNTIF('5월'!$B$8:$B$57,$H27)+COUNTIF('6월'!$B$8:$B$57,$H27)+COUNTIF('7월'!$B$8:$B$57,$H27)+COUNTIF('8월'!$B$8:$B$57,$H27)+COUNTIF('9월'!$B$8:$B$57,$H27)+COUNTIF('10월'!$B$8:$B$57,$H27)+COUNTIF('11월'!$B$8:$B$57,$H27)+COUNTIF('12월'!$B$8:$B$57,$H27)</f>
        <v/>
      </c>
      <c r="J27" s="35">
        <f>SUMIF('1월'!$B$8:$B$57,$H27,'1월'!$Q$8:$Q$57)+SUMIF('2월'!$B$8:$B$57,$H27,'2월'!$Q$8:$Q$57)+SUMIF('3월'!$B$8:$B$57,$H27,'3월'!$Q$8:$Q$57)+SUMIF('4월'!$B$8:$B$57,$H27,'4월'!$Q$8:$Q$57)+SUMIF('5월'!$B$8:$B$57,$H27,'5월'!$Q$8:$Q$57)+SUMIF('6월'!$B$8:$B$57,$H27,'6월'!$Q$8:$Q$57)+SUMIF('7월'!$B$8:$B$57,$H27,'7월'!$Q$8:$Q$57)+SUMIF('8월'!$B$8:$B$57,$H27,'8월'!$Q$8:$Q$57)+SUMIF('9월'!$B$8:$B$57,$H27,'9월'!$Q$8:$Q$57)+SUMIF('10월'!$B$8:$B$57,$H27,'10월'!$Q$8:$Q$57)+SUMIF('11월'!$B$8:$B$57,$H27,'11월'!$Q$8:$Q$57)+SUMIF('12월'!$B$8:$B$57,$H27,'12월'!$Q$8:$Q$57)</f>
        <v/>
      </c>
    </row>
    <row r="28">
      <c r="B28" s="33" t="inlineStr">
        <is>
          <t>마케팅4팀</t>
        </is>
      </c>
      <c r="C28" s="34">
        <f>COUNTIFS('1월'!$C$8:$C$57,$B28,'1월'!$D$8:$D$57,C$24)+COUNTIFS('2월'!$C$8:$C$57,$B28,'2월'!$D$8:$D$57,C$24)+COUNTIFS('3월'!$C$8:$C$57,$B28,'3월'!$D$8:$D$57,C$24)+COUNTIFS('4월'!$C$8:$C$57,$B28,'4월'!$D$8:$D$57,C$24)+COUNTIFS('5월'!$C$8:$C$57,$B28,'5월'!$D$8:$D$57,C$24)+COUNTIFS('6월'!$C$8:$C$57,$B28,'6월'!$D$8:$D$57,C$24)+COUNTIFS('7월'!$C$8:$C$57,$B28,'7월'!$D$8:$D$57,C$24)+COUNTIFS('8월'!$C$8:$C$57,$B28,'8월'!$D$8:$D$57,C$24)+COUNTIFS('9월'!$C$8:$C$57,$B28,'9월'!$D$8:$D$57,C$24)+COUNTIFS('10월'!$C$8:$C$57,$B28,'10월'!$D$8:$D$57,C$24)+COUNTIFS('11월'!$C$8:$C$57,$B28,'11월'!$D$8:$D$57,C$24)+COUNTIFS('12월'!$C$8:$C$57,$B28,'12월'!$D$8:$D$57,C$24)</f>
        <v/>
      </c>
      <c r="D28" s="34">
        <f>COUNTIFS('1월'!$C$8:$C$57,$B28,'1월'!$D$8:$D$57,D$24)+COUNTIFS('2월'!$C$8:$C$57,$B28,'2월'!$D$8:$D$57,D$24)+COUNTIFS('3월'!$C$8:$C$57,$B28,'3월'!$D$8:$D$57,D$24)+COUNTIFS('4월'!$C$8:$C$57,$B28,'4월'!$D$8:$D$57,D$24)+COUNTIFS('5월'!$C$8:$C$57,$B28,'5월'!$D$8:$D$57,D$24)+COUNTIFS('6월'!$C$8:$C$57,$B28,'6월'!$D$8:$D$57,D$24)+COUNTIFS('7월'!$C$8:$C$57,$B28,'7월'!$D$8:$D$57,D$24)+COUNTIFS('8월'!$C$8:$C$57,$B28,'8월'!$D$8:$D$57,D$24)+COUNTIFS('9월'!$C$8:$C$57,$B28,'9월'!$D$8:$D$57,D$24)+COUNTIFS('10월'!$C$8:$C$57,$B28,'10월'!$D$8:$D$57,D$24)+COUNTIFS('11월'!$C$8:$C$57,$B28,'11월'!$D$8:$D$57,D$24)+COUNTIFS('12월'!$C$8:$C$57,$B28,'12월'!$D$8:$D$57,D$24)</f>
        <v/>
      </c>
      <c r="E28" s="34">
        <f>COUNTIFS('1월'!$C$8:$C$57,$B28,'1월'!$D$8:$D$57,E$24)+COUNTIFS('2월'!$C$8:$C$57,$B28,'2월'!$D$8:$D$57,E$24)+COUNTIFS('3월'!$C$8:$C$57,$B28,'3월'!$D$8:$D$57,E$24)+COUNTIFS('4월'!$C$8:$C$57,$B28,'4월'!$D$8:$D$57,E$24)+COUNTIFS('5월'!$C$8:$C$57,$B28,'5월'!$D$8:$D$57,E$24)+COUNTIFS('6월'!$C$8:$C$57,$B28,'6월'!$D$8:$D$57,E$24)+COUNTIFS('7월'!$C$8:$C$57,$B28,'7월'!$D$8:$D$57,E$24)+COUNTIFS('8월'!$C$8:$C$57,$B28,'8월'!$D$8:$D$57,E$24)+COUNTIFS('9월'!$C$8:$C$57,$B28,'9월'!$D$8:$D$57,E$24)+COUNTIFS('10월'!$C$8:$C$57,$B28,'10월'!$D$8:$D$57,E$24)+COUNTIFS('11월'!$C$8:$C$57,$B28,'11월'!$D$8:$D$57,E$24)+COUNTIFS('12월'!$C$8:$C$57,$B28,'12월'!$D$8:$D$57,E$24)</f>
        <v/>
      </c>
      <c r="H28" s="33" t="inlineStr">
        <is>
          <t>스톤에이지펫월드</t>
        </is>
      </c>
      <c r="I28" s="34">
        <f>COUNTIF('1월'!$B$8:$B$57,$H28)+COUNTIF('2월'!$B$8:$B$57,$H28)+COUNTIF('3월'!$B$8:$B$57,$H28)+COUNTIF('4월'!$B$8:$B$57,$H28)+COUNTIF('5월'!$B$8:$B$57,$H28)+COUNTIF('6월'!$B$8:$B$57,$H28)+COUNTIF('7월'!$B$8:$B$57,$H28)+COUNTIF('8월'!$B$8:$B$57,$H28)+COUNTIF('9월'!$B$8:$B$57,$H28)+COUNTIF('10월'!$B$8:$B$57,$H28)+COUNTIF('11월'!$B$8:$B$57,$H28)+COUNTIF('12월'!$B$8:$B$57,$H28)</f>
        <v/>
      </c>
      <c r="J28" s="35">
        <f>SUMIF('1월'!$B$8:$B$57,$H28,'1월'!$Q$8:$Q$57)+SUMIF('2월'!$B$8:$B$57,$H28,'2월'!$Q$8:$Q$57)+SUMIF('3월'!$B$8:$B$57,$H28,'3월'!$Q$8:$Q$57)+SUMIF('4월'!$B$8:$B$57,$H28,'4월'!$Q$8:$Q$57)+SUMIF('5월'!$B$8:$B$57,$H28,'5월'!$Q$8:$Q$57)+SUMIF('6월'!$B$8:$B$57,$H28,'6월'!$Q$8:$Q$57)+SUMIF('7월'!$B$8:$B$57,$H28,'7월'!$Q$8:$Q$57)+SUMIF('8월'!$B$8:$B$57,$H28,'8월'!$Q$8:$Q$57)+SUMIF('9월'!$B$8:$B$57,$H28,'9월'!$Q$8:$Q$57)+SUMIF('10월'!$B$8:$B$57,$H28,'10월'!$Q$8:$Q$57)+SUMIF('11월'!$B$8:$B$57,$H28,'11월'!$Q$8:$Q$57)+SUMIF('12월'!$B$8:$B$57,$H28,'12월'!$Q$8:$Q$57)</f>
        <v/>
      </c>
    </row>
    <row r="29">
      <c r="B29" s="33" t="inlineStr">
        <is>
          <t>기타</t>
        </is>
      </c>
      <c r="C29" s="34">
        <f>COUNTIFS('1월'!$C$8:$C$57,$B29,'1월'!$D$8:$D$57,C$24)+COUNTIFS('2월'!$C$8:$C$57,$B29,'2월'!$D$8:$D$57,C$24)+COUNTIFS('3월'!$C$8:$C$57,$B29,'3월'!$D$8:$D$57,C$24)+COUNTIFS('4월'!$C$8:$C$57,$B29,'4월'!$D$8:$D$57,C$24)+COUNTIFS('5월'!$C$8:$C$57,$B29,'5월'!$D$8:$D$57,C$24)+COUNTIFS('6월'!$C$8:$C$57,$B29,'6월'!$D$8:$D$57,C$24)+COUNTIFS('7월'!$C$8:$C$57,$B29,'7월'!$D$8:$D$57,C$24)+COUNTIFS('8월'!$C$8:$C$57,$B29,'8월'!$D$8:$D$57,C$24)+COUNTIFS('9월'!$C$8:$C$57,$B29,'9월'!$D$8:$D$57,C$24)+COUNTIFS('10월'!$C$8:$C$57,$B29,'10월'!$D$8:$D$57,C$24)+COUNTIFS('11월'!$C$8:$C$57,$B29,'11월'!$D$8:$D$57,C$24)+COUNTIFS('12월'!$C$8:$C$57,$B29,'12월'!$D$8:$D$57,C$24)</f>
        <v/>
      </c>
      <c r="D29" s="34">
        <f>COUNTIFS('1월'!$C$8:$C$57,$B29,'1월'!$D$8:$D$57,D$24)+COUNTIFS('2월'!$C$8:$C$57,$B29,'2월'!$D$8:$D$57,D$24)+COUNTIFS('3월'!$C$8:$C$57,$B29,'3월'!$D$8:$D$57,D$24)+COUNTIFS('4월'!$C$8:$C$57,$B29,'4월'!$D$8:$D$57,D$24)+COUNTIFS('5월'!$C$8:$C$57,$B29,'5월'!$D$8:$D$57,D$24)+COUNTIFS('6월'!$C$8:$C$57,$B29,'6월'!$D$8:$D$57,D$24)+COUNTIFS('7월'!$C$8:$C$57,$B29,'7월'!$D$8:$D$57,D$24)+COUNTIFS('8월'!$C$8:$C$57,$B29,'8월'!$D$8:$D$57,D$24)+COUNTIFS('9월'!$C$8:$C$57,$B29,'9월'!$D$8:$D$57,D$24)+COUNTIFS('10월'!$C$8:$C$57,$B29,'10월'!$D$8:$D$57,D$24)+COUNTIFS('11월'!$C$8:$C$57,$B29,'11월'!$D$8:$D$57,D$24)+COUNTIFS('12월'!$C$8:$C$57,$B29,'12월'!$D$8:$D$57,D$24)</f>
        <v/>
      </c>
      <c r="E29" s="34">
        <f>COUNTIFS('1월'!$C$8:$C$57,$B29,'1월'!$D$8:$D$57,E$24)+COUNTIFS('2월'!$C$8:$C$57,$B29,'2월'!$D$8:$D$57,E$24)+COUNTIFS('3월'!$C$8:$C$57,$B29,'3월'!$D$8:$D$57,E$24)+COUNTIFS('4월'!$C$8:$C$57,$B29,'4월'!$D$8:$D$57,E$24)+COUNTIFS('5월'!$C$8:$C$57,$B29,'5월'!$D$8:$D$57,E$24)+COUNTIFS('6월'!$C$8:$C$57,$B29,'6월'!$D$8:$D$57,E$24)+COUNTIFS('7월'!$C$8:$C$57,$B29,'7월'!$D$8:$D$57,E$24)+COUNTIFS('8월'!$C$8:$C$57,$B29,'8월'!$D$8:$D$57,E$24)+COUNTIFS('9월'!$C$8:$C$57,$B29,'9월'!$D$8:$D$57,E$24)+COUNTIFS('10월'!$C$8:$C$57,$B29,'10월'!$D$8:$D$57,E$24)+COUNTIFS('11월'!$C$8:$C$57,$B29,'11월'!$D$8:$D$57,E$24)+COUNTIFS('12월'!$C$8:$C$57,$B29,'12월'!$D$8:$D$57,E$24)</f>
        <v/>
      </c>
      <c r="H29" s="33" t="inlineStr">
        <is>
          <t>칠대죄오리진</t>
        </is>
      </c>
      <c r="I29" s="34">
        <f>COUNTIF('1월'!$B$8:$B$57,$H29)+COUNTIF('2월'!$B$8:$B$57,$H29)+COUNTIF('3월'!$B$8:$B$57,$H29)+COUNTIF('4월'!$B$8:$B$57,$H29)+COUNTIF('5월'!$B$8:$B$57,$H29)+COUNTIF('6월'!$B$8:$B$57,$H29)+COUNTIF('7월'!$B$8:$B$57,$H29)+COUNTIF('8월'!$B$8:$B$57,$H29)+COUNTIF('9월'!$B$8:$B$57,$H29)+COUNTIF('10월'!$B$8:$B$57,$H29)+COUNTIF('11월'!$B$8:$B$57,$H29)+COUNTIF('12월'!$B$8:$B$57,$H29)</f>
        <v/>
      </c>
      <c r="J29" s="35">
        <f>SUMIF('1월'!$B$8:$B$57,$H29,'1월'!$Q$8:$Q$57)+SUMIF('2월'!$B$8:$B$57,$H29,'2월'!$Q$8:$Q$57)+SUMIF('3월'!$B$8:$B$57,$H29,'3월'!$Q$8:$Q$57)+SUMIF('4월'!$B$8:$B$57,$H29,'4월'!$Q$8:$Q$57)+SUMIF('5월'!$B$8:$B$57,$H29,'5월'!$Q$8:$Q$57)+SUMIF('6월'!$B$8:$B$57,$H29,'6월'!$Q$8:$Q$57)+SUMIF('7월'!$B$8:$B$57,$H29,'7월'!$Q$8:$Q$57)+SUMIF('8월'!$B$8:$B$57,$H29,'8월'!$Q$8:$Q$57)+SUMIF('9월'!$B$8:$B$57,$H29,'9월'!$Q$8:$Q$57)+SUMIF('10월'!$B$8:$B$57,$H29,'10월'!$Q$8:$Q$57)+SUMIF('11월'!$B$8:$B$57,$H29,'11월'!$Q$8:$Q$57)+SUMIF('12월'!$B$8:$B$57,$H29,'12월'!$Q$8:$Q$57)</f>
        <v/>
      </c>
    </row>
    <row r="30">
      <c r="H30" s="33" t="inlineStr">
        <is>
          <t>세나리버스</t>
        </is>
      </c>
      <c r="I30" s="34">
        <f>COUNTIF('1월'!$B$8:$B$57,$H30)+COUNTIF('2월'!$B$8:$B$57,$H30)+COUNTIF('3월'!$B$8:$B$57,$H30)+COUNTIF('4월'!$B$8:$B$57,$H30)+COUNTIF('5월'!$B$8:$B$57,$H30)+COUNTIF('6월'!$B$8:$B$57,$H30)+COUNTIF('7월'!$B$8:$B$57,$H30)+COUNTIF('8월'!$B$8:$B$57,$H30)+COUNTIF('9월'!$B$8:$B$57,$H30)+COUNTIF('10월'!$B$8:$B$57,$H30)+COUNTIF('11월'!$B$8:$B$57,$H30)+COUNTIF('12월'!$B$8:$B$57,$H30)</f>
        <v/>
      </c>
      <c r="J30" s="35">
        <f>SUMIF('1월'!$B$8:$B$57,$H30,'1월'!$Q$8:$Q$57)+SUMIF('2월'!$B$8:$B$57,$H30,'2월'!$Q$8:$Q$57)+SUMIF('3월'!$B$8:$B$57,$H30,'3월'!$Q$8:$Q$57)+SUMIF('4월'!$B$8:$B$57,$H30,'4월'!$Q$8:$Q$57)+SUMIF('5월'!$B$8:$B$57,$H30,'5월'!$Q$8:$Q$57)+SUMIF('6월'!$B$8:$B$57,$H30,'6월'!$Q$8:$Q$57)+SUMIF('7월'!$B$8:$B$57,$H30,'7월'!$Q$8:$Q$57)+SUMIF('8월'!$B$8:$B$57,$H30,'8월'!$Q$8:$Q$57)+SUMIF('9월'!$B$8:$B$57,$H30,'9월'!$Q$8:$Q$57)+SUMIF('10월'!$B$8:$B$57,$H30,'10월'!$Q$8:$Q$57)+SUMIF('11월'!$B$8:$B$57,$H30,'11월'!$Q$8:$Q$57)+SUMIF('12월'!$B$8:$B$57,$H30,'12월'!$Q$8:$Q$57)</f>
        <v/>
      </c>
    </row>
    <row r="31">
      <c r="H31" s="33" t="inlineStr">
        <is>
          <t>몬길</t>
        </is>
      </c>
      <c r="I31" s="34">
        <f>COUNTIF('1월'!$B$8:$B$57,$H31)+COUNTIF('2월'!$B$8:$B$57,$H31)+COUNTIF('3월'!$B$8:$B$57,$H31)+COUNTIF('4월'!$B$8:$B$57,$H31)+COUNTIF('5월'!$B$8:$B$57,$H31)+COUNTIF('6월'!$B$8:$B$57,$H31)+COUNTIF('7월'!$B$8:$B$57,$H31)+COUNTIF('8월'!$B$8:$B$57,$H31)+COUNTIF('9월'!$B$8:$B$57,$H31)+COUNTIF('10월'!$B$8:$B$57,$H31)+COUNTIF('11월'!$B$8:$B$57,$H31)+COUNTIF('12월'!$B$8:$B$57,$H31)</f>
        <v/>
      </c>
      <c r="J31" s="35">
        <f>SUMIF('1월'!$B$8:$B$57,$H31,'1월'!$Q$8:$Q$57)+SUMIF('2월'!$B$8:$B$57,$H31,'2월'!$Q$8:$Q$57)+SUMIF('3월'!$B$8:$B$57,$H31,'3월'!$Q$8:$Q$57)+SUMIF('4월'!$B$8:$B$57,$H31,'4월'!$Q$8:$Q$57)+SUMIF('5월'!$B$8:$B$57,$H31,'5월'!$Q$8:$Q$57)+SUMIF('6월'!$B$8:$B$57,$H31,'6월'!$Q$8:$Q$57)+SUMIF('7월'!$B$8:$B$57,$H31,'7월'!$Q$8:$Q$57)+SUMIF('8월'!$B$8:$B$57,$H31,'8월'!$Q$8:$Q$57)+SUMIF('9월'!$B$8:$B$57,$H31,'9월'!$Q$8:$Q$57)+SUMIF('10월'!$B$8:$B$57,$H31,'10월'!$Q$8:$Q$57)+SUMIF('11월'!$B$8:$B$57,$H31,'11월'!$Q$8:$Q$57)+SUMIF('12월'!$B$8:$B$57,$H31,'12월'!$Q$8:$Q$57)</f>
        <v/>
      </c>
    </row>
    <row r="32">
      <c r="H32" s="33" t="inlineStr">
        <is>
          <t>왕겜(GOT)</t>
        </is>
      </c>
      <c r="I32" s="34">
        <f>COUNTIF('1월'!$B$8:$B$57,$H32)+COUNTIF('2월'!$B$8:$B$57,$H32)+COUNTIF('3월'!$B$8:$B$57,$H32)+COUNTIF('4월'!$B$8:$B$57,$H32)+COUNTIF('5월'!$B$8:$B$57,$H32)+COUNTIF('6월'!$B$8:$B$57,$H32)+COUNTIF('7월'!$B$8:$B$57,$H32)+COUNTIF('8월'!$B$8:$B$57,$H32)+COUNTIF('9월'!$B$8:$B$57,$H32)+COUNTIF('10월'!$B$8:$B$57,$H32)+COUNTIF('11월'!$B$8:$B$57,$H32)+COUNTIF('12월'!$B$8:$B$57,$H32)</f>
        <v/>
      </c>
      <c r="J32" s="35">
        <f>SUMIF('1월'!$B$8:$B$57,$H32,'1월'!$Q$8:$Q$57)+SUMIF('2월'!$B$8:$B$57,$H32,'2월'!$Q$8:$Q$57)+SUMIF('3월'!$B$8:$B$57,$H32,'3월'!$Q$8:$Q$57)+SUMIF('4월'!$B$8:$B$57,$H32,'4월'!$Q$8:$Q$57)+SUMIF('5월'!$B$8:$B$57,$H32,'5월'!$Q$8:$Q$57)+SUMIF('6월'!$B$8:$B$57,$H32,'6월'!$Q$8:$Q$57)+SUMIF('7월'!$B$8:$B$57,$H32,'7월'!$Q$8:$Q$57)+SUMIF('8월'!$B$8:$B$57,$H32,'8월'!$Q$8:$Q$57)+SUMIF('9월'!$B$8:$B$57,$H32,'9월'!$Q$8:$Q$57)+SUMIF('10월'!$B$8:$B$57,$H32,'10월'!$Q$8:$Q$57)+SUMIF('11월'!$B$8:$B$57,$H32,'11월'!$Q$8:$Q$57)+SUMIF('12월'!$B$8:$B$57,$H32,'12월'!$Q$8:$Q$57)</f>
        <v/>
      </c>
    </row>
    <row r="33">
      <c r="H33" s="33" t="inlineStr">
        <is>
          <t>몬스터길들이기</t>
        </is>
      </c>
      <c r="I33" s="34">
        <f>COUNTIF('1월'!$B$8:$B$57,$H33)+COUNTIF('2월'!$B$8:$B$57,$H33)+COUNTIF('3월'!$B$8:$B$57,$H33)+COUNTIF('4월'!$B$8:$B$57,$H33)+COUNTIF('5월'!$B$8:$B$57,$H33)+COUNTIF('6월'!$B$8:$B$57,$H33)+COUNTIF('7월'!$B$8:$B$57,$H33)+COUNTIF('8월'!$B$8:$B$57,$H33)+COUNTIF('9월'!$B$8:$B$57,$H33)+COUNTIF('10월'!$B$8:$B$57,$H33)+COUNTIF('11월'!$B$8:$B$57,$H33)+COUNTIF('12월'!$B$8:$B$57,$H33)</f>
        <v/>
      </c>
      <c r="J33" s="35">
        <f>SUMIF('1월'!$B$8:$B$57,$H33,'1월'!$Q$8:$Q$57)+SUMIF('2월'!$B$8:$B$57,$H33,'2월'!$Q$8:$Q$57)+SUMIF('3월'!$B$8:$B$57,$H33,'3월'!$Q$8:$Q$57)+SUMIF('4월'!$B$8:$B$57,$H33,'4월'!$Q$8:$Q$57)+SUMIF('5월'!$B$8:$B$57,$H33,'5월'!$Q$8:$Q$57)+SUMIF('6월'!$B$8:$B$57,$H33,'6월'!$Q$8:$Q$57)+SUMIF('7월'!$B$8:$B$57,$H33,'7월'!$Q$8:$Q$57)+SUMIF('8월'!$B$8:$B$57,$H33,'8월'!$Q$8:$Q$57)+SUMIF('9월'!$B$8:$B$57,$H33,'9월'!$Q$8:$Q$57)+SUMIF('10월'!$B$8:$B$57,$H33,'10월'!$Q$8:$Q$57)+SUMIF('11월'!$B$8:$B$57,$H33,'11월'!$Q$8:$Q$57)+SUMIF('12월'!$B$8:$B$57,$H33,'12월'!$Q$8:$Q$57)</f>
        <v/>
      </c>
    </row>
    <row r="34">
      <c r="H34" s="33" t="inlineStr">
        <is>
          <t>라이즈오브</t>
        </is>
      </c>
      <c r="I34" s="34">
        <f>COUNTIF('1월'!$B$8:$B$57,$H34)+COUNTIF('2월'!$B$8:$B$57,$H34)+COUNTIF('3월'!$B$8:$B$57,$H34)+COUNTIF('4월'!$B$8:$B$57,$H34)+COUNTIF('5월'!$B$8:$B$57,$H34)+COUNTIF('6월'!$B$8:$B$57,$H34)+COUNTIF('7월'!$B$8:$B$57,$H34)+COUNTIF('8월'!$B$8:$B$57,$H34)+COUNTIF('9월'!$B$8:$B$57,$H34)+COUNTIF('10월'!$B$8:$B$57,$H34)+COUNTIF('11월'!$B$8:$B$57,$H34)+COUNTIF('12월'!$B$8:$B$57,$H34)</f>
        <v/>
      </c>
      <c r="J34" s="35">
        <f>SUMIF('1월'!$B$8:$B$57,$H34,'1월'!$Q$8:$Q$57)+SUMIF('2월'!$B$8:$B$57,$H34,'2월'!$Q$8:$Q$57)+SUMIF('3월'!$B$8:$B$57,$H34,'3월'!$Q$8:$Q$57)+SUMIF('4월'!$B$8:$B$57,$H34,'4월'!$Q$8:$Q$57)+SUMIF('5월'!$B$8:$B$57,$H34,'5월'!$Q$8:$Q$57)+SUMIF('6월'!$B$8:$B$57,$H34,'6월'!$Q$8:$Q$57)+SUMIF('7월'!$B$8:$B$57,$H34,'7월'!$Q$8:$Q$57)+SUMIF('8월'!$B$8:$B$57,$H34,'8월'!$Q$8:$Q$57)+SUMIF('9월'!$B$8:$B$57,$H34,'9월'!$Q$8:$Q$57)+SUMIF('10월'!$B$8:$B$57,$H34,'10월'!$Q$8:$Q$57)+SUMIF('11월'!$B$8:$B$57,$H34,'11월'!$Q$8:$Q$57)+SUMIF('12월'!$B$8:$B$57,$H34,'12월'!$Q$8:$Q$57)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1월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1월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DATE('마스터'!$J$3,1,1)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2월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2월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DATE('마스터'!$J$3,2,1)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3월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3월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DATE('마스터'!$J$3,3,1)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4월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4월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DATE('마스터'!$J$3,4,1)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5월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5월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DATE('마스터'!$J$3,5,1)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6월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6월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DATE('마스터'!$J$3,6,1)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7월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7월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DATE('마스터'!$J$3,7,1)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inlineStr">
        <is>
          <t>뱀피르</t>
        </is>
      </c>
      <c r="C8" s="53" t="inlineStr">
        <is>
          <t>마케팅1팀</t>
        </is>
      </c>
      <c r="D8" s="53" t="inlineStr">
        <is>
          <t>이미지</t>
        </is>
      </c>
      <c r="E8" s="52" t="inlineStr">
        <is>
          <t>VAM_200024_보스KV</t>
        </is>
      </c>
      <c r="F8" s="54">
        <f>DATE(2026,7,6)</f>
        <v/>
      </c>
      <c r="G8" s="54">
        <f>DATE(2026,7,7)</f>
        <v/>
      </c>
      <c r="H8" s="53" t="n">
        <v>0</v>
      </c>
      <c r="I8" s="53" t="n">
        <v>0</v>
      </c>
      <c r="J8" s="53" t="n">
        <v>0</v>
      </c>
      <c r="K8" s="52" t="inlineStr"/>
      <c r="L8" s="55" t="n">
        <v>0</v>
      </c>
      <c r="M8" s="52" t="inlineStr">
        <is>
          <t>구유진</t>
        </is>
      </c>
      <c r="N8" s="55" t="n">
        <v>1</v>
      </c>
      <c r="O8" s="52" t="inlineStr"/>
      <c r="P8" s="55" t="n">
        <v>0</v>
      </c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inlineStr">
        <is>
          <t>완료</t>
        </is>
      </c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inlineStr">
        <is>
          <t>Freepik</t>
        </is>
      </c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8월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8월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DATE('마스터'!$J$3,8,1)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inlineStr">
        <is>
          <t>SOL 인챈트</t>
        </is>
      </c>
      <c r="C8" s="53" t="inlineStr">
        <is>
          <t>마케팅3팀</t>
        </is>
      </c>
      <c r="D8" s="53" t="inlineStr">
        <is>
          <t>영상+이미지</t>
        </is>
      </c>
      <c r="E8" s="52" t="inlineStr">
        <is>
          <t>SOL_000120_카운트다운</t>
        </is>
      </c>
      <c r="F8" s="54">
        <f>DATE(2026,8,3)</f>
        <v/>
      </c>
      <c r="G8" s="54">
        <f>DATE(2026,8,6)</f>
        <v/>
      </c>
      <c r="H8" s="53" t="n">
        <v>1</v>
      </c>
      <c r="I8" s="53" t="n">
        <v>0</v>
      </c>
      <c r="J8" s="53" t="n">
        <v>0</v>
      </c>
      <c r="K8" s="52" t="inlineStr">
        <is>
          <t>강승일</t>
        </is>
      </c>
      <c r="L8" s="55" t="n">
        <v>2</v>
      </c>
      <c r="M8" s="52" t="inlineStr">
        <is>
          <t>김민성</t>
        </is>
      </c>
      <c r="N8" s="55" t="n">
        <v>1.5</v>
      </c>
      <c r="O8" s="52" t="inlineStr"/>
      <c r="P8" s="55" t="n">
        <v>0</v>
      </c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inlineStr">
        <is>
          <t>진행</t>
        </is>
      </c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inlineStr">
        <is>
          <t>Kling</t>
        </is>
      </c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inlineStr">
        <is>
          <t>세나리버스</t>
        </is>
      </c>
      <c r="C9" s="53" t="inlineStr">
        <is>
          <t>마케팅2팀</t>
        </is>
      </c>
      <c r="D9" s="53" t="inlineStr">
        <is>
          <t>영상</t>
        </is>
      </c>
      <c r="E9" s="52" t="inlineStr">
        <is>
          <t>TSKGB_엔드카드</t>
        </is>
      </c>
      <c r="F9" s="54">
        <f>DATE(2026,8,4)</f>
        <v/>
      </c>
      <c r="G9" s="54">
        <f>DATE(2026,8,6)</f>
        <v/>
      </c>
      <c r="H9" s="53" t="n">
        <v>1</v>
      </c>
      <c r="I9" s="53" t="n">
        <v>1</v>
      </c>
      <c r="J9" s="53" t="n">
        <v>0</v>
      </c>
      <c r="K9" s="52" t="inlineStr">
        <is>
          <t>강민우</t>
        </is>
      </c>
      <c r="L9" s="55" t="n">
        <v>2</v>
      </c>
      <c r="M9" s="52" t="inlineStr"/>
      <c r="N9" s="55" t="n">
        <v>0</v>
      </c>
      <c r="O9" s="52" t="inlineStr"/>
      <c r="P9" s="55" t="n">
        <v>0</v>
      </c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inlineStr">
        <is>
          <t>검수</t>
        </is>
      </c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inlineStr">
        <is>
          <t>Seedance</t>
        </is>
      </c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inlineStr">
        <is>
          <t>칠대죄오리진</t>
        </is>
      </c>
      <c r="C10" s="53" t="inlineStr">
        <is>
          <t>마케팅4팀</t>
        </is>
      </c>
      <c r="D10" s="53" t="inlineStr">
        <is>
          <t>영상+이미지</t>
        </is>
      </c>
      <c r="E10" s="52" t="inlineStr">
        <is>
          <t>7DSOR_스토리트레일러</t>
        </is>
      </c>
      <c r="F10" s="54">
        <f>DATE(2026,8,5)</f>
        <v/>
      </c>
      <c r="G10" s="54">
        <f>DATE(2026,8,12)</f>
        <v/>
      </c>
      <c r="H10" s="53" t="n">
        <v>1</v>
      </c>
      <c r="I10" s="53" t="n">
        <v>2</v>
      </c>
      <c r="J10" s="53" t="n">
        <v>1</v>
      </c>
      <c r="K10" s="52" t="inlineStr">
        <is>
          <t>이지현</t>
        </is>
      </c>
      <c r="L10" s="55" t="n">
        <v>2.5</v>
      </c>
      <c r="M10" s="52" t="inlineStr">
        <is>
          <t>양재혁</t>
        </is>
      </c>
      <c r="N10" s="55" t="n">
        <v>1</v>
      </c>
      <c r="O10" s="52" t="inlineStr">
        <is>
          <t>박태원</t>
        </is>
      </c>
      <c r="P10" s="55" t="n">
        <v>0.5</v>
      </c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inlineStr">
        <is>
          <t>진행</t>
        </is>
      </c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inlineStr">
        <is>
          <t>GPT</t>
        </is>
      </c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9월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9월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DATE('마스터'!$J$3,9,1)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inlineStr">
        <is>
          <t>몬길</t>
        </is>
      </c>
      <c r="C8" s="53" t="inlineStr">
        <is>
          <t>마케팅1팀</t>
        </is>
      </c>
      <c r="D8" s="53" t="inlineStr">
        <is>
          <t>영상</t>
        </is>
      </c>
      <c r="E8" s="52" t="inlineStr">
        <is>
          <t>MONSTER_썸머</t>
        </is>
      </c>
      <c r="F8" s="54">
        <f>DATE(2026,9,2)</f>
        <v/>
      </c>
      <c r="G8" s="54">
        <f>DATE(2026,9,5)</f>
        <v/>
      </c>
      <c r="H8" s="53" t="n">
        <v>2</v>
      </c>
      <c r="I8" s="53" t="n">
        <v>0</v>
      </c>
      <c r="J8" s="53" t="n">
        <v>1</v>
      </c>
      <c r="K8" s="52" t="inlineStr">
        <is>
          <t>이지현</t>
        </is>
      </c>
      <c r="L8" s="55" t="n">
        <v>3</v>
      </c>
      <c r="M8" s="52" t="inlineStr"/>
      <c r="N8" s="55" t="n">
        <v>0</v>
      </c>
      <c r="O8" s="52" t="inlineStr"/>
      <c r="P8" s="55" t="n">
        <v>0</v>
      </c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inlineStr">
        <is>
          <t>대기</t>
        </is>
      </c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inlineStr">
        <is>
          <t>Kling</t>
        </is>
      </c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10월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10월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DATE('마스터'!$J$3,10,1)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11월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11월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DATE('마스터'!$J$3,11,1)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5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36" t="inlineStr">
        <is>
          <t>12월 업무 정보 (소재명 / 요청일)</t>
        </is>
      </c>
      <c r="H1" s="37" t="inlineStr">
        <is>
          <t>수량</t>
        </is>
      </c>
      <c r="K1" s="38" t="inlineStr">
        <is>
          <t>영상 (본체)</t>
        </is>
      </c>
      <c r="M1" s="39" t="inlineStr">
        <is>
          <t>이미지</t>
        </is>
      </c>
      <c r="O1" s="40" t="inlineStr">
        <is>
          <t>기획(SB)</t>
        </is>
      </c>
      <c r="Q1" s="41" t="inlineStr">
        <is>
          <t>집계 / 일정 / 자동</t>
        </is>
      </c>
      <c r="Z1" s="12" t="inlineStr">
        <is>
          <t>12월 간트 (MD 숫자 분산 / 주말 음영)  상단 4줄=일자별 직군 TO 상태</t>
        </is>
      </c>
    </row>
    <row r="2">
      <c r="A2" s="42" t="inlineStr">
        <is>
          <t>No</t>
        </is>
      </c>
      <c r="B2" s="42" t="inlineStr">
        <is>
          <t>게임 타이틀명</t>
        </is>
      </c>
      <c r="C2" s="42" t="inlineStr">
        <is>
          <t>고객팀</t>
        </is>
      </c>
      <c r="D2" s="42" t="inlineStr">
        <is>
          <t>유형</t>
        </is>
      </c>
      <c r="E2" s="42" t="inlineStr">
        <is>
          <t>소재명(업무명)</t>
        </is>
      </c>
      <c r="F2" s="42" t="inlineStr">
        <is>
          <t>요청일</t>
        </is>
      </c>
      <c r="G2" s="42" t="inlineStr">
        <is>
          <t>완료일</t>
        </is>
      </c>
      <c r="H2" s="42" t="inlineStr">
        <is>
          <t>영상
수</t>
        </is>
      </c>
      <c r="I2" s="42" t="inlineStr">
        <is>
          <t>사이즈
베리</t>
        </is>
      </c>
      <c r="J2" s="42" t="inlineStr">
        <is>
          <t>다국어
베리</t>
        </is>
      </c>
      <c r="K2" s="43" t="inlineStr">
        <is>
          <t>영상
담당</t>
        </is>
      </c>
      <c r="L2" s="43" t="inlineStr">
        <is>
          <t>영상
MD</t>
        </is>
      </c>
      <c r="M2" s="44" t="inlineStr">
        <is>
          <t>이미지
담당</t>
        </is>
      </c>
      <c r="N2" s="44" t="inlineStr">
        <is>
          <t>이미지
MD</t>
        </is>
      </c>
      <c r="O2" s="45" t="inlineStr">
        <is>
          <t>기획
담당</t>
        </is>
      </c>
      <c r="P2" s="45" t="inlineStr">
        <is>
          <t>기획
MD</t>
        </is>
      </c>
      <c r="Q2" s="42" t="inlineStr">
        <is>
          <t>합계
MD</t>
        </is>
      </c>
      <c r="R2" s="42" t="inlineStr">
        <is>
          <t>투입
직군</t>
        </is>
      </c>
      <c r="S2" s="42" t="inlineStr">
        <is>
          <t>주차</t>
        </is>
      </c>
      <c r="T2" s="42" t="inlineStr">
        <is>
          <t>상태</t>
        </is>
      </c>
      <c r="U2" s="42" t="inlineStr">
        <is>
          <t>소요일</t>
        </is>
      </c>
      <c r="V2" s="42" t="inlineStr">
        <is>
          <t>예상완료</t>
        </is>
      </c>
      <c r="W2" s="42" t="inlineStr">
        <is>
          <t>여유</t>
        </is>
      </c>
      <c r="X2" s="42" t="inlineStr">
        <is>
          <t>비고</t>
        </is>
      </c>
      <c r="Z2" s="46">
        <f>DATE('마스터'!$J$3,12,1)</f>
        <v/>
      </c>
      <c r="AA2" s="46">
        <f>Z2+1</f>
        <v/>
      </c>
      <c r="AB2" s="46">
        <f>AA2+1</f>
        <v/>
      </c>
      <c r="AC2" s="46">
        <f>AB2+1</f>
        <v/>
      </c>
      <c r="AD2" s="46">
        <f>AC2+1</f>
        <v/>
      </c>
      <c r="AE2" s="46">
        <f>AD2+1</f>
        <v/>
      </c>
      <c r="AF2" s="46">
        <f>AE2+1</f>
        <v/>
      </c>
      <c r="AG2" s="46">
        <f>AF2+1</f>
        <v/>
      </c>
      <c r="AH2" s="46">
        <f>AG2+1</f>
        <v/>
      </c>
      <c r="AI2" s="46">
        <f>AH2+1</f>
        <v/>
      </c>
      <c r="AJ2" s="46">
        <f>AI2+1</f>
        <v/>
      </c>
      <c r="AK2" s="46">
        <f>AJ2+1</f>
        <v/>
      </c>
      <c r="AL2" s="46">
        <f>AK2+1</f>
        <v/>
      </c>
      <c r="AM2" s="46">
        <f>AL2+1</f>
        <v/>
      </c>
      <c r="AN2" s="46">
        <f>AM2+1</f>
        <v/>
      </c>
      <c r="AO2" s="46">
        <f>AN2+1</f>
        <v/>
      </c>
      <c r="AP2" s="46">
        <f>AO2+1</f>
        <v/>
      </c>
      <c r="AQ2" s="46">
        <f>AP2+1</f>
        <v/>
      </c>
      <c r="AR2" s="46">
        <f>AQ2+1</f>
        <v/>
      </c>
      <c r="AS2" s="46">
        <f>AR2+1</f>
        <v/>
      </c>
      <c r="AT2" s="46">
        <f>AS2+1</f>
        <v/>
      </c>
      <c r="AU2" s="46">
        <f>AT2+1</f>
        <v/>
      </c>
      <c r="AV2" s="46">
        <f>AU2+1</f>
        <v/>
      </c>
      <c r="AW2" s="46">
        <f>AV2+1</f>
        <v/>
      </c>
      <c r="AX2" s="46">
        <f>AW2+1</f>
        <v/>
      </c>
      <c r="AY2" s="46">
        <f>AX2+1</f>
        <v/>
      </c>
      <c r="AZ2" s="46">
        <f>AY2+1</f>
        <v/>
      </c>
      <c r="BA2" s="46">
        <f>AZ2+1</f>
        <v/>
      </c>
      <c r="BB2" s="46">
        <f>BA2+1</f>
        <v/>
      </c>
      <c r="BC2" s="46">
        <f>BB2+1</f>
        <v/>
      </c>
      <c r="BD2" s="46">
        <f>BC2+1</f>
        <v/>
      </c>
    </row>
    <row r="3">
      <c r="A3" s="47" t="inlineStr">
        <is>
          <t>전체 TO (일자별 부하)</t>
        </is>
      </c>
      <c r="G3" s="48" t="inlineStr">
        <is>
          <t>정원</t>
        </is>
      </c>
      <c r="H3" s="49">
        <f>SUM('마스터'!$J$8:$J$10)</f>
        <v/>
      </c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Z3" s="51">
        <f>SUMPRODUCT(($F$8:$F$57&lt;&gt;"")*($F$8:$F$57&lt;=Z$2)*($V$8:$V$57&gt;=Z$2)*(WEEKDAY(Z$2,2)&lt;6)*($L$8:$L$57+$N$8:$N$57+$P$8:$P$57)/($U$8:$U$57+($U$8:$U$57=0)))</f>
        <v/>
      </c>
      <c r="AA3" s="51">
        <f>SUMPRODUCT(($F$8:$F$57&lt;&gt;"")*($F$8:$F$57&lt;=AA$2)*($V$8:$V$57&gt;=AA$2)*(WEEKDAY(AA$2,2)&lt;6)*($L$8:$L$57+$N$8:$N$57+$P$8:$P$57)/($U$8:$U$57+($U$8:$U$57=0)))</f>
        <v/>
      </c>
      <c r="AB3" s="51">
        <f>SUMPRODUCT(($F$8:$F$57&lt;&gt;"")*($F$8:$F$57&lt;=AB$2)*($V$8:$V$57&gt;=AB$2)*(WEEKDAY(AB$2,2)&lt;6)*($L$8:$L$57+$N$8:$N$57+$P$8:$P$57)/($U$8:$U$57+($U$8:$U$57=0)))</f>
        <v/>
      </c>
      <c r="AC3" s="51">
        <f>SUMPRODUCT(($F$8:$F$57&lt;&gt;"")*($F$8:$F$57&lt;=AC$2)*($V$8:$V$57&gt;=AC$2)*(WEEKDAY(AC$2,2)&lt;6)*($L$8:$L$57+$N$8:$N$57+$P$8:$P$57)/($U$8:$U$57+($U$8:$U$57=0)))</f>
        <v/>
      </c>
      <c r="AD3" s="51">
        <f>SUMPRODUCT(($F$8:$F$57&lt;&gt;"")*($F$8:$F$57&lt;=AD$2)*($V$8:$V$57&gt;=AD$2)*(WEEKDAY(AD$2,2)&lt;6)*($L$8:$L$57+$N$8:$N$57+$P$8:$P$57)/($U$8:$U$57+($U$8:$U$57=0)))</f>
        <v/>
      </c>
      <c r="AE3" s="51">
        <f>SUMPRODUCT(($F$8:$F$57&lt;&gt;"")*($F$8:$F$57&lt;=AE$2)*($V$8:$V$57&gt;=AE$2)*(WEEKDAY(AE$2,2)&lt;6)*($L$8:$L$57+$N$8:$N$57+$P$8:$P$57)/($U$8:$U$57+($U$8:$U$57=0)))</f>
        <v/>
      </c>
      <c r="AF3" s="51">
        <f>SUMPRODUCT(($F$8:$F$57&lt;&gt;"")*($F$8:$F$57&lt;=AF$2)*($V$8:$V$57&gt;=AF$2)*(WEEKDAY(AF$2,2)&lt;6)*($L$8:$L$57+$N$8:$N$57+$P$8:$P$57)/($U$8:$U$57+($U$8:$U$57=0)))</f>
        <v/>
      </c>
      <c r="AG3" s="51">
        <f>SUMPRODUCT(($F$8:$F$57&lt;&gt;"")*($F$8:$F$57&lt;=AG$2)*($V$8:$V$57&gt;=AG$2)*(WEEKDAY(AG$2,2)&lt;6)*($L$8:$L$57+$N$8:$N$57+$P$8:$P$57)/($U$8:$U$57+($U$8:$U$57=0)))</f>
        <v/>
      </c>
      <c r="AH3" s="51">
        <f>SUMPRODUCT(($F$8:$F$57&lt;&gt;"")*($F$8:$F$57&lt;=AH$2)*($V$8:$V$57&gt;=AH$2)*(WEEKDAY(AH$2,2)&lt;6)*($L$8:$L$57+$N$8:$N$57+$P$8:$P$57)/($U$8:$U$57+($U$8:$U$57=0)))</f>
        <v/>
      </c>
      <c r="AI3" s="51">
        <f>SUMPRODUCT(($F$8:$F$57&lt;&gt;"")*($F$8:$F$57&lt;=AI$2)*($V$8:$V$57&gt;=AI$2)*(WEEKDAY(AI$2,2)&lt;6)*($L$8:$L$57+$N$8:$N$57+$P$8:$P$57)/($U$8:$U$57+($U$8:$U$57=0)))</f>
        <v/>
      </c>
      <c r="AJ3" s="51">
        <f>SUMPRODUCT(($F$8:$F$57&lt;&gt;"")*($F$8:$F$57&lt;=AJ$2)*($V$8:$V$57&gt;=AJ$2)*(WEEKDAY(AJ$2,2)&lt;6)*($L$8:$L$57+$N$8:$N$57+$P$8:$P$57)/($U$8:$U$57+($U$8:$U$57=0)))</f>
        <v/>
      </c>
      <c r="AK3" s="51">
        <f>SUMPRODUCT(($F$8:$F$57&lt;&gt;"")*($F$8:$F$57&lt;=AK$2)*($V$8:$V$57&gt;=AK$2)*(WEEKDAY(AK$2,2)&lt;6)*($L$8:$L$57+$N$8:$N$57+$P$8:$P$57)/($U$8:$U$57+($U$8:$U$57=0)))</f>
        <v/>
      </c>
      <c r="AL3" s="51">
        <f>SUMPRODUCT(($F$8:$F$57&lt;&gt;"")*($F$8:$F$57&lt;=AL$2)*($V$8:$V$57&gt;=AL$2)*(WEEKDAY(AL$2,2)&lt;6)*($L$8:$L$57+$N$8:$N$57+$P$8:$P$57)/($U$8:$U$57+($U$8:$U$57=0)))</f>
        <v/>
      </c>
      <c r="AM3" s="51">
        <f>SUMPRODUCT(($F$8:$F$57&lt;&gt;"")*($F$8:$F$57&lt;=AM$2)*($V$8:$V$57&gt;=AM$2)*(WEEKDAY(AM$2,2)&lt;6)*($L$8:$L$57+$N$8:$N$57+$P$8:$P$57)/($U$8:$U$57+($U$8:$U$57=0)))</f>
        <v/>
      </c>
      <c r="AN3" s="51">
        <f>SUMPRODUCT(($F$8:$F$57&lt;&gt;"")*($F$8:$F$57&lt;=AN$2)*($V$8:$V$57&gt;=AN$2)*(WEEKDAY(AN$2,2)&lt;6)*($L$8:$L$57+$N$8:$N$57+$P$8:$P$57)/($U$8:$U$57+($U$8:$U$57=0)))</f>
        <v/>
      </c>
      <c r="AO3" s="51">
        <f>SUMPRODUCT(($F$8:$F$57&lt;&gt;"")*($F$8:$F$57&lt;=AO$2)*($V$8:$V$57&gt;=AO$2)*(WEEKDAY(AO$2,2)&lt;6)*($L$8:$L$57+$N$8:$N$57+$P$8:$P$57)/($U$8:$U$57+($U$8:$U$57=0)))</f>
        <v/>
      </c>
      <c r="AP3" s="51">
        <f>SUMPRODUCT(($F$8:$F$57&lt;&gt;"")*($F$8:$F$57&lt;=AP$2)*($V$8:$V$57&gt;=AP$2)*(WEEKDAY(AP$2,2)&lt;6)*($L$8:$L$57+$N$8:$N$57+$P$8:$P$57)/($U$8:$U$57+($U$8:$U$57=0)))</f>
        <v/>
      </c>
      <c r="AQ3" s="51">
        <f>SUMPRODUCT(($F$8:$F$57&lt;&gt;"")*($F$8:$F$57&lt;=AQ$2)*($V$8:$V$57&gt;=AQ$2)*(WEEKDAY(AQ$2,2)&lt;6)*($L$8:$L$57+$N$8:$N$57+$P$8:$P$57)/($U$8:$U$57+($U$8:$U$57=0)))</f>
        <v/>
      </c>
      <c r="AR3" s="51">
        <f>SUMPRODUCT(($F$8:$F$57&lt;&gt;"")*($F$8:$F$57&lt;=AR$2)*($V$8:$V$57&gt;=AR$2)*(WEEKDAY(AR$2,2)&lt;6)*($L$8:$L$57+$N$8:$N$57+$P$8:$P$57)/($U$8:$U$57+($U$8:$U$57=0)))</f>
        <v/>
      </c>
      <c r="AS3" s="51">
        <f>SUMPRODUCT(($F$8:$F$57&lt;&gt;"")*($F$8:$F$57&lt;=AS$2)*($V$8:$V$57&gt;=AS$2)*(WEEKDAY(AS$2,2)&lt;6)*($L$8:$L$57+$N$8:$N$57+$P$8:$P$57)/($U$8:$U$57+($U$8:$U$57=0)))</f>
        <v/>
      </c>
      <c r="AT3" s="51">
        <f>SUMPRODUCT(($F$8:$F$57&lt;&gt;"")*($F$8:$F$57&lt;=AT$2)*($V$8:$V$57&gt;=AT$2)*(WEEKDAY(AT$2,2)&lt;6)*($L$8:$L$57+$N$8:$N$57+$P$8:$P$57)/($U$8:$U$57+($U$8:$U$57=0)))</f>
        <v/>
      </c>
      <c r="AU3" s="51">
        <f>SUMPRODUCT(($F$8:$F$57&lt;&gt;"")*($F$8:$F$57&lt;=AU$2)*($V$8:$V$57&gt;=AU$2)*(WEEKDAY(AU$2,2)&lt;6)*($L$8:$L$57+$N$8:$N$57+$P$8:$P$57)/($U$8:$U$57+($U$8:$U$57=0)))</f>
        <v/>
      </c>
      <c r="AV3" s="51">
        <f>SUMPRODUCT(($F$8:$F$57&lt;&gt;"")*($F$8:$F$57&lt;=AV$2)*($V$8:$V$57&gt;=AV$2)*(WEEKDAY(AV$2,2)&lt;6)*($L$8:$L$57+$N$8:$N$57+$P$8:$P$57)/($U$8:$U$57+($U$8:$U$57=0)))</f>
        <v/>
      </c>
      <c r="AW3" s="51">
        <f>SUMPRODUCT(($F$8:$F$57&lt;&gt;"")*($F$8:$F$57&lt;=AW$2)*($V$8:$V$57&gt;=AW$2)*(WEEKDAY(AW$2,2)&lt;6)*($L$8:$L$57+$N$8:$N$57+$P$8:$P$57)/($U$8:$U$57+($U$8:$U$57=0)))</f>
        <v/>
      </c>
      <c r="AX3" s="51">
        <f>SUMPRODUCT(($F$8:$F$57&lt;&gt;"")*($F$8:$F$57&lt;=AX$2)*($V$8:$V$57&gt;=AX$2)*(WEEKDAY(AX$2,2)&lt;6)*($L$8:$L$57+$N$8:$N$57+$P$8:$P$57)/($U$8:$U$57+($U$8:$U$57=0)))</f>
        <v/>
      </c>
      <c r="AY3" s="51">
        <f>SUMPRODUCT(($F$8:$F$57&lt;&gt;"")*($F$8:$F$57&lt;=AY$2)*($V$8:$V$57&gt;=AY$2)*(WEEKDAY(AY$2,2)&lt;6)*($L$8:$L$57+$N$8:$N$57+$P$8:$P$57)/($U$8:$U$57+($U$8:$U$57=0)))</f>
        <v/>
      </c>
      <c r="AZ3" s="51">
        <f>SUMPRODUCT(($F$8:$F$57&lt;&gt;"")*($F$8:$F$57&lt;=AZ$2)*($V$8:$V$57&gt;=AZ$2)*(WEEKDAY(AZ$2,2)&lt;6)*($L$8:$L$57+$N$8:$N$57+$P$8:$P$57)/($U$8:$U$57+($U$8:$U$57=0)))</f>
        <v/>
      </c>
      <c r="BA3" s="51">
        <f>SUMPRODUCT(($F$8:$F$57&lt;&gt;"")*($F$8:$F$57&lt;=BA$2)*($V$8:$V$57&gt;=BA$2)*(WEEKDAY(BA$2,2)&lt;6)*($L$8:$L$57+$N$8:$N$57+$P$8:$P$57)/($U$8:$U$57+($U$8:$U$57=0)))</f>
        <v/>
      </c>
      <c r="BB3" s="51">
        <f>SUMPRODUCT(($F$8:$F$57&lt;&gt;"")*($F$8:$F$57&lt;=BB$2)*($V$8:$V$57&gt;=BB$2)*(WEEKDAY(BB$2,2)&lt;6)*($L$8:$L$57+$N$8:$N$57+$P$8:$P$57)/($U$8:$U$57+($U$8:$U$57=0)))</f>
        <v/>
      </c>
      <c r="BC3" s="51">
        <f>SUMPRODUCT(($F$8:$F$57&lt;&gt;"")*($F$8:$F$57&lt;=BC$2)*($V$8:$V$57&gt;=BC$2)*(WEEKDAY(BC$2,2)&lt;6)*($L$8:$L$57+$N$8:$N$57+$P$8:$P$57)/($U$8:$U$57+($U$8:$U$57=0)))</f>
        <v/>
      </c>
      <c r="BD3" s="51">
        <f>SUMPRODUCT(($F$8:$F$57&lt;&gt;"")*($F$8:$F$57&lt;=BD$2)*($V$8:$V$57&gt;=BD$2)*(WEEKDAY(BD$2,2)&lt;6)*($L$8:$L$57+$N$8:$N$57+$P$8:$P$57)/($U$8:$U$57+($U$8:$U$57=0)))</f>
        <v/>
      </c>
    </row>
    <row r="4">
      <c r="A4" s="47" t="inlineStr">
        <is>
          <t>영상 TO</t>
        </is>
      </c>
      <c r="G4" s="48" t="inlineStr">
        <is>
          <t>정원</t>
        </is>
      </c>
      <c r="H4" s="49">
        <f>'마스터'!$J$8</f>
        <v/>
      </c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Z4" s="51">
        <f>SUMPRODUCT(($F$8:$F$57&lt;&gt;"")*($F$8:$F$57&lt;=Z$2)*($V$8:$V$57&gt;=Z$2)*(WEEKDAY(Z$2,2)&lt;6)*($L$8:$L$57)/($U$8:$U$57+($U$8:$U$57=0)))</f>
        <v/>
      </c>
      <c r="AA4" s="51">
        <f>SUMPRODUCT(($F$8:$F$57&lt;&gt;"")*($F$8:$F$57&lt;=AA$2)*($V$8:$V$57&gt;=AA$2)*(WEEKDAY(AA$2,2)&lt;6)*($L$8:$L$57)/($U$8:$U$57+($U$8:$U$57=0)))</f>
        <v/>
      </c>
      <c r="AB4" s="51">
        <f>SUMPRODUCT(($F$8:$F$57&lt;&gt;"")*($F$8:$F$57&lt;=AB$2)*($V$8:$V$57&gt;=AB$2)*(WEEKDAY(AB$2,2)&lt;6)*($L$8:$L$57)/($U$8:$U$57+($U$8:$U$57=0)))</f>
        <v/>
      </c>
      <c r="AC4" s="51">
        <f>SUMPRODUCT(($F$8:$F$57&lt;&gt;"")*($F$8:$F$57&lt;=AC$2)*($V$8:$V$57&gt;=AC$2)*(WEEKDAY(AC$2,2)&lt;6)*($L$8:$L$57)/($U$8:$U$57+($U$8:$U$57=0)))</f>
        <v/>
      </c>
      <c r="AD4" s="51">
        <f>SUMPRODUCT(($F$8:$F$57&lt;&gt;"")*($F$8:$F$57&lt;=AD$2)*($V$8:$V$57&gt;=AD$2)*(WEEKDAY(AD$2,2)&lt;6)*($L$8:$L$57)/($U$8:$U$57+($U$8:$U$57=0)))</f>
        <v/>
      </c>
      <c r="AE4" s="51">
        <f>SUMPRODUCT(($F$8:$F$57&lt;&gt;"")*($F$8:$F$57&lt;=AE$2)*($V$8:$V$57&gt;=AE$2)*(WEEKDAY(AE$2,2)&lt;6)*($L$8:$L$57)/($U$8:$U$57+($U$8:$U$57=0)))</f>
        <v/>
      </c>
      <c r="AF4" s="51">
        <f>SUMPRODUCT(($F$8:$F$57&lt;&gt;"")*($F$8:$F$57&lt;=AF$2)*($V$8:$V$57&gt;=AF$2)*(WEEKDAY(AF$2,2)&lt;6)*($L$8:$L$57)/($U$8:$U$57+($U$8:$U$57=0)))</f>
        <v/>
      </c>
      <c r="AG4" s="51">
        <f>SUMPRODUCT(($F$8:$F$57&lt;&gt;"")*($F$8:$F$57&lt;=AG$2)*($V$8:$V$57&gt;=AG$2)*(WEEKDAY(AG$2,2)&lt;6)*($L$8:$L$57)/($U$8:$U$57+($U$8:$U$57=0)))</f>
        <v/>
      </c>
      <c r="AH4" s="51">
        <f>SUMPRODUCT(($F$8:$F$57&lt;&gt;"")*($F$8:$F$57&lt;=AH$2)*($V$8:$V$57&gt;=AH$2)*(WEEKDAY(AH$2,2)&lt;6)*($L$8:$L$57)/($U$8:$U$57+($U$8:$U$57=0)))</f>
        <v/>
      </c>
      <c r="AI4" s="51">
        <f>SUMPRODUCT(($F$8:$F$57&lt;&gt;"")*($F$8:$F$57&lt;=AI$2)*($V$8:$V$57&gt;=AI$2)*(WEEKDAY(AI$2,2)&lt;6)*($L$8:$L$57)/($U$8:$U$57+($U$8:$U$57=0)))</f>
        <v/>
      </c>
      <c r="AJ4" s="51">
        <f>SUMPRODUCT(($F$8:$F$57&lt;&gt;"")*($F$8:$F$57&lt;=AJ$2)*($V$8:$V$57&gt;=AJ$2)*(WEEKDAY(AJ$2,2)&lt;6)*($L$8:$L$57)/($U$8:$U$57+($U$8:$U$57=0)))</f>
        <v/>
      </c>
      <c r="AK4" s="51">
        <f>SUMPRODUCT(($F$8:$F$57&lt;&gt;"")*($F$8:$F$57&lt;=AK$2)*($V$8:$V$57&gt;=AK$2)*(WEEKDAY(AK$2,2)&lt;6)*($L$8:$L$57)/($U$8:$U$57+($U$8:$U$57=0)))</f>
        <v/>
      </c>
      <c r="AL4" s="51">
        <f>SUMPRODUCT(($F$8:$F$57&lt;&gt;"")*($F$8:$F$57&lt;=AL$2)*($V$8:$V$57&gt;=AL$2)*(WEEKDAY(AL$2,2)&lt;6)*($L$8:$L$57)/($U$8:$U$57+($U$8:$U$57=0)))</f>
        <v/>
      </c>
      <c r="AM4" s="51">
        <f>SUMPRODUCT(($F$8:$F$57&lt;&gt;"")*($F$8:$F$57&lt;=AM$2)*($V$8:$V$57&gt;=AM$2)*(WEEKDAY(AM$2,2)&lt;6)*($L$8:$L$57)/($U$8:$U$57+($U$8:$U$57=0)))</f>
        <v/>
      </c>
      <c r="AN4" s="51">
        <f>SUMPRODUCT(($F$8:$F$57&lt;&gt;"")*($F$8:$F$57&lt;=AN$2)*($V$8:$V$57&gt;=AN$2)*(WEEKDAY(AN$2,2)&lt;6)*($L$8:$L$57)/($U$8:$U$57+($U$8:$U$57=0)))</f>
        <v/>
      </c>
      <c r="AO4" s="51">
        <f>SUMPRODUCT(($F$8:$F$57&lt;&gt;"")*($F$8:$F$57&lt;=AO$2)*($V$8:$V$57&gt;=AO$2)*(WEEKDAY(AO$2,2)&lt;6)*($L$8:$L$57)/($U$8:$U$57+($U$8:$U$57=0)))</f>
        <v/>
      </c>
      <c r="AP4" s="51">
        <f>SUMPRODUCT(($F$8:$F$57&lt;&gt;"")*($F$8:$F$57&lt;=AP$2)*($V$8:$V$57&gt;=AP$2)*(WEEKDAY(AP$2,2)&lt;6)*($L$8:$L$57)/($U$8:$U$57+($U$8:$U$57=0)))</f>
        <v/>
      </c>
      <c r="AQ4" s="51">
        <f>SUMPRODUCT(($F$8:$F$57&lt;&gt;"")*($F$8:$F$57&lt;=AQ$2)*($V$8:$V$57&gt;=AQ$2)*(WEEKDAY(AQ$2,2)&lt;6)*($L$8:$L$57)/($U$8:$U$57+($U$8:$U$57=0)))</f>
        <v/>
      </c>
      <c r="AR4" s="51">
        <f>SUMPRODUCT(($F$8:$F$57&lt;&gt;"")*($F$8:$F$57&lt;=AR$2)*($V$8:$V$57&gt;=AR$2)*(WEEKDAY(AR$2,2)&lt;6)*($L$8:$L$57)/($U$8:$U$57+($U$8:$U$57=0)))</f>
        <v/>
      </c>
      <c r="AS4" s="51">
        <f>SUMPRODUCT(($F$8:$F$57&lt;&gt;"")*($F$8:$F$57&lt;=AS$2)*($V$8:$V$57&gt;=AS$2)*(WEEKDAY(AS$2,2)&lt;6)*($L$8:$L$57)/($U$8:$U$57+($U$8:$U$57=0)))</f>
        <v/>
      </c>
      <c r="AT4" s="51">
        <f>SUMPRODUCT(($F$8:$F$57&lt;&gt;"")*($F$8:$F$57&lt;=AT$2)*($V$8:$V$57&gt;=AT$2)*(WEEKDAY(AT$2,2)&lt;6)*($L$8:$L$57)/($U$8:$U$57+($U$8:$U$57=0)))</f>
        <v/>
      </c>
      <c r="AU4" s="51">
        <f>SUMPRODUCT(($F$8:$F$57&lt;&gt;"")*($F$8:$F$57&lt;=AU$2)*($V$8:$V$57&gt;=AU$2)*(WEEKDAY(AU$2,2)&lt;6)*($L$8:$L$57)/($U$8:$U$57+($U$8:$U$57=0)))</f>
        <v/>
      </c>
      <c r="AV4" s="51">
        <f>SUMPRODUCT(($F$8:$F$57&lt;&gt;"")*($F$8:$F$57&lt;=AV$2)*($V$8:$V$57&gt;=AV$2)*(WEEKDAY(AV$2,2)&lt;6)*($L$8:$L$57)/($U$8:$U$57+($U$8:$U$57=0)))</f>
        <v/>
      </c>
      <c r="AW4" s="51">
        <f>SUMPRODUCT(($F$8:$F$57&lt;&gt;"")*($F$8:$F$57&lt;=AW$2)*($V$8:$V$57&gt;=AW$2)*(WEEKDAY(AW$2,2)&lt;6)*($L$8:$L$57)/($U$8:$U$57+($U$8:$U$57=0)))</f>
        <v/>
      </c>
      <c r="AX4" s="51">
        <f>SUMPRODUCT(($F$8:$F$57&lt;&gt;"")*($F$8:$F$57&lt;=AX$2)*($V$8:$V$57&gt;=AX$2)*(WEEKDAY(AX$2,2)&lt;6)*($L$8:$L$57)/($U$8:$U$57+($U$8:$U$57=0)))</f>
        <v/>
      </c>
      <c r="AY4" s="51">
        <f>SUMPRODUCT(($F$8:$F$57&lt;&gt;"")*($F$8:$F$57&lt;=AY$2)*($V$8:$V$57&gt;=AY$2)*(WEEKDAY(AY$2,2)&lt;6)*($L$8:$L$57)/($U$8:$U$57+($U$8:$U$57=0)))</f>
        <v/>
      </c>
      <c r="AZ4" s="51">
        <f>SUMPRODUCT(($F$8:$F$57&lt;&gt;"")*($F$8:$F$57&lt;=AZ$2)*($V$8:$V$57&gt;=AZ$2)*(WEEKDAY(AZ$2,2)&lt;6)*($L$8:$L$57)/($U$8:$U$57+($U$8:$U$57=0)))</f>
        <v/>
      </c>
      <c r="BA4" s="51">
        <f>SUMPRODUCT(($F$8:$F$57&lt;&gt;"")*($F$8:$F$57&lt;=BA$2)*($V$8:$V$57&gt;=BA$2)*(WEEKDAY(BA$2,2)&lt;6)*($L$8:$L$57)/($U$8:$U$57+($U$8:$U$57=0)))</f>
        <v/>
      </c>
      <c r="BB4" s="51">
        <f>SUMPRODUCT(($F$8:$F$57&lt;&gt;"")*($F$8:$F$57&lt;=BB$2)*($V$8:$V$57&gt;=BB$2)*(WEEKDAY(BB$2,2)&lt;6)*($L$8:$L$57)/($U$8:$U$57+($U$8:$U$57=0)))</f>
        <v/>
      </c>
      <c r="BC4" s="51">
        <f>SUMPRODUCT(($F$8:$F$57&lt;&gt;"")*($F$8:$F$57&lt;=BC$2)*($V$8:$V$57&gt;=BC$2)*(WEEKDAY(BC$2,2)&lt;6)*($L$8:$L$57)/($U$8:$U$57+($U$8:$U$57=0)))</f>
        <v/>
      </c>
      <c r="BD4" s="51">
        <f>SUMPRODUCT(($F$8:$F$57&lt;&gt;"")*($F$8:$F$57&lt;=BD$2)*($V$8:$V$57&gt;=BD$2)*(WEEKDAY(BD$2,2)&lt;6)*($L$8:$L$57)/($U$8:$U$57+($U$8:$U$57=0)))</f>
        <v/>
      </c>
    </row>
    <row r="5">
      <c r="A5" s="47" t="inlineStr">
        <is>
          <t>이미지 TO</t>
        </is>
      </c>
      <c r="G5" s="48" t="inlineStr">
        <is>
          <t>정원</t>
        </is>
      </c>
      <c r="H5" s="49">
        <f>'마스터'!$J$9</f>
        <v/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Z5" s="51">
        <f>SUMPRODUCT(($F$8:$F$57&lt;&gt;"")*($F$8:$F$57&lt;=Z$2)*($V$8:$V$57&gt;=Z$2)*(WEEKDAY(Z$2,2)&lt;6)*($N$8:$N$57)/($U$8:$U$57+($U$8:$U$57=0)))</f>
        <v/>
      </c>
      <c r="AA5" s="51">
        <f>SUMPRODUCT(($F$8:$F$57&lt;&gt;"")*($F$8:$F$57&lt;=AA$2)*($V$8:$V$57&gt;=AA$2)*(WEEKDAY(AA$2,2)&lt;6)*($N$8:$N$57)/($U$8:$U$57+($U$8:$U$57=0)))</f>
        <v/>
      </c>
      <c r="AB5" s="51">
        <f>SUMPRODUCT(($F$8:$F$57&lt;&gt;"")*($F$8:$F$57&lt;=AB$2)*($V$8:$V$57&gt;=AB$2)*(WEEKDAY(AB$2,2)&lt;6)*($N$8:$N$57)/($U$8:$U$57+($U$8:$U$57=0)))</f>
        <v/>
      </c>
      <c r="AC5" s="51">
        <f>SUMPRODUCT(($F$8:$F$57&lt;&gt;"")*($F$8:$F$57&lt;=AC$2)*($V$8:$V$57&gt;=AC$2)*(WEEKDAY(AC$2,2)&lt;6)*($N$8:$N$57)/($U$8:$U$57+($U$8:$U$57=0)))</f>
        <v/>
      </c>
      <c r="AD5" s="51">
        <f>SUMPRODUCT(($F$8:$F$57&lt;&gt;"")*($F$8:$F$57&lt;=AD$2)*($V$8:$V$57&gt;=AD$2)*(WEEKDAY(AD$2,2)&lt;6)*($N$8:$N$57)/($U$8:$U$57+($U$8:$U$57=0)))</f>
        <v/>
      </c>
      <c r="AE5" s="51">
        <f>SUMPRODUCT(($F$8:$F$57&lt;&gt;"")*($F$8:$F$57&lt;=AE$2)*($V$8:$V$57&gt;=AE$2)*(WEEKDAY(AE$2,2)&lt;6)*($N$8:$N$57)/($U$8:$U$57+($U$8:$U$57=0)))</f>
        <v/>
      </c>
      <c r="AF5" s="51">
        <f>SUMPRODUCT(($F$8:$F$57&lt;&gt;"")*($F$8:$F$57&lt;=AF$2)*($V$8:$V$57&gt;=AF$2)*(WEEKDAY(AF$2,2)&lt;6)*($N$8:$N$57)/($U$8:$U$57+($U$8:$U$57=0)))</f>
        <v/>
      </c>
      <c r="AG5" s="51">
        <f>SUMPRODUCT(($F$8:$F$57&lt;&gt;"")*($F$8:$F$57&lt;=AG$2)*($V$8:$V$57&gt;=AG$2)*(WEEKDAY(AG$2,2)&lt;6)*($N$8:$N$57)/($U$8:$U$57+($U$8:$U$57=0)))</f>
        <v/>
      </c>
      <c r="AH5" s="51">
        <f>SUMPRODUCT(($F$8:$F$57&lt;&gt;"")*($F$8:$F$57&lt;=AH$2)*($V$8:$V$57&gt;=AH$2)*(WEEKDAY(AH$2,2)&lt;6)*($N$8:$N$57)/($U$8:$U$57+($U$8:$U$57=0)))</f>
        <v/>
      </c>
      <c r="AI5" s="51">
        <f>SUMPRODUCT(($F$8:$F$57&lt;&gt;"")*($F$8:$F$57&lt;=AI$2)*($V$8:$V$57&gt;=AI$2)*(WEEKDAY(AI$2,2)&lt;6)*($N$8:$N$57)/($U$8:$U$57+($U$8:$U$57=0)))</f>
        <v/>
      </c>
      <c r="AJ5" s="51">
        <f>SUMPRODUCT(($F$8:$F$57&lt;&gt;"")*($F$8:$F$57&lt;=AJ$2)*($V$8:$V$57&gt;=AJ$2)*(WEEKDAY(AJ$2,2)&lt;6)*($N$8:$N$57)/($U$8:$U$57+($U$8:$U$57=0)))</f>
        <v/>
      </c>
      <c r="AK5" s="51">
        <f>SUMPRODUCT(($F$8:$F$57&lt;&gt;"")*($F$8:$F$57&lt;=AK$2)*($V$8:$V$57&gt;=AK$2)*(WEEKDAY(AK$2,2)&lt;6)*($N$8:$N$57)/($U$8:$U$57+($U$8:$U$57=0)))</f>
        <v/>
      </c>
      <c r="AL5" s="51">
        <f>SUMPRODUCT(($F$8:$F$57&lt;&gt;"")*($F$8:$F$57&lt;=AL$2)*($V$8:$V$57&gt;=AL$2)*(WEEKDAY(AL$2,2)&lt;6)*($N$8:$N$57)/($U$8:$U$57+($U$8:$U$57=0)))</f>
        <v/>
      </c>
      <c r="AM5" s="51">
        <f>SUMPRODUCT(($F$8:$F$57&lt;&gt;"")*($F$8:$F$57&lt;=AM$2)*($V$8:$V$57&gt;=AM$2)*(WEEKDAY(AM$2,2)&lt;6)*($N$8:$N$57)/($U$8:$U$57+($U$8:$U$57=0)))</f>
        <v/>
      </c>
      <c r="AN5" s="51">
        <f>SUMPRODUCT(($F$8:$F$57&lt;&gt;"")*($F$8:$F$57&lt;=AN$2)*($V$8:$V$57&gt;=AN$2)*(WEEKDAY(AN$2,2)&lt;6)*($N$8:$N$57)/($U$8:$U$57+($U$8:$U$57=0)))</f>
        <v/>
      </c>
      <c r="AO5" s="51">
        <f>SUMPRODUCT(($F$8:$F$57&lt;&gt;"")*($F$8:$F$57&lt;=AO$2)*($V$8:$V$57&gt;=AO$2)*(WEEKDAY(AO$2,2)&lt;6)*($N$8:$N$57)/($U$8:$U$57+($U$8:$U$57=0)))</f>
        <v/>
      </c>
      <c r="AP5" s="51">
        <f>SUMPRODUCT(($F$8:$F$57&lt;&gt;"")*($F$8:$F$57&lt;=AP$2)*($V$8:$V$57&gt;=AP$2)*(WEEKDAY(AP$2,2)&lt;6)*($N$8:$N$57)/($U$8:$U$57+($U$8:$U$57=0)))</f>
        <v/>
      </c>
      <c r="AQ5" s="51">
        <f>SUMPRODUCT(($F$8:$F$57&lt;&gt;"")*($F$8:$F$57&lt;=AQ$2)*($V$8:$V$57&gt;=AQ$2)*(WEEKDAY(AQ$2,2)&lt;6)*($N$8:$N$57)/($U$8:$U$57+($U$8:$U$57=0)))</f>
        <v/>
      </c>
      <c r="AR5" s="51">
        <f>SUMPRODUCT(($F$8:$F$57&lt;&gt;"")*($F$8:$F$57&lt;=AR$2)*($V$8:$V$57&gt;=AR$2)*(WEEKDAY(AR$2,2)&lt;6)*($N$8:$N$57)/($U$8:$U$57+($U$8:$U$57=0)))</f>
        <v/>
      </c>
      <c r="AS5" s="51">
        <f>SUMPRODUCT(($F$8:$F$57&lt;&gt;"")*($F$8:$F$57&lt;=AS$2)*($V$8:$V$57&gt;=AS$2)*(WEEKDAY(AS$2,2)&lt;6)*($N$8:$N$57)/($U$8:$U$57+($U$8:$U$57=0)))</f>
        <v/>
      </c>
      <c r="AT5" s="51">
        <f>SUMPRODUCT(($F$8:$F$57&lt;&gt;"")*($F$8:$F$57&lt;=AT$2)*($V$8:$V$57&gt;=AT$2)*(WEEKDAY(AT$2,2)&lt;6)*($N$8:$N$57)/($U$8:$U$57+($U$8:$U$57=0)))</f>
        <v/>
      </c>
      <c r="AU5" s="51">
        <f>SUMPRODUCT(($F$8:$F$57&lt;&gt;"")*($F$8:$F$57&lt;=AU$2)*($V$8:$V$57&gt;=AU$2)*(WEEKDAY(AU$2,2)&lt;6)*($N$8:$N$57)/($U$8:$U$57+($U$8:$U$57=0)))</f>
        <v/>
      </c>
      <c r="AV5" s="51">
        <f>SUMPRODUCT(($F$8:$F$57&lt;&gt;"")*($F$8:$F$57&lt;=AV$2)*($V$8:$V$57&gt;=AV$2)*(WEEKDAY(AV$2,2)&lt;6)*($N$8:$N$57)/($U$8:$U$57+($U$8:$U$57=0)))</f>
        <v/>
      </c>
      <c r="AW5" s="51">
        <f>SUMPRODUCT(($F$8:$F$57&lt;&gt;"")*($F$8:$F$57&lt;=AW$2)*($V$8:$V$57&gt;=AW$2)*(WEEKDAY(AW$2,2)&lt;6)*($N$8:$N$57)/($U$8:$U$57+($U$8:$U$57=0)))</f>
        <v/>
      </c>
      <c r="AX5" s="51">
        <f>SUMPRODUCT(($F$8:$F$57&lt;&gt;"")*($F$8:$F$57&lt;=AX$2)*($V$8:$V$57&gt;=AX$2)*(WEEKDAY(AX$2,2)&lt;6)*($N$8:$N$57)/($U$8:$U$57+($U$8:$U$57=0)))</f>
        <v/>
      </c>
      <c r="AY5" s="51">
        <f>SUMPRODUCT(($F$8:$F$57&lt;&gt;"")*($F$8:$F$57&lt;=AY$2)*($V$8:$V$57&gt;=AY$2)*(WEEKDAY(AY$2,2)&lt;6)*($N$8:$N$57)/($U$8:$U$57+($U$8:$U$57=0)))</f>
        <v/>
      </c>
      <c r="AZ5" s="51">
        <f>SUMPRODUCT(($F$8:$F$57&lt;&gt;"")*($F$8:$F$57&lt;=AZ$2)*($V$8:$V$57&gt;=AZ$2)*(WEEKDAY(AZ$2,2)&lt;6)*($N$8:$N$57)/($U$8:$U$57+($U$8:$U$57=0)))</f>
        <v/>
      </c>
      <c r="BA5" s="51">
        <f>SUMPRODUCT(($F$8:$F$57&lt;&gt;"")*($F$8:$F$57&lt;=BA$2)*($V$8:$V$57&gt;=BA$2)*(WEEKDAY(BA$2,2)&lt;6)*($N$8:$N$57)/($U$8:$U$57+($U$8:$U$57=0)))</f>
        <v/>
      </c>
      <c r="BB5" s="51">
        <f>SUMPRODUCT(($F$8:$F$57&lt;&gt;"")*($F$8:$F$57&lt;=BB$2)*($V$8:$V$57&gt;=BB$2)*(WEEKDAY(BB$2,2)&lt;6)*($N$8:$N$57)/($U$8:$U$57+($U$8:$U$57=0)))</f>
        <v/>
      </c>
      <c r="BC5" s="51">
        <f>SUMPRODUCT(($F$8:$F$57&lt;&gt;"")*($F$8:$F$57&lt;=BC$2)*($V$8:$V$57&gt;=BC$2)*(WEEKDAY(BC$2,2)&lt;6)*($N$8:$N$57)/($U$8:$U$57+($U$8:$U$57=0)))</f>
        <v/>
      </c>
      <c r="BD5" s="51">
        <f>SUMPRODUCT(($F$8:$F$57&lt;&gt;"")*($F$8:$F$57&lt;=BD$2)*($V$8:$V$57&gt;=BD$2)*(WEEKDAY(BD$2,2)&lt;6)*($N$8:$N$57)/($U$8:$U$57+($U$8:$U$57=0)))</f>
        <v/>
      </c>
    </row>
    <row r="6">
      <c r="A6" s="47" t="inlineStr">
        <is>
          <t>기획 TO</t>
        </is>
      </c>
      <c r="G6" s="48" t="inlineStr">
        <is>
          <t>정원</t>
        </is>
      </c>
      <c r="H6" s="49">
        <f>'마스터'!$J$10</f>
        <v/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Z6" s="51">
        <f>SUMPRODUCT(($F$8:$F$57&lt;&gt;"")*($F$8:$F$57&lt;=Z$2)*($V$8:$V$57&gt;=Z$2)*(WEEKDAY(Z$2,2)&lt;6)*($P$8:$P$57)/($U$8:$U$57+($U$8:$U$57=0)))</f>
        <v/>
      </c>
      <c r="AA6" s="51">
        <f>SUMPRODUCT(($F$8:$F$57&lt;&gt;"")*($F$8:$F$57&lt;=AA$2)*($V$8:$V$57&gt;=AA$2)*(WEEKDAY(AA$2,2)&lt;6)*($P$8:$P$57)/($U$8:$U$57+($U$8:$U$57=0)))</f>
        <v/>
      </c>
      <c r="AB6" s="51">
        <f>SUMPRODUCT(($F$8:$F$57&lt;&gt;"")*($F$8:$F$57&lt;=AB$2)*($V$8:$V$57&gt;=AB$2)*(WEEKDAY(AB$2,2)&lt;6)*($P$8:$P$57)/($U$8:$U$57+($U$8:$U$57=0)))</f>
        <v/>
      </c>
      <c r="AC6" s="51">
        <f>SUMPRODUCT(($F$8:$F$57&lt;&gt;"")*($F$8:$F$57&lt;=AC$2)*($V$8:$V$57&gt;=AC$2)*(WEEKDAY(AC$2,2)&lt;6)*($P$8:$P$57)/($U$8:$U$57+($U$8:$U$57=0)))</f>
        <v/>
      </c>
      <c r="AD6" s="51">
        <f>SUMPRODUCT(($F$8:$F$57&lt;&gt;"")*($F$8:$F$57&lt;=AD$2)*($V$8:$V$57&gt;=AD$2)*(WEEKDAY(AD$2,2)&lt;6)*($P$8:$P$57)/($U$8:$U$57+($U$8:$U$57=0)))</f>
        <v/>
      </c>
      <c r="AE6" s="51">
        <f>SUMPRODUCT(($F$8:$F$57&lt;&gt;"")*($F$8:$F$57&lt;=AE$2)*($V$8:$V$57&gt;=AE$2)*(WEEKDAY(AE$2,2)&lt;6)*($P$8:$P$57)/($U$8:$U$57+($U$8:$U$57=0)))</f>
        <v/>
      </c>
      <c r="AF6" s="51">
        <f>SUMPRODUCT(($F$8:$F$57&lt;&gt;"")*($F$8:$F$57&lt;=AF$2)*($V$8:$V$57&gt;=AF$2)*(WEEKDAY(AF$2,2)&lt;6)*($P$8:$P$57)/($U$8:$U$57+($U$8:$U$57=0)))</f>
        <v/>
      </c>
      <c r="AG6" s="51">
        <f>SUMPRODUCT(($F$8:$F$57&lt;&gt;"")*($F$8:$F$57&lt;=AG$2)*($V$8:$V$57&gt;=AG$2)*(WEEKDAY(AG$2,2)&lt;6)*($P$8:$P$57)/($U$8:$U$57+($U$8:$U$57=0)))</f>
        <v/>
      </c>
      <c r="AH6" s="51">
        <f>SUMPRODUCT(($F$8:$F$57&lt;&gt;"")*($F$8:$F$57&lt;=AH$2)*($V$8:$V$57&gt;=AH$2)*(WEEKDAY(AH$2,2)&lt;6)*($P$8:$P$57)/($U$8:$U$57+($U$8:$U$57=0)))</f>
        <v/>
      </c>
      <c r="AI6" s="51">
        <f>SUMPRODUCT(($F$8:$F$57&lt;&gt;"")*($F$8:$F$57&lt;=AI$2)*($V$8:$V$57&gt;=AI$2)*(WEEKDAY(AI$2,2)&lt;6)*($P$8:$P$57)/($U$8:$U$57+($U$8:$U$57=0)))</f>
        <v/>
      </c>
      <c r="AJ6" s="51">
        <f>SUMPRODUCT(($F$8:$F$57&lt;&gt;"")*($F$8:$F$57&lt;=AJ$2)*($V$8:$V$57&gt;=AJ$2)*(WEEKDAY(AJ$2,2)&lt;6)*($P$8:$P$57)/($U$8:$U$57+($U$8:$U$57=0)))</f>
        <v/>
      </c>
      <c r="AK6" s="51">
        <f>SUMPRODUCT(($F$8:$F$57&lt;&gt;"")*($F$8:$F$57&lt;=AK$2)*($V$8:$V$57&gt;=AK$2)*(WEEKDAY(AK$2,2)&lt;6)*($P$8:$P$57)/($U$8:$U$57+($U$8:$U$57=0)))</f>
        <v/>
      </c>
      <c r="AL6" s="51">
        <f>SUMPRODUCT(($F$8:$F$57&lt;&gt;"")*($F$8:$F$57&lt;=AL$2)*($V$8:$V$57&gt;=AL$2)*(WEEKDAY(AL$2,2)&lt;6)*($P$8:$P$57)/($U$8:$U$57+($U$8:$U$57=0)))</f>
        <v/>
      </c>
      <c r="AM6" s="51">
        <f>SUMPRODUCT(($F$8:$F$57&lt;&gt;"")*($F$8:$F$57&lt;=AM$2)*($V$8:$V$57&gt;=AM$2)*(WEEKDAY(AM$2,2)&lt;6)*($P$8:$P$57)/($U$8:$U$57+($U$8:$U$57=0)))</f>
        <v/>
      </c>
      <c r="AN6" s="51">
        <f>SUMPRODUCT(($F$8:$F$57&lt;&gt;"")*($F$8:$F$57&lt;=AN$2)*($V$8:$V$57&gt;=AN$2)*(WEEKDAY(AN$2,2)&lt;6)*($P$8:$P$57)/($U$8:$U$57+($U$8:$U$57=0)))</f>
        <v/>
      </c>
      <c r="AO6" s="51">
        <f>SUMPRODUCT(($F$8:$F$57&lt;&gt;"")*($F$8:$F$57&lt;=AO$2)*($V$8:$V$57&gt;=AO$2)*(WEEKDAY(AO$2,2)&lt;6)*($P$8:$P$57)/($U$8:$U$57+($U$8:$U$57=0)))</f>
        <v/>
      </c>
      <c r="AP6" s="51">
        <f>SUMPRODUCT(($F$8:$F$57&lt;&gt;"")*($F$8:$F$57&lt;=AP$2)*($V$8:$V$57&gt;=AP$2)*(WEEKDAY(AP$2,2)&lt;6)*($P$8:$P$57)/($U$8:$U$57+($U$8:$U$57=0)))</f>
        <v/>
      </c>
      <c r="AQ6" s="51">
        <f>SUMPRODUCT(($F$8:$F$57&lt;&gt;"")*($F$8:$F$57&lt;=AQ$2)*($V$8:$V$57&gt;=AQ$2)*(WEEKDAY(AQ$2,2)&lt;6)*($P$8:$P$57)/($U$8:$U$57+($U$8:$U$57=0)))</f>
        <v/>
      </c>
      <c r="AR6" s="51">
        <f>SUMPRODUCT(($F$8:$F$57&lt;&gt;"")*($F$8:$F$57&lt;=AR$2)*($V$8:$V$57&gt;=AR$2)*(WEEKDAY(AR$2,2)&lt;6)*($P$8:$P$57)/($U$8:$U$57+($U$8:$U$57=0)))</f>
        <v/>
      </c>
      <c r="AS6" s="51">
        <f>SUMPRODUCT(($F$8:$F$57&lt;&gt;"")*($F$8:$F$57&lt;=AS$2)*($V$8:$V$57&gt;=AS$2)*(WEEKDAY(AS$2,2)&lt;6)*($P$8:$P$57)/($U$8:$U$57+($U$8:$U$57=0)))</f>
        <v/>
      </c>
      <c r="AT6" s="51">
        <f>SUMPRODUCT(($F$8:$F$57&lt;&gt;"")*($F$8:$F$57&lt;=AT$2)*($V$8:$V$57&gt;=AT$2)*(WEEKDAY(AT$2,2)&lt;6)*($P$8:$P$57)/($U$8:$U$57+($U$8:$U$57=0)))</f>
        <v/>
      </c>
      <c r="AU6" s="51">
        <f>SUMPRODUCT(($F$8:$F$57&lt;&gt;"")*($F$8:$F$57&lt;=AU$2)*($V$8:$V$57&gt;=AU$2)*(WEEKDAY(AU$2,2)&lt;6)*($P$8:$P$57)/($U$8:$U$57+($U$8:$U$57=0)))</f>
        <v/>
      </c>
      <c r="AV6" s="51">
        <f>SUMPRODUCT(($F$8:$F$57&lt;&gt;"")*($F$8:$F$57&lt;=AV$2)*($V$8:$V$57&gt;=AV$2)*(WEEKDAY(AV$2,2)&lt;6)*($P$8:$P$57)/($U$8:$U$57+($U$8:$U$57=0)))</f>
        <v/>
      </c>
      <c r="AW6" s="51">
        <f>SUMPRODUCT(($F$8:$F$57&lt;&gt;"")*($F$8:$F$57&lt;=AW$2)*($V$8:$V$57&gt;=AW$2)*(WEEKDAY(AW$2,2)&lt;6)*($P$8:$P$57)/($U$8:$U$57+($U$8:$U$57=0)))</f>
        <v/>
      </c>
      <c r="AX6" s="51">
        <f>SUMPRODUCT(($F$8:$F$57&lt;&gt;"")*($F$8:$F$57&lt;=AX$2)*($V$8:$V$57&gt;=AX$2)*(WEEKDAY(AX$2,2)&lt;6)*($P$8:$P$57)/($U$8:$U$57+($U$8:$U$57=0)))</f>
        <v/>
      </c>
      <c r="AY6" s="51">
        <f>SUMPRODUCT(($F$8:$F$57&lt;&gt;"")*($F$8:$F$57&lt;=AY$2)*($V$8:$V$57&gt;=AY$2)*(WEEKDAY(AY$2,2)&lt;6)*($P$8:$P$57)/($U$8:$U$57+($U$8:$U$57=0)))</f>
        <v/>
      </c>
      <c r="AZ6" s="51">
        <f>SUMPRODUCT(($F$8:$F$57&lt;&gt;"")*($F$8:$F$57&lt;=AZ$2)*($V$8:$V$57&gt;=AZ$2)*(WEEKDAY(AZ$2,2)&lt;6)*($P$8:$P$57)/($U$8:$U$57+($U$8:$U$57=0)))</f>
        <v/>
      </c>
      <c r="BA6" s="51">
        <f>SUMPRODUCT(($F$8:$F$57&lt;&gt;"")*($F$8:$F$57&lt;=BA$2)*($V$8:$V$57&gt;=BA$2)*(WEEKDAY(BA$2,2)&lt;6)*($P$8:$P$57)/($U$8:$U$57+($U$8:$U$57=0)))</f>
        <v/>
      </c>
      <c r="BB6" s="51">
        <f>SUMPRODUCT(($F$8:$F$57&lt;&gt;"")*($F$8:$F$57&lt;=BB$2)*($V$8:$V$57&gt;=BB$2)*(WEEKDAY(BB$2,2)&lt;6)*($P$8:$P$57)/($U$8:$U$57+($U$8:$U$57=0)))</f>
        <v/>
      </c>
      <c r="BC6" s="51">
        <f>SUMPRODUCT(($F$8:$F$57&lt;&gt;"")*($F$8:$F$57&lt;=BC$2)*($V$8:$V$57&gt;=BC$2)*(WEEKDAY(BC$2,2)&lt;6)*($P$8:$P$57)/($U$8:$U$57+($U$8:$U$57=0)))</f>
        <v/>
      </c>
      <c r="BD6" s="51">
        <f>SUMPRODUCT(($F$8:$F$57&lt;&gt;"")*($F$8:$F$57&lt;=BD$2)*($V$8:$V$57&gt;=BD$2)*(WEEKDAY(BD$2,2)&lt;6)*($P$8:$P$57)/($U$8:$U$57+($U$8:$U$57=0)))</f>
        <v/>
      </c>
    </row>
    <row r="8">
      <c r="A8" s="34">
        <f>IF(E8="","",COUNTA($E$8:E8))</f>
        <v/>
      </c>
      <c r="B8" s="52" t="n"/>
      <c r="C8" s="53" t="n"/>
      <c r="D8" s="53" t="n"/>
      <c r="E8" s="52" t="n"/>
      <c r="F8" s="54" t="n"/>
      <c r="G8" s="54" t="n"/>
      <c r="H8" s="53" t="n"/>
      <c r="I8" s="53" t="n"/>
      <c r="J8" s="53" t="n"/>
      <c r="K8" s="52" t="n"/>
      <c r="L8" s="55" t="n"/>
      <c r="M8" s="52" t="n"/>
      <c r="N8" s="55" t="n"/>
      <c r="O8" s="52" t="n"/>
      <c r="P8" s="55" t="n"/>
      <c r="Q8" s="56">
        <f>IF(SUM(L8,N8,P8)=0,"",SUM(L8,N8,P8))</f>
        <v/>
      </c>
      <c r="R8" s="57">
        <f>IF(L8&gt;0,"영 ","")&amp;IF(N8&gt;0,"이 ","")&amp;IF(P8&gt;0,"기 ","")</f>
        <v/>
      </c>
      <c r="S8" s="34">
        <f>IF(F8="","","W"&amp;ROUNDUP(DAY(F8)/7,0))</f>
        <v/>
      </c>
      <c r="T8" s="53" t="n"/>
      <c r="U8" s="34">
        <f>IF(Q8="",0,ROUNDUP(MAX(L8,N8,P8)/'마스터'!$J$5,0))</f>
        <v/>
      </c>
      <c r="V8" s="58">
        <f>IF(OR(F8="",U8=0),"",WORKDAY(F8,U8-1))</f>
        <v/>
      </c>
      <c r="W8" s="57">
        <f>IF(OR(G8="",V8=""),"",G8-V8)</f>
        <v/>
      </c>
      <c r="X8" s="52" t="n"/>
      <c r="Z8" s="59">
        <f>IF(AND($F8&lt;&gt;"",$V8&lt;&gt;"",Z$2&gt;=$F8,Z$2&lt;=$V8,WEEKDAY(Z$2,2)&lt;6),$Q8/$U8,"")</f>
        <v/>
      </c>
      <c r="AA8" s="59">
        <f>IF(AND($F8&lt;&gt;"",$V8&lt;&gt;"",AA$2&gt;=$F8,AA$2&lt;=$V8,WEEKDAY(AA$2,2)&lt;6),$Q8/$U8,"")</f>
        <v/>
      </c>
      <c r="AB8" s="59">
        <f>IF(AND($F8&lt;&gt;"",$V8&lt;&gt;"",AB$2&gt;=$F8,AB$2&lt;=$V8,WEEKDAY(AB$2,2)&lt;6),$Q8/$U8,"")</f>
        <v/>
      </c>
      <c r="AC8" s="59">
        <f>IF(AND($F8&lt;&gt;"",$V8&lt;&gt;"",AC$2&gt;=$F8,AC$2&lt;=$V8,WEEKDAY(AC$2,2)&lt;6),$Q8/$U8,"")</f>
        <v/>
      </c>
      <c r="AD8" s="59">
        <f>IF(AND($F8&lt;&gt;"",$V8&lt;&gt;"",AD$2&gt;=$F8,AD$2&lt;=$V8,WEEKDAY(AD$2,2)&lt;6),$Q8/$U8,"")</f>
        <v/>
      </c>
      <c r="AE8" s="59">
        <f>IF(AND($F8&lt;&gt;"",$V8&lt;&gt;"",AE$2&gt;=$F8,AE$2&lt;=$V8,WEEKDAY(AE$2,2)&lt;6),$Q8/$U8,"")</f>
        <v/>
      </c>
      <c r="AF8" s="59">
        <f>IF(AND($F8&lt;&gt;"",$V8&lt;&gt;"",AF$2&gt;=$F8,AF$2&lt;=$V8,WEEKDAY(AF$2,2)&lt;6),$Q8/$U8,"")</f>
        <v/>
      </c>
      <c r="AG8" s="59">
        <f>IF(AND($F8&lt;&gt;"",$V8&lt;&gt;"",AG$2&gt;=$F8,AG$2&lt;=$V8,WEEKDAY(AG$2,2)&lt;6),$Q8/$U8,"")</f>
        <v/>
      </c>
      <c r="AH8" s="59">
        <f>IF(AND($F8&lt;&gt;"",$V8&lt;&gt;"",AH$2&gt;=$F8,AH$2&lt;=$V8,WEEKDAY(AH$2,2)&lt;6),$Q8/$U8,"")</f>
        <v/>
      </c>
      <c r="AI8" s="59">
        <f>IF(AND($F8&lt;&gt;"",$V8&lt;&gt;"",AI$2&gt;=$F8,AI$2&lt;=$V8,WEEKDAY(AI$2,2)&lt;6),$Q8/$U8,"")</f>
        <v/>
      </c>
      <c r="AJ8" s="59">
        <f>IF(AND($F8&lt;&gt;"",$V8&lt;&gt;"",AJ$2&gt;=$F8,AJ$2&lt;=$V8,WEEKDAY(AJ$2,2)&lt;6),$Q8/$U8,"")</f>
        <v/>
      </c>
      <c r="AK8" s="59">
        <f>IF(AND($F8&lt;&gt;"",$V8&lt;&gt;"",AK$2&gt;=$F8,AK$2&lt;=$V8,WEEKDAY(AK$2,2)&lt;6),$Q8/$U8,"")</f>
        <v/>
      </c>
      <c r="AL8" s="59">
        <f>IF(AND($F8&lt;&gt;"",$V8&lt;&gt;"",AL$2&gt;=$F8,AL$2&lt;=$V8,WEEKDAY(AL$2,2)&lt;6),$Q8/$U8,"")</f>
        <v/>
      </c>
      <c r="AM8" s="59">
        <f>IF(AND($F8&lt;&gt;"",$V8&lt;&gt;"",AM$2&gt;=$F8,AM$2&lt;=$V8,WEEKDAY(AM$2,2)&lt;6),$Q8/$U8,"")</f>
        <v/>
      </c>
      <c r="AN8" s="59">
        <f>IF(AND($F8&lt;&gt;"",$V8&lt;&gt;"",AN$2&gt;=$F8,AN$2&lt;=$V8,WEEKDAY(AN$2,2)&lt;6),$Q8/$U8,"")</f>
        <v/>
      </c>
      <c r="AO8" s="59">
        <f>IF(AND($F8&lt;&gt;"",$V8&lt;&gt;"",AO$2&gt;=$F8,AO$2&lt;=$V8,WEEKDAY(AO$2,2)&lt;6),$Q8/$U8,"")</f>
        <v/>
      </c>
      <c r="AP8" s="59">
        <f>IF(AND($F8&lt;&gt;"",$V8&lt;&gt;"",AP$2&gt;=$F8,AP$2&lt;=$V8,WEEKDAY(AP$2,2)&lt;6),$Q8/$U8,"")</f>
        <v/>
      </c>
      <c r="AQ8" s="59">
        <f>IF(AND($F8&lt;&gt;"",$V8&lt;&gt;"",AQ$2&gt;=$F8,AQ$2&lt;=$V8,WEEKDAY(AQ$2,2)&lt;6),$Q8/$U8,"")</f>
        <v/>
      </c>
      <c r="AR8" s="59">
        <f>IF(AND($F8&lt;&gt;"",$V8&lt;&gt;"",AR$2&gt;=$F8,AR$2&lt;=$V8,WEEKDAY(AR$2,2)&lt;6),$Q8/$U8,"")</f>
        <v/>
      </c>
      <c r="AS8" s="59">
        <f>IF(AND($F8&lt;&gt;"",$V8&lt;&gt;"",AS$2&gt;=$F8,AS$2&lt;=$V8,WEEKDAY(AS$2,2)&lt;6),$Q8/$U8,"")</f>
        <v/>
      </c>
      <c r="AT8" s="59">
        <f>IF(AND($F8&lt;&gt;"",$V8&lt;&gt;"",AT$2&gt;=$F8,AT$2&lt;=$V8,WEEKDAY(AT$2,2)&lt;6),$Q8/$U8,"")</f>
        <v/>
      </c>
      <c r="AU8" s="59">
        <f>IF(AND($F8&lt;&gt;"",$V8&lt;&gt;"",AU$2&gt;=$F8,AU$2&lt;=$V8,WEEKDAY(AU$2,2)&lt;6),$Q8/$U8,"")</f>
        <v/>
      </c>
      <c r="AV8" s="59">
        <f>IF(AND($F8&lt;&gt;"",$V8&lt;&gt;"",AV$2&gt;=$F8,AV$2&lt;=$V8,WEEKDAY(AV$2,2)&lt;6),$Q8/$U8,"")</f>
        <v/>
      </c>
      <c r="AW8" s="59">
        <f>IF(AND($F8&lt;&gt;"",$V8&lt;&gt;"",AW$2&gt;=$F8,AW$2&lt;=$V8,WEEKDAY(AW$2,2)&lt;6),$Q8/$U8,"")</f>
        <v/>
      </c>
      <c r="AX8" s="59">
        <f>IF(AND($F8&lt;&gt;"",$V8&lt;&gt;"",AX$2&gt;=$F8,AX$2&lt;=$V8,WEEKDAY(AX$2,2)&lt;6),$Q8/$U8,"")</f>
        <v/>
      </c>
      <c r="AY8" s="59">
        <f>IF(AND($F8&lt;&gt;"",$V8&lt;&gt;"",AY$2&gt;=$F8,AY$2&lt;=$V8,WEEKDAY(AY$2,2)&lt;6),$Q8/$U8,"")</f>
        <v/>
      </c>
      <c r="AZ8" s="59">
        <f>IF(AND($F8&lt;&gt;"",$V8&lt;&gt;"",AZ$2&gt;=$F8,AZ$2&lt;=$V8,WEEKDAY(AZ$2,2)&lt;6),$Q8/$U8,"")</f>
        <v/>
      </c>
      <c r="BA8" s="59">
        <f>IF(AND($F8&lt;&gt;"",$V8&lt;&gt;"",BA$2&gt;=$F8,BA$2&lt;=$V8,WEEKDAY(BA$2,2)&lt;6),$Q8/$U8,"")</f>
        <v/>
      </c>
      <c r="BB8" s="59">
        <f>IF(AND($F8&lt;&gt;"",$V8&lt;&gt;"",BB$2&gt;=$F8,BB$2&lt;=$V8,WEEKDAY(BB$2,2)&lt;6),$Q8/$U8,"")</f>
        <v/>
      </c>
      <c r="BC8" s="59">
        <f>IF(AND($F8&lt;&gt;"",$V8&lt;&gt;"",BC$2&gt;=$F8,BC$2&lt;=$V8,WEEKDAY(BC$2,2)&lt;6),$Q8/$U8,"")</f>
        <v/>
      </c>
      <c r="BD8" s="59">
        <f>IF(AND($F8&lt;&gt;"",$V8&lt;&gt;"",BD$2&gt;=$F8,BD$2&lt;=$V8,WEEKDAY(BD$2,2)&lt;6),$Q8/$U8,"")</f>
        <v/>
      </c>
    </row>
    <row r="9">
      <c r="A9" s="34">
        <f>IF(E9="","",COUNTA($E$8:E9))</f>
        <v/>
      </c>
      <c r="B9" s="52" t="n"/>
      <c r="C9" s="53" t="n"/>
      <c r="D9" s="53" t="n"/>
      <c r="E9" s="52" t="n"/>
      <c r="F9" s="54" t="n"/>
      <c r="G9" s="54" t="n"/>
      <c r="H9" s="53" t="n"/>
      <c r="I9" s="53" t="n"/>
      <c r="J9" s="53" t="n"/>
      <c r="K9" s="52" t="n"/>
      <c r="L9" s="55" t="n"/>
      <c r="M9" s="52" t="n"/>
      <c r="N9" s="55" t="n"/>
      <c r="O9" s="52" t="n"/>
      <c r="P9" s="55" t="n"/>
      <c r="Q9" s="56">
        <f>IF(SUM(L9,N9,P9)=0,"",SUM(L9,N9,P9))</f>
        <v/>
      </c>
      <c r="R9" s="57">
        <f>IF(L9&gt;0,"영 ","")&amp;IF(N9&gt;0,"이 ","")&amp;IF(P9&gt;0,"기 ","")</f>
        <v/>
      </c>
      <c r="S9" s="34">
        <f>IF(F9="","","W"&amp;ROUNDUP(DAY(F9)/7,0))</f>
        <v/>
      </c>
      <c r="T9" s="53" t="n"/>
      <c r="U9" s="34">
        <f>IF(Q9="",0,ROUNDUP(MAX(L9,N9,P9)/'마스터'!$J$5,0))</f>
        <v/>
      </c>
      <c r="V9" s="58">
        <f>IF(OR(F9="",U9=0),"",WORKDAY(F9,U9-1))</f>
        <v/>
      </c>
      <c r="W9" s="57">
        <f>IF(OR(G9="",V9=""),"",G9-V9)</f>
        <v/>
      </c>
      <c r="X9" s="52" t="n"/>
      <c r="Z9" s="59">
        <f>IF(AND($F9&lt;&gt;"",$V9&lt;&gt;"",Z$2&gt;=$F9,Z$2&lt;=$V9,WEEKDAY(Z$2,2)&lt;6),$Q9/$U9,"")</f>
        <v/>
      </c>
      <c r="AA9" s="59">
        <f>IF(AND($F9&lt;&gt;"",$V9&lt;&gt;"",AA$2&gt;=$F9,AA$2&lt;=$V9,WEEKDAY(AA$2,2)&lt;6),$Q9/$U9,"")</f>
        <v/>
      </c>
      <c r="AB9" s="59">
        <f>IF(AND($F9&lt;&gt;"",$V9&lt;&gt;"",AB$2&gt;=$F9,AB$2&lt;=$V9,WEEKDAY(AB$2,2)&lt;6),$Q9/$U9,"")</f>
        <v/>
      </c>
      <c r="AC9" s="59">
        <f>IF(AND($F9&lt;&gt;"",$V9&lt;&gt;"",AC$2&gt;=$F9,AC$2&lt;=$V9,WEEKDAY(AC$2,2)&lt;6),$Q9/$U9,"")</f>
        <v/>
      </c>
      <c r="AD9" s="59">
        <f>IF(AND($F9&lt;&gt;"",$V9&lt;&gt;"",AD$2&gt;=$F9,AD$2&lt;=$V9,WEEKDAY(AD$2,2)&lt;6),$Q9/$U9,"")</f>
        <v/>
      </c>
      <c r="AE9" s="59">
        <f>IF(AND($F9&lt;&gt;"",$V9&lt;&gt;"",AE$2&gt;=$F9,AE$2&lt;=$V9,WEEKDAY(AE$2,2)&lt;6),$Q9/$U9,"")</f>
        <v/>
      </c>
      <c r="AF9" s="59">
        <f>IF(AND($F9&lt;&gt;"",$V9&lt;&gt;"",AF$2&gt;=$F9,AF$2&lt;=$V9,WEEKDAY(AF$2,2)&lt;6),$Q9/$U9,"")</f>
        <v/>
      </c>
      <c r="AG9" s="59">
        <f>IF(AND($F9&lt;&gt;"",$V9&lt;&gt;"",AG$2&gt;=$F9,AG$2&lt;=$V9,WEEKDAY(AG$2,2)&lt;6),$Q9/$U9,"")</f>
        <v/>
      </c>
      <c r="AH9" s="59">
        <f>IF(AND($F9&lt;&gt;"",$V9&lt;&gt;"",AH$2&gt;=$F9,AH$2&lt;=$V9,WEEKDAY(AH$2,2)&lt;6),$Q9/$U9,"")</f>
        <v/>
      </c>
      <c r="AI9" s="59">
        <f>IF(AND($F9&lt;&gt;"",$V9&lt;&gt;"",AI$2&gt;=$F9,AI$2&lt;=$V9,WEEKDAY(AI$2,2)&lt;6),$Q9/$U9,"")</f>
        <v/>
      </c>
      <c r="AJ9" s="59">
        <f>IF(AND($F9&lt;&gt;"",$V9&lt;&gt;"",AJ$2&gt;=$F9,AJ$2&lt;=$V9,WEEKDAY(AJ$2,2)&lt;6),$Q9/$U9,"")</f>
        <v/>
      </c>
      <c r="AK9" s="59">
        <f>IF(AND($F9&lt;&gt;"",$V9&lt;&gt;"",AK$2&gt;=$F9,AK$2&lt;=$V9,WEEKDAY(AK$2,2)&lt;6),$Q9/$U9,"")</f>
        <v/>
      </c>
      <c r="AL9" s="59">
        <f>IF(AND($F9&lt;&gt;"",$V9&lt;&gt;"",AL$2&gt;=$F9,AL$2&lt;=$V9,WEEKDAY(AL$2,2)&lt;6),$Q9/$U9,"")</f>
        <v/>
      </c>
      <c r="AM9" s="59">
        <f>IF(AND($F9&lt;&gt;"",$V9&lt;&gt;"",AM$2&gt;=$F9,AM$2&lt;=$V9,WEEKDAY(AM$2,2)&lt;6),$Q9/$U9,"")</f>
        <v/>
      </c>
      <c r="AN9" s="59">
        <f>IF(AND($F9&lt;&gt;"",$V9&lt;&gt;"",AN$2&gt;=$F9,AN$2&lt;=$V9,WEEKDAY(AN$2,2)&lt;6),$Q9/$U9,"")</f>
        <v/>
      </c>
      <c r="AO9" s="59">
        <f>IF(AND($F9&lt;&gt;"",$V9&lt;&gt;"",AO$2&gt;=$F9,AO$2&lt;=$V9,WEEKDAY(AO$2,2)&lt;6),$Q9/$U9,"")</f>
        <v/>
      </c>
      <c r="AP9" s="59">
        <f>IF(AND($F9&lt;&gt;"",$V9&lt;&gt;"",AP$2&gt;=$F9,AP$2&lt;=$V9,WEEKDAY(AP$2,2)&lt;6),$Q9/$U9,"")</f>
        <v/>
      </c>
      <c r="AQ9" s="59">
        <f>IF(AND($F9&lt;&gt;"",$V9&lt;&gt;"",AQ$2&gt;=$F9,AQ$2&lt;=$V9,WEEKDAY(AQ$2,2)&lt;6),$Q9/$U9,"")</f>
        <v/>
      </c>
      <c r="AR9" s="59">
        <f>IF(AND($F9&lt;&gt;"",$V9&lt;&gt;"",AR$2&gt;=$F9,AR$2&lt;=$V9,WEEKDAY(AR$2,2)&lt;6),$Q9/$U9,"")</f>
        <v/>
      </c>
      <c r="AS9" s="59">
        <f>IF(AND($F9&lt;&gt;"",$V9&lt;&gt;"",AS$2&gt;=$F9,AS$2&lt;=$V9,WEEKDAY(AS$2,2)&lt;6),$Q9/$U9,"")</f>
        <v/>
      </c>
      <c r="AT9" s="59">
        <f>IF(AND($F9&lt;&gt;"",$V9&lt;&gt;"",AT$2&gt;=$F9,AT$2&lt;=$V9,WEEKDAY(AT$2,2)&lt;6),$Q9/$U9,"")</f>
        <v/>
      </c>
      <c r="AU9" s="59">
        <f>IF(AND($F9&lt;&gt;"",$V9&lt;&gt;"",AU$2&gt;=$F9,AU$2&lt;=$V9,WEEKDAY(AU$2,2)&lt;6),$Q9/$U9,"")</f>
        <v/>
      </c>
      <c r="AV9" s="59">
        <f>IF(AND($F9&lt;&gt;"",$V9&lt;&gt;"",AV$2&gt;=$F9,AV$2&lt;=$V9,WEEKDAY(AV$2,2)&lt;6),$Q9/$U9,"")</f>
        <v/>
      </c>
      <c r="AW9" s="59">
        <f>IF(AND($F9&lt;&gt;"",$V9&lt;&gt;"",AW$2&gt;=$F9,AW$2&lt;=$V9,WEEKDAY(AW$2,2)&lt;6),$Q9/$U9,"")</f>
        <v/>
      </c>
      <c r="AX9" s="59">
        <f>IF(AND($F9&lt;&gt;"",$V9&lt;&gt;"",AX$2&gt;=$F9,AX$2&lt;=$V9,WEEKDAY(AX$2,2)&lt;6),$Q9/$U9,"")</f>
        <v/>
      </c>
      <c r="AY9" s="59">
        <f>IF(AND($F9&lt;&gt;"",$V9&lt;&gt;"",AY$2&gt;=$F9,AY$2&lt;=$V9,WEEKDAY(AY$2,2)&lt;6),$Q9/$U9,"")</f>
        <v/>
      </c>
      <c r="AZ9" s="59">
        <f>IF(AND($F9&lt;&gt;"",$V9&lt;&gt;"",AZ$2&gt;=$F9,AZ$2&lt;=$V9,WEEKDAY(AZ$2,2)&lt;6),$Q9/$U9,"")</f>
        <v/>
      </c>
      <c r="BA9" s="59">
        <f>IF(AND($F9&lt;&gt;"",$V9&lt;&gt;"",BA$2&gt;=$F9,BA$2&lt;=$V9,WEEKDAY(BA$2,2)&lt;6),$Q9/$U9,"")</f>
        <v/>
      </c>
      <c r="BB9" s="59">
        <f>IF(AND($F9&lt;&gt;"",$V9&lt;&gt;"",BB$2&gt;=$F9,BB$2&lt;=$V9,WEEKDAY(BB$2,2)&lt;6),$Q9/$U9,"")</f>
        <v/>
      </c>
      <c r="BC9" s="59">
        <f>IF(AND($F9&lt;&gt;"",$V9&lt;&gt;"",BC$2&gt;=$F9,BC$2&lt;=$V9,WEEKDAY(BC$2,2)&lt;6),$Q9/$U9,"")</f>
        <v/>
      </c>
      <c r="BD9" s="59">
        <f>IF(AND($F9&lt;&gt;"",$V9&lt;&gt;"",BD$2&gt;=$F9,BD$2&lt;=$V9,WEEKDAY(BD$2,2)&lt;6),$Q9/$U9,"")</f>
        <v/>
      </c>
    </row>
    <row r="10">
      <c r="A10" s="34">
        <f>IF(E10="","",COUNTA($E$8:E10))</f>
        <v/>
      </c>
      <c r="B10" s="52" t="n"/>
      <c r="C10" s="53" t="n"/>
      <c r="D10" s="53" t="n"/>
      <c r="E10" s="52" t="n"/>
      <c r="F10" s="54" t="n"/>
      <c r="G10" s="54" t="n"/>
      <c r="H10" s="53" t="n"/>
      <c r="I10" s="53" t="n"/>
      <c r="J10" s="53" t="n"/>
      <c r="K10" s="52" t="n"/>
      <c r="L10" s="55" t="n"/>
      <c r="M10" s="52" t="n"/>
      <c r="N10" s="55" t="n"/>
      <c r="O10" s="52" t="n"/>
      <c r="P10" s="55" t="n"/>
      <c r="Q10" s="56">
        <f>IF(SUM(L10,N10,P10)=0,"",SUM(L10,N10,P10))</f>
        <v/>
      </c>
      <c r="R10" s="57">
        <f>IF(L10&gt;0,"영 ","")&amp;IF(N10&gt;0,"이 ","")&amp;IF(P10&gt;0,"기 ","")</f>
        <v/>
      </c>
      <c r="S10" s="34">
        <f>IF(F10="","","W"&amp;ROUNDUP(DAY(F10)/7,0))</f>
        <v/>
      </c>
      <c r="T10" s="53" t="n"/>
      <c r="U10" s="34">
        <f>IF(Q10="",0,ROUNDUP(MAX(L10,N10,P10)/'마스터'!$J$5,0))</f>
        <v/>
      </c>
      <c r="V10" s="58">
        <f>IF(OR(F10="",U10=0),"",WORKDAY(F10,U10-1))</f>
        <v/>
      </c>
      <c r="W10" s="57">
        <f>IF(OR(G10="",V10=""),"",G10-V10)</f>
        <v/>
      </c>
      <c r="X10" s="52" t="n"/>
      <c r="Z10" s="59">
        <f>IF(AND($F10&lt;&gt;"",$V10&lt;&gt;"",Z$2&gt;=$F10,Z$2&lt;=$V10,WEEKDAY(Z$2,2)&lt;6),$Q10/$U10,"")</f>
        <v/>
      </c>
      <c r="AA10" s="59">
        <f>IF(AND($F10&lt;&gt;"",$V10&lt;&gt;"",AA$2&gt;=$F10,AA$2&lt;=$V10,WEEKDAY(AA$2,2)&lt;6),$Q10/$U10,"")</f>
        <v/>
      </c>
      <c r="AB10" s="59">
        <f>IF(AND($F10&lt;&gt;"",$V10&lt;&gt;"",AB$2&gt;=$F10,AB$2&lt;=$V10,WEEKDAY(AB$2,2)&lt;6),$Q10/$U10,"")</f>
        <v/>
      </c>
      <c r="AC10" s="59">
        <f>IF(AND($F10&lt;&gt;"",$V10&lt;&gt;"",AC$2&gt;=$F10,AC$2&lt;=$V10,WEEKDAY(AC$2,2)&lt;6),$Q10/$U10,"")</f>
        <v/>
      </c>
      <c r="AD10" s="59">
        <f>IF(AND($F10&lt;&gt;"",$V10&lt;&gt;"",AD$2&gt;=$F10,AD$2&lt;=$V10,WEEKDAY(AD$2,2)&lt;6),$Q10/$U10,"")</f>
        <v/>
      </c>
      <c r="AE10" s="59">
        <f>IF(AND($F10&lt;&gt;"",$V10&lt;&gt;"",AE$2&gt;=$F10,AE$2&lt;=$V10,WEEKDAY(AE$2,2)&lt;6),$Q10/$U10,"")</f>
        <v/>
      </c>
      <c r="AF10" s="59">
        <f>IF(AND($F10&lt;&gt;"",$V10&lt;&gt;"",AF$2&gt;=$F10,AF$2&lt;=$V10,WEEKDAY(AF$2,2)&lt;6),$Q10/$U10,"")</f>
        <v/>
      </c>
      <c r="AG10" s="59">
        <f>IF(AND($F10&lt;&gt;"",$V10&lt;&gt;"",AG$2&gt;=$F10,AG$2&lt;=$V10,WEEKDAY(AG$2,2)&lt;6),$Q10/$U10,"")</f>
        <v/>
      </c>
      <c r="AH10" s="59">
        <f>IF(AND($F10&lt;&gt;"",$V10&lt;&gt;"",AH$2&gt;=$F10,AH$2&lt;=$V10,WEEKDAY(AH$2,2)&lt;6),$Q10/$U10,"")</f>
        <v/>
      </c>
      <c r="AI10" s="59">
        <f>IF(AND($F10&lt;&gt;"",$V10&lt;&gt;"",AI$2&gt;=$F10,AI$2&lt;=$V10,WEEKDAY(AI$2,2)&lt;6),$Q10/$U10,"")</f>
        <v/>
      </c>
      <c r="AJ10" s="59">
        <f>IF(AND($F10&lt;&gt;"",$V10&lt;&gt;"",AJ$2&gt;=$F10,AJ$2&lt;=$V10,WEEKDAY(AJ$2,2)&lt;6),$Q10/$U10,"")</f>
        <v/>
      </c>
      <c r="AK10" s="59">
        <f>IF(AND($F10&lt;&gt;"",$V10&lt;&gt;"",AK$2&gt;=$F10,AK$2&lt;=$V10,WEEKDAY(AK$2,2)&lt;6),$Q10/$U10,"")</f>
        <v/>
      </c>
      <c r="AL10" s="59">
        <f>IF(AND($F10&lt;&gt;"",$V10&lt;&gt;"",AL$2&gt;=$F10,AL$2&lt;=$V10,WEEKDAY(AL$2,2)&lt;6),$Q10/$U10,"")</f>
        <v/>
      </c>
      <c r="AM10" s="59">
        <f>IF(AND($F10&lt;&gt;"",$V10&lt;&gt;"",AM$2&gt;=$F10,AM$2&lt;=$V10,WEEKDAY(AM$2,2)&lt;6),$Q10/$U10,"")</f>
        <v/>
      </c>
      <c r="AN10" s="59">
        <f>IF(AND($F10&lt;&gt;"",$V10&lt;&gt;"",AN$2&gt;=$F10,AN$2&lt;=$V10,WEEKDAY(AN$2,2)&lt;6),$Q10/$U10,"")</f>
        <v/>
      </c>
      <c r="AO10" s="59">
        <f>IF(AND($F10&lt;&gt;"",$V10&lt;&gt;"",AO$2&gt;=$F10,AO$2&lt;=$V10,WEEKDAY(AO$2,2)&lt;6),$Q10/$U10,"")</f>
        <v/>
      </c>
      <c r="AP10" s="59">
        <f>IF(AND($F10&lt;&gt;"",$V10&lt;&gt;"",AP$2&gt;=$F10,AP$2&lt;=$V10,WEEKDAY(AP$2,2)&lt;6),$Q10/$U10,"")</f>
        <v/>
      </c>
      <c r="AQ10" s="59">
        <f>IF(AND($F10&lt;&gt;"",$V10&lt;&gt;"",AQ$2&gt;=$F10,AQ$2&lt;=$V10,WEEKDAY(AQ$2,2)&lt;6),$Q10/$U10,"")</f>
        <v/>
      </c>
      <c r="AR10" s="59">
        <f>IF(AND($F10&lt;&gt;"",$V10&lt;&gt;"",AR$2&gt;=$F10,AR$2&lt;=$V10,WEEKDAY(AR$2,2)&lt;6),$Q10/$U10,"")</f>
        <v/>
      </c>
      <c r="AS10" s="59">
        <f>IF(AND($F10&lt;&gt;"",$V10&lt;&gt;"",AS$2&gt;=$F10,AS$2&lt;=$V10,WEEKDAY(AS$2,2)&lt;6),$Q10/$U10,"")</f>
        <v/>
      </c>
      <c r="AT10" s="59">
        <f>IF(AND($F10&lt;&gt;"",$V10&lt;&gt;"",AT$2&gt;=$F10,AT$2&lt;=$V10,WEEKDAY(AT$2,2)&lt;6),$Q10/$U10,"")</f>
        <v/>
      </c>
      <c r="AU10" s="59">
        <f>IF(AND($F10&lt;&gt;"",$V10&lt;&gt;"",AU$2&gt;=$F10,AU$2&lt;=$V10,WEEKDAY(AU$2,2)&lt;6),$Q10/$U10,"")</f>
        <v/>
      </c>
      <c r="AV10" s="59">
        <f>IF(AND($F10&lt;&gt;"",$V10&lt;&gt;"",AV$2&gt;=$F10,AV$2&lt;=$V10,WEEKDAY(AV$2,2)&lt;6),$Q10/$U10,"")</f>
        <v/>
      </c>
      <c r="AW10" s="59">
        <f>IF(AND($F10&lt;&gt;"",$V10&lt;&gt;"",AW$2&gt;=$F10,AW$2&lt;=$V10,WEEKDAY(AW$2,2)&lt;6),$Q10/$U10,"")</f>
        <v/>
      </c>
      <c r="AX10" s="59">
        <f>IF(AND($F10&lt;&gt;"",$V10&lt;&gt;"",AX$2&gt;=$F10,AX$2&lt;=$V10,WEEKDAY(AX$2,2)&lt;6),$Q10/$U10,"")</f>
        <v/>
      </c>
      <c r="AY10" s="59">
        <f>IF(AND($F10&lt;&gt;"",$V10&lt;&gt;"",AY$2&gt;=$F10,AY$2&lt;=$V10,WEEKDAY(AY$2,2)&lt;6),$Q10/$U10,"")</f>
        <v/>
      </c>
      <c r="AZ10" s="59">
        <f>IF(AND($F10&lt;&gt;"",$V10&lt;&gt;"",AZ$2&gt;=$F10,AZ$2&lt;=$V10,WEEKDAY(AZ$2,2)&lt;6),$Q10/$U10,"")</f>
        <v/>
      </c>
      <c r="BA10" s="59">
        <f>IF(AND($F10&lt;&gt;"",$V10&lt;&gt;"",BA$2&gt;=$F10,BA$2&lt;=$V10,WEEKDAY(BA$2,2)&lt;6),$Q10/$U10,"")</f>
        <v/>
      </c>
      <c r="BB10" s="59">
        <f>IF(AND($F10&lt;&gt;"",$V10&lt;&gt;"",BB$2&gt;=$F10,BB$2&lt;=$V10,WEEKDAY(BB$2,2)&lt;6),$Q10/$U10,"")</f>
        <v/>
      </c>
      <c r="BC10" s="59">
        <f>IF(AND($F10&lt;&gt;"",$V10&lt;&gt;"",BC$2&gt;=$F10,BC$2&lt;=$V10,WEEKDAY(BC$2,2)&lt;6),$Q10/$U10,"")</f>
        <v/>
      </c>
      <c r="BD10" s="59">
        <f>IF(AND($F10&lt;&gt;"",$V10&lt;&gt;"",BD$2&gt;=$F10,BD$2&lt;=$V10,WEEKDAY(BD$2,2)&lt;6),$Q10/$U10,"")</f>
        <v/>
      </c>
    </row>
    <row r="11">
      <c r="A11" s="34">
        <f>IF(E11="","",COUNTA($E$8:E11))</f>
        <v/>
      </c>
      <c r="B11" s="52" t="n"/>
      <c r="C11" s="53" t="n"/>
      <c r="D11" s="53" t="n"/>
      <c r="E11" s="52" t="n"/>
      <c r="F11" s="54" t="n"/>
      <c r="G11" s="54" t="n"/>
      <c r="H11" s="53" t="n"/>
      <c r="I11" s="53" t="n"/>
      <c r="J11" s="53" t="n"/>
      <c r="K11" s="52" t="n"/>
      <c r="L11" s="55" t="n"/>
      <c r="M11" s="52" t="n"/>
      <c r="N11" s="55" t="n"/>
      <c r="O11" s="52" t="n"/>
      <c r="P11" s="55" t="n"/>
      <c r="Q11" s="56">
        <f>IF(SUM(L11,N11,P11)=0,"",SUM(L11,N11,P11))</f>
        <v/>
      </c>
      <c r="R11" s="57">
        <f>IF(L11&gt;0,"영 ","")&amp;IF(N11&gt;0,"이 ","")&amp;IF(P11&gt;0,"기 ","")</f>
        <v/>
      </c>
      <c r="S11" s="34">
        <f>IF(F11="","","W"&amp;ROUNDUP(DAY(F11)/7,0))</f>
        <v/>
      </c>
      <c r="T11" s="53" t="n"/>
      <c r="U11" s="34">
        <f>IF(Q11="",0,ROUNDUP(MAX(L11,N11,P11)/'마스터'!$J$5,0))</f>
        <v/>
      </c>
      <c r="V11" s="58">
        <f>IF(OR(F11="",U11=0),"",WORKDAY(F11,U11-1))</f>
        <v/>
      </c>
      <c r="W11" s="57">
        <f>IF(OR(G11="",V11=""),"",G11-V11)</f>
        <v/>
      </c>
      <c r="X11" s="52" t="n"/>
      <c r="Z11" s="59">
        <f>IF(AND($F11&lt;&gt;"",$V11&lt;&gt;"",Z$2&gt;=$F11,Z$2&lt;=$V11,WEEKDAY(Z$2,2)&lt;6),$Q11/$U11,"")</f>
        <v/>
      </c>
      <c r="AA11" s="59">
        <f>IF(AND($F11&lt;&gt;"",$V11&lt;&gt;"",AA$2&gt;=$F11,AA$2&lt;=$V11,WEEKDAY(AA$2,2)&lt;6),$Q11/$U11,"")</f>
        <v/>
      </c>
      <c r="AB11" s="59">
        <f>IF(AND($F11&lt;&gt;"",$V11&lt;&gt;"",AB$2&gt;=$F11,AB$2&lt;=$V11,WEEKDAY(AB$2,2)&lt;6),$Q11/$U11,"")</f>
        <v/>
      </c>
      <c r="AC11" s="59">
        <f>IF(AND($F11&lt;&gt;"",$V11&lt;&gt;"",AC$2&gt;=$F11,AC$2&lt;=$V11,WEEKDAY(AC$2,2)&lt;6),$Q11/$U11,"")</f>
        <v/>
      </c>
      <c r="AD11" s="59">
        <f>IF(AND($F11&lt;&gt;"",$V11&lt;&gt;"",AD$2&gt;=$F11,AD$2&lt;=$V11,WEEKDAY(AD$2,2)&lt;6),$Q11/$U11,"")</f>
        <v/>
      </c>
      <c r="AE11" s="59">
        <f>IF(AND($F11&lt;&gt;"",$V11&lt;&gt;"",AE$2&gt;=$F11,AE$2&lt;=$V11,WEEKDAY(AE$2,2)&lt;6),$Q11/$U11,"")</f>
        <v/>
      </c>
      <c r="AF11" s="59">
        <f>IF(AND($F11&lt;&gt;"",$V11&lt;&gt;"",AF$2&gt;=$F11,AF$2&lt;=$V11,WEEKDAY(AF$2,2)&lt;6),$Q11/$U11,"")</f>
        <v/>
      </c>
      <c r="AG11" s="59">
        <f>IF(AND($F11&lt;&gt;"",$V11&lt;&gt;"",AG$2&gt;=$F11,AG$2&lt;=$V11,WEEKDAY(AG$2,2)&lt;6),$Q11/$U11,"")</f>
        <v/>
      </c>
      <c r="AH11" s="59">
        <f>IF(AND($F11&lt;&gt;"",$V11&lt;&gt;"",AH$2&gt;=$F11,AH$2&lt;=$V11,WEEKDAY(AH$2,2)&lt;6),$Q11/$U11,"")</f>
        <v/>
      </c>
      <c r="AI11" s="59">
        <f>IF(AND($F11&lt;&gt;"",$V11&lt;&gt;"",AI$2&gt;=$F11,AI$2&lt;=$V11,WEEKDAY(AI$2,2)&lt;6),$Q11/$U11,"")</f>
        <v/>
      </c>
      <c r="AJ11" s="59">
        <f>IF(AND($F11&lt;&gt;"",$V11&lt;&gt;"",AJ$2&gt;=$F11,AJ$2&lt;=$V11,WEEKDAY(AJ$2,2)&lt;6),$Q11/$U11,"")</f>
        <v/>
      </c>
      <c r="AK11" s="59">
        <f>IF(AND($F11&lt;&gt;"",$V11&lt;&gt;"",AK$2&gt;=$F11,AK$2&lt;=$V11,WEEKDAY(AK$2,2)&lt;6),$Q11/$U11,"")</f>
        <v/>
      </c>
      <c r="AL11" s="59">
        <f>IF(AND($F11&lt;&gt;"",$V11&lt;&gt;"",AL$2&gt;=$F11,AL$2&lt;=$V11,WEEKDAY(AL$2,2)&lt;6),$Q11/$U11,"")</f>
        <v/>
      </c>
      <c r="AM11" s="59">
        <f>IF(AND($F11&lt;&gt;"",$V11&lt;&gt;"",AM$2&gt;=$F11,AM$2&lt;=$V11,WEEKDAY(AM$2,2)&lt;6),$Q11/$U11,"")</f>
        <v/>
      </c>
      <c r="AN11" s="59">
        <f>IF(AND($F11&lt;&gt;"",$V11&lt;&gt;"",AN$2&gt;=$F11,AN$2&lt;=$V11,WEEKDAY(AN$2,2)&lt;6),$Q11/$U11,"")</f>
        <v/>
      </c>
      <c r="AO11" s="59">
        <f>IF(AND($F11&lt;&gt;"",$V11&lt;&gt;"",AO$2&gt;=$F11,AO$2&lt;=$V11,WEEKDAY(AO$2,2)&lt;6),$Q11/$U11,"")</f>
        <v/>
      </c>
      <c r="AP11" s="59">
        <f>IF(AND($F11&lt;&gt;"",$V11&lt;&gt;"",AP$2&gt;=$F11,AP$2&lt;=$V11,WEEKDAY(AP$2,2)&lt;6),$Q11/$U11,"")</f>
        <v/>
      </c>
      <c r="AQ11" s="59">
        <f>IF(AND($F11&lt;&gt;"",$V11&lt;&gt;"",AQ$2&gt;=$F11,AQ$2&lt;=$V11,WEEKDAY(AQ$2,2)&lt;6),$Q11/$U11,"")</f>
        <v/>
      </c>
      <c r="AR11" s="59">
        <f>IF(AND($F11&lt;&gt;"",$V11&lt;&gt;"",AR$2&gt;=$F11,AR$2&lt;=$V11,WEEKDAY(AR$2,2)&lt;6),$Q11/$U11,"")</f>
        <v/>
      </c>
      <c r="AS11" s="59">
        <f>IF(AND($F11&lt;&gt;"",$V11&lt;&gt;"",AS$2&gt;=$F11,AS$2&lt;=$V11,WEEKDAY(AS$2,2)&lt;6),$Q11/$U11,"")</f>
        <v/>
      </c>
      <c r="AT11" s="59">
        <f>IF(AND($F11&lt;&gt;"",$V11&lt;&gt;"",AT$2&gt;=$F11,AT$2&lt;=$V11,WEEKDAY(AT$2,2)&lt;6),$Q11/$U11,"")</f>
        <v/>
      </c>
      <c r="AU11" s="59">
        <f>IF(AND($F11&lt;&gt;"",$V11&lt;&gt;"",AU$2&gt;=$F11,AU$2&lt;=$V11,WEEKDAY(AU$2,2)&lt;6),$Q11/$U11,"")</f>
        <v/>
      </c>
      <c r="AV11" s="59">
        <f>IF(AND($F11&lt;&gt;"",$V11&lt;&gt;"",AV$2&gt;=$F11,AV$2&lt;=$V11,WEEKDAY(AV$2,2)&lt;6),$Q11/$U11,"")</f>
        <v/>
      </c>
      <c r="AW11" s="59">
        <f>IF(AND($F11&lt;&gt;"",$V11&lt;&gt;"",AW$2&gt;=$F11,AW$2&lt;=$V11,WEEKDAY(AW$2,2)&lt;6),$Q11/$U11,"")</f>
        <v/>
      </c>
      <c r="AX11" s="59">
        <f>IF(AND($F11&lt;&gt;"",$V11&lt;&gt;"",AX$2&gt;=$F11,AX$2&lt;=$V11,WEEKDAY(AX$2,2)&lt;6),$Q11/$U11,"")</f>
        <v/>
      </c>
      <c r="AY11" s="59">
        <f>IF(AND($F11&lt;&gt;"",$V11&lt;&gt;"",AY$2&gt;=$F11,AY$2&lt;=$V11,WEEKDAY(AY$2,2)&lt;6),$Q11/$U11,"")</f>
        <v/>
      </c>
      <c r="AZ11" s="59">
        <f>IF(AND($F11&lt;&gt;"",$V11&lt;&gt;"",AZ$2&gt;=$F11,AZ$2&lt;=$V11,WEEKDAY(AZ$2,2)&lt;6),$Q11/$U11,"")</f>
        <v/>
      </c>
      <c r="BA11" s="59">
        <f>IF(AND($F11&lt;&gt;"",$V11&lt;&gt;"",BA$2&gt;=$F11,BA$2&lt;=$V11,WEEKDAY(BA$2,2)&lt;6),$Q11/$U11,"")</f>
        <v/>
      </c>
      <c r="BB11" s="59">
        <f>IF(AND($F11&lt;&gt;"",$V11&lt;&gt;"",BB$2&gt;=$F11,BB$2&lt;=$V11,WEEKDAY(BB$2,2)&lt;6),$Q11/$U11,"")</f>
        <v/>
      </c>
      <c r="BC11" s="59">
        <f>IF(AND($F11&lt;&gt;"",$V11&lt;&gt;"",BC$2&gt;=$F11,BC$2&lt;=$V11,WEEKDAY(BC$2,2)&lt;6),$Q11/$U11,"")</f>
        <v/>
      </c>
      <c r="BD11" s="59">
        <f>IF(AND($F11&lt;&gt;"",$V11&lt;&gt;"",BD$2&gt;=$F11,BD$2&lt;=$V11,WEEKDAY(BD$2,2)&lt;6),$Q11/$U11,"")</f>
        <v/>
      </c>
    </row>
    <row r="12">
      <c r="A12" s="34">
        <f>IF(E12="","",COUNTA($E$8:E12))</f>
        <v/>
      </c>
      <c r="B12" s="52" t="n"/>
      <c r="C12" s="53" t="n"/>
      <c r="D12" s="53" t="n"/>
      <c r="E12" s="52" t="n"/>
      <c r="F12" s="54" t="n"/>
      <c r="G12" s="54" t="n"/>
      <c r="H12" s="53" t="n"/>
      <c r="I12" s="53" t="n"/>
      <c r="J12" s="53" t="n"/>
      <c r="K12" s="52" t="n"/>
      <c r="L12" s="55" t="n"/>
      <c r="M12" s="52" t="n"/>
      <c r="N12" s="55" t="n"/>
      <c r="O12" s="52" t="n"/>
      <c r="P12" s="55" t="n"/>
      <c r="Q12" s="56">
        <f>IF(SUM(L12,N12,P12)=0,"",SUM(L12,N12,P12))</f>
        <v/>
      </c>
      <c r="R12" s="57">
        <f>IF(L12&gt;0,"영 ","")&amp;IF(N12&gt;0,"이 ","")&amp;IF(P12&gt;0,"기 ","")</f>
        <v/>
      </c>
      <c r="S12" s="34">
        <f>IF(F12="","","W"&amp;ROUNDUP(DAY(F12)/7,0))</f>
        <v/>
      </c>
      <c r="T12" s="53" t="n"/>
      <c r="U12" s="34">
        <f>IF(Q12="",0,ROUNDUP(MAX(L12,N12,P12)/'마스터'!$J$5,0))</f>
        <v/>
      </c>
      <c r="V12" s="58">
        <f>IF(OR(F12="",U12=0),"",WORKDAY(F12,U12-1))</f>
        <v/>
      </c>
      <c r="W12" s="57">
        <f>IF(OR(G12="",V12=""),"",G12-V12)</f>
        <v/>
      </c>
      <c r="X12" s="52" t="n"/>
      <c r="Z12" s="59">
        <f>IF(AND($F12&lt;&gt;"",$V12&lt;&gt;"",Z$2&gt;=$F12,Z$2&lt;=$V12,WEEKDAY(Z$2,2)&lt;6),$Q12/$U12,"")</f>
        <v/>
      </c>
      <c r="AA12" s="59">
        <f>IF(AND($F12&lt;&gt;"",$V12&lt;&gt;"",AA$2&gt;=$F12,AA$2&lt;=$V12,WEEKDAY(AA$2,2)&lt;6),$Q12/$U12,"")</f>
        <v/>
      </c>
      <c r="AB12" s="59">
        <f>IF(AND($F12&lt;&gt;"",$V12&lt;&gt;"",AB$2&gt;=$F12,AB$2&lt;=$V12,WEEKDAY(AB$2,2)&lt;6),$Q12/$U12,"")</f>
        <v/>
      </c>
      <c r="AC12" s="59">
        <f>IF(AND($F12&lt;&gt;"",$V12&lt;&gt;"",AC$2&gt;=$F12,AC$2&lt;=$V12,WEEKDAY(AC$2,2)&lt;6),$Q12/$U12,"")</f>
        <v/>
      </c>
      <c r="AD12" s="59">
        <f>IF(AND($F12&lt;&gt;"",$V12&lt;&gt;"",AD$2&gt;=$F12,AD$2&lt;=$V12,WEEKDAY(AD$2,2)&lt;6),$Q12/$U12,"")</f>
        <v/>
      </c>
      <c r="AE12" s="59">
        <f>IF(AND($F12&lt;&gt;"",$V12&lt;&gt;"",AE$2&gt;=$F12,AE$2&lt;=$V12,WEEKDAY(AE$2,2)&lt;6),$Q12/$U12,"")</f>
        <v/>
      </c>
      <c r="AF12" s="59">
        <f>IF(AND($F12&lt;&gt;"",$V12&lt;&gt;"",AF$2&gt;=$F12,AF$2&lt;=$V12,WEEKDAY(AF$2,2)&lt;6),$Q12/$U12,"")</f>
        <v/>
      </c>
      <c r="AG12" s="59">
        <f>IF(AND($F12&lt;&gt;"",$V12&lt;&gt;"",AG$2&gt;=$F12,AG$2&lt;=$V12,WEEKDAY(AG$2,2)&lt;6),$Q12/$U12,"")</f>
        <v/>
      </c>
      <c r="AH12" s="59">
        <f>IF(AND($F12&lt;&gt;"",$V12&lt;&gt;"",AH$2&gt;=$F12,AH$2&lt;=$V12,WEEKDAY(AH$2,2)&lt;6),$Q12/$U12,"")</f>
        <v/>
      </c>
      <c r="AI12" s="59">
        <f>IF(AND($F12&lt;&gt;"",$V12&lt;&gt;"",AI$2&gt;=$F12,AI$2&lt;=$V12,WEEKDAY(AI$2,2)&lt;6),$Q12/$U12,"")</f>
        <v/>
      </c>
      <c r="AJ12" s="59">
        <f>IF(AND($F12&lt;&gt;"",$V12&lt;&gt;"",AJ$2&gt;=$F12,AJ$2&lt;=$V12,WEEKDAY(AJ$2,2)&lt;6),$Q12/$U12,"")</f>
        <v/>
      </c>
      <c r="AK12" s="59">
        <f>IF(AND($F12&lt;&gt;"",$V12&lt;&gt;"",AK$2&gt;=$F12,AK$2&lt;=$V12,WEEKDAY(AK$2,2)&lt;6),$Q12/$U12,"")</f>
        <v/>
      </c>
      <c r="AL12" s="59">
        <f>IF(AND($F12&lt;&gt;"",$V12&lt;&gt;"",AL$2&gt;=$F12,AL$2&lt;=$V12,WEEKDAY(AL$2,2)&lt;6),$Q12/$U12,"")</f>
        <v/>
      </c>
      <c r="AM12" s="59">
        <f>IF(AND($F12&lt;&gt;"",$V12&lt;&gt;"",AM$2&gt;=$F12,AM$2&lt;=$V12,WEEKDAY(AM$2,2)&lt;6),$Q12/$U12,"")</f>
        <v/>
      </c>
      <c r="AN12" s="59">
        <f>IF(AND($F12&lt;&gt;"",$V12&lt;&gt;"",AN$2&gt;=$F12,AN$2&lt;=$V12,WEEKDAY(AN$2,2)&lt;6),$Q12/$U12,"")</f>
        <v/>
      </c>
      <c r="AO12" s="59">
        <f>IF(AND($F12&lt;&gt;"",$V12&lt;&gt;"",AO$2&gt;=$F12,AO$2&lt;=$V12,WEEKDAY(AO$2,2)&lt;6),$Q12/$U12,"")</f>
        <v/>
      </c>
      <c r="AP12" s="59">
        <f>IF(AND($F12&lt;&gt;"",$V12&lt;&gt;"",AP$2&gt;=$F12,AP$2&lt;=$V12,WEEKDAY(AP$2,2)&lt;6),$Q12/$U12,"")</f>
        <v/>
      </c>
      <c r="AQ12" s="59">
        <f>IF(AND($F12&lt;&gt;"",$V12&lt;&gt;"",AQ$2&gt;=$F12,AQ$2&lt;=$V12,WEEKDAY(AQ$2,2)&lt;6),$Q12/$U12,"")</f>
        <v/>
      </c>
      <c r="AR12" s="59">
        <f>IF(AND($F12&lt;&gt;"",$V12&lt;&gt;"",AR$2&gt;=$F12,AR$2&lt;=$V12,WEEKDAY(AR$2,2)&lt;6),$Q12/$U12,"")</f>
        <v/>
      </c>
      <c r="AS12" s="59">
        <f>IF(AND($F12&lt;&gt;"",$V12&lt;&gt;"",AS$2&gt;=$F12,AS$2&lt;=$V12,WEEKDAY(AS$2,2)&lt;6),$Q12/$U12,"")</f>
        <v/>
      </c>
      <c r="AT12" s="59">
        <f>IF(AND($F12&lt;&gt;"",$V12&lt;&gt;"",AT$2&gt;=$F12,AT$2&lt;=$V12,WEEKDAY(AT$2,2)&lt;6),$Q12/$U12,"")</f>
        <v/>
      </c>
      <c r="AU12" s="59">
        <f>IF(AND($F12&lt;&gt;"",$V12&lt;&gt;"",AU$2&gt;=$F12,AU$2&lt;=$V12,WEEKDAY(AU$2,2)&lt;6),$Q12/$U12,"")</f>
        <v/>
      </c>
      <c r="AV12" s="59">
        <f>IF(AND($F12&lt;&gt;"",$V12&lt;&gt;"",AV$2&gt;=$F12,AV$2&lt;=$V12,WEEKDAY(AV$2,2)&lt;6),$Q12/$U12,"")</f>
        <v/>
      </c>
      <c r="AW12" s="59">
        <f>IF(AND($F12&lt;&gt;"",$V12&lt;&gt;"",AW$2&gt;=$F12,AW$2&lt;=$V12,WEEKDAY(AW$2,2)&lt;6),$Q12/$U12,"")</f>
        <v/>
      </c>
      <c r="AX12" s="59">
        <f>IF(AND($F12&lt;&gt;"",$V12&lt;&gt;"",AX$2&gt;=$F12,AX$2&lt;=$V12,WEEKDAY(AX$2,2)&lt;6),$Q12/$U12,"")</f>
        <v/>
      </c>
      <c r="AY12" s="59">
        <f>IF(AND($F12&lt;&gt;"",$V12&lt;&gt;"",AY$2&gt;=$F12,AY$2&lt;=$V12,WEEKDAY(AY$2,2)&lt;6),$Q12/$U12,"")</f>
        <v/>
      </c>
      <c r="AZ12" s="59">
        <f>IF(AND($F12&lt;&gt;"",$V12&lt;&gt;"",AZ$2&gt;=$F12,AZ$2&lt;=$V12,WEEKDAY(AZ$2,2)&lt;6),$Q12/$U12,"")</f>
        <v/>
      </c>
      <c r="BA12" s="59">
        <f>IF(AND($F12&lt;&gt;"",$V12&lt;&gt;"",BA$2&gt;=$F12,BA$2&lt;=$V12,WEEKDAY(BA$2,2)&lt;6),$Q12/$U12,"")</f>
        <v/>
      </c>
      <c r="BB12" s="59">
        <f>IF(AND($F12&lt;&gt;"",$V12&lt;&gt;"",BB$2&gt;=$F12,BB$2&lt;=$V12,WEEKDAY(BB$2,2)&lt;6),$Q12/$U12,"")</f>
        <v/>
      </c>
      <c r="BC12" s="59">
        <f>IF(AND($F12&lt;&gt;"",$V12&lt;&gt;"",BC$2&gt;=$F12,BC$2&lt;=$V12,WEEKDAY(BC$2,2)&lt;6),$Q12/$U12,"")</f>
        <v/>
      </c>
      <c r="BD12" s="59">
        <f>IF(AND($F12&lt;&gt;"",$V12&lt;&gt;"",BD$2&gt;=$F12,BD$2&lt;=$V12,WEEKDAY(BD$2,2)&lt;6),$Q12/$U12,"")</f>
        <v/>
      </c>
    </row>
    <row r="13">
      <c r="A13" s="34">
        <f>IF(E13="","",COUNTA($E$8:E13))</f>
        <v/>
      </c>
      <c r="B13" s="52" t="n"/>
      <c r="C13" s="53" t="n"/>
      <c r="D13" s="53" t="n"/>
      <c r="E13" s="52" t="n"/>
      <c r="F13" s="54" t="n"/>
      <c r="G13" s="54" t="n"/>
      <c r="H13" s="53" t="n"/>
      <c r="I13" s="53" t="n"/>
      <c r="J13" s="53" t="n"/>
      <c r="K13" s="52" t="n"/>
      <c r="L13" s="55" t="n"/>
      <c r="M13" s="52" t="n"/>
      <c r="N13" s="55" t="n"/>
      <c r="O13" s="52" t="n"/>
      <c r="P13" s="55" t="n"/>
      <c r="Q13" s="56">
        <f>IF(SUM(L13,N13,P13)=0,"",SUM(L13,N13,P13))</f>
        <v/>
      </c>
      <c r="R13" s="57">
        <f>IF(L13&gt;0,"영 ","")&amp;IF(N13&gt;0,"이 ","")&amp;IF(P13&gt;0,"기 ","")</f>
        <v/>
      </c>
      <c r="S13" s="34">
        <f>IF(F13="","","W"&amp;ROUNDUP(DAY(F13)/7,0))</f>
        <v/>
      </c>
      <c r="T13" s="53" t="n"/>
      <c r="U13" s="34">
        <f>IF(Q13="",0,ROUNDUP(MAX(L13,N13,P13)/'마스터'!$J$5,0))</f>
        <v/>
      </c>
      <c r="V13" s="58">
        <f>IF(OR(F13="",U13=0),"",WORKDAY(F13,U13-1))</f>
        <v/>
      </c>
      <c r="W13" s="57">
        <f>IF(OR(G13="",V13=""),"",G13-V13)</f>
        <v/>
      </c>
      <c r="X13" s="52" t="n"/>
      <c r="Z13" s="59">
        <f>IF(AND($F13&lt;&gt;"",$V13&lt;&gt;"",Z$2&gt;=$F13,Z$2&lt;=$V13,WEEKDAY(Z$2,2)&lt;6),$Q13/$U13,"")</f>
        <v/>
      </c>
      <c r="AA13" s="59">
        <f>IF(AND($F13&lt;&gt;"",$V13&lt;&gt;"",AA$2&gt;=$F13,AA$2&lt;=$V13,WEEKDAY(AA$2,2)&lt;6),$Q13/$U13,"")</f>
        <v/>
      </c>
      <c r="AB13" s="59">
        <f>IF(AND($F13&lt;&gt;"",$V13&lt;&gt;"",AB$2&gt;=$F13,AB$2&lt;=$V13,WEEKDAY(AB$2,2)&lt;6),$Q13/$U13,"")</f>
        <v/>
      </c>
      <c r="AC13" s="59">
        <f>IF(AND($F13&lt;&gt;"",$V13&lt;&gt;"",AC$2&gt;=$F13,AC$2&lt;=$V13,WEEKDAY(AC$2,2)&lt;6),$Q13/$U13,"")</f>
        <v/>
      </c>
      <c r="AD13" s="59">
        <f>IF(AND($F13&lt;&gt;"",$V13&lt;&gt;"",AD$2&gt;=$F13,AD$2&lt;=$V13,WEEKDAY(AD$2,2)&lt;6),$Q13/$U13,"")</f>
        <v/>
      </c>
      <c r="AE13" s="59">
        <f>IF(AND($F13&lt;&gt;"",$V13&lt;&gt;"",AE$2&gt;=$F13,AE$2&lt;=$V13,WEEKDAY(AE$2,2)&lt;6),$Q13/$U13,"")</f>
        <v/>
      </c>
      <c r="AF13" s="59">
        <f>IF(AND($F13&lt;&gt;"",$V13&lt;&gt;"",AF$2&gt;=$F13,AF$2&lt;=$V13,WEEKDAY(AF$2,2)&lt;6),$Q13/$U13,"")</f>
        <v/>
      </c>
      <c r="AG13" s="59">
        <f>IF(AND($F13&lt;&gt;"",$V13&lt;&gt;"",AG$2&gt;=$F13,AG$2&lt;=$V13,WEEKDAY(AG$2,2)&lt;6),$Q13/$U13,"")</f>
        <v/>
      </c>
      <c r="AH13" s="59">
        <f>IF(AND($F13&lt;&gt;"",$V13&lt;&gt;"",AH$2&gt;=$F13,AH$2&lt;=$V13,WEEKDAY(AH$2,2)&lt;6),$Q13/$U13,"")</f>
        <v/>
      </c>
      <c r="AI13" s="59">
        <f>IF(AND($F13&lt;&gt;"",$V13&lt;&gt;"",AI$2&gt;=$F13,AI$2&lt;=$V13,WEEKDAY(AI$2,2)&lt;6),$Q13/$U13,"")</f>
        <v/>
      </c>
      <c r="AJ13" s="59">
        <f>IF(AND($F13&lt;&gt;"",$V13&lt;&gt;"",AJ$2&gt;=$F13,AJ$2&lt;=$V13,WEEKDAY(AJ$2,2)&lt;6),$Q13/$U13,"")</f>
        <v/>
      </c>
      <c r="AK13" s="59">
        <f>IF(AND($F13&lt;&gt;"",$V13&lt;&gt;"",AK$2&gt;=$F13,AK$2&lt;=$V13,WEEKDAY(AK$2,2)&lt;6),$Q13/$U13,"")</f>
        <v/>
      </c>
      <c r="AL13" s="59">
        <f>IF(AND($F13&lt;&gt;"",$V13&lt;&gt;"",AL$2&gt;=$F13,AL$2&lt;=$V13,WEEKDAY(AL$2,2)&lt;6),$Q13/$U13,"")</f>
        <v/>
      </c>
      <c r="AM13" s="59">
        <f>IF(AND($F13&lt;&gt;"",$V13&lt;&gt;"",AM$2&gt;=$F13,AM$2&lt;=$V13,WEEKDAY(AM$2,2)&lt;6),$Q13/$U13,"")</f>
        <v/>
      </c>
      <c r="AN13" s="59">
        <f>IF(AND($F13&lt;&gt;"",$V13&lt;&gt;"",AN$2&gt;=$F13,AN$2&lt;=$V13,WEEKDAY(AN$2,2)&lt;6),$Q13/$U13,"")</f>
        <v/>
      </c>
      <c r="AO13" s="59">
        <f>IF(AND($F13&lt;&gt;"",$V13&lt;&gt;"",AO$2&gt;=$F13,AO$2&lt;=$V13,WEEKDAY(AO$2,2)&lt;6),$Q13/$U13,"")</f>
        <v/>
      </c>
      <c r="AP13" s="59">
        <f>IF(AND($F13&lt;&gt;"",$V13&lt;&gt;"",AP$2&gt;=$F13,AP$2&lt;=$V13,WEEKDAY(AP$2,2)&lt;6),$Q13/$U13,"")</f>
        <v/>
      </c>
      <c r="AQ13" s="59">
        <f>IF(AND($F13&lt;&gt;"",$V13&lt;&gt;"",AQ$2&gt;=$F13,AQ$2&lt;=$V13,WEEKDAY(AQ$2,2)&lt;6),$Q13/$U13,"")</f>
        <v/>
      </c>
      <c r="AR13" s="59">
        <f>IF(AND($F13&lt;&gt;"",$V13&lt;&gt;"",AR$2&gt;=$F13,AR$2&lt;=$V13,WEEKDAY(AR$2,2)&lt;6),$Q13/$U13,"")</f>
        <v/>
      </c>
      <c r="AS13" s="59">
        <f>IF(AND($F13&lt;&gt;"",$V13&lt;&gt;"",AS$2&gt;=$F13,AS$2&lt;=$V13,WEEKDAY(AS$2,2)&lt;6),$Q13/$U13,"")</f>
        <v/>
      </c>
      <c r="AT13" s="59">
        <f>IF(AND($F13&lt;&gt;"",$V13&lt;&gt;"",AT$2&gt;=$F13,AT$2&lt;=$V13,WEEKDAY(AT$2,2)&lt;6),$Q13/$U13,"")</f>
        <v/>
      </c>
      <c r="AU13" s="59">
        <f>IF(AND($F13&lt;&gt;"",$V13&lt;&gt;"",AU$2&gt;=$F13,AU$2&lt;=$V13,WEEKDAY(AU$2,2)&lt;6),$Q13/$U13,"")</f>
        <v/>
      </c>
      <c r="AV13" s="59">
        <f>IF(AND($F13&lt;&gt;"",$V13&lt;&gt;"",AV$2&gt;=$F13,AV$2&lt;=$V13,WEEKDAY(AV$2,2)&lt;6),$Q13/$U13,"")</f>
        <v/>
      </c>
      <c r="AW13" s="59">
        <f>IF(AND($F13&lt;&gt;"",$V13&lt;&gt;"",AW$2&gt;=$F13,AW$2&lt;=$V13,WEEKDAY(AW$2,2)&lt;6),$Q13/$U13,"")</f>
        <v/>
      </c>
      <c r="AX13" s="59">
        <f>IF(AND($F13&lt;&gt;"",$V13&lt;&gt;"",AX$2&gt;=$F13,AX$2&lt;=$V13,WEEKDAY(AX$2,2)&lt;6),$Q13/$U13,"")</f>
        <v/>
      </c>
      <c r="AY13" s="59">
        <f>IF(AND($F13&lt;&gt;"",$V13&lt;&gt;"",AY$2&gt;=$F13,AY$2&lt;=$V13,WEEKDAY(AY$2,2)&lt;6),$Q13/$U13,"")</f>
        <v/>
      </c>
      <c r="AZ13" s="59">
        <f>IF(AND($F13&lt;&gt;"",$V13&lt;&gt;"",AZ$2&gt;=$F13,AZ$2&lt;=$V13,WEEKDAY(AZ$2,2)&lt;6),$Q13/$U13,"")</f>
        <v/>
      </c>
      <c r="BA13" s="59">
        <f>IF(AND($F13&lt;&gt;"",$V13&lt;&gt;"",BA$2&gt;=$F13,BA$2&lt;=$V13,WEEKDAY(BA$2,2)&lt;6),$Q13/$U13,"")</f>
        <v/>
      </c>
      <c r="BB13" s="59">
        <f>IF(AND($F13&lt;&gt;"",$V13&lt;&gt;"",BB$2&gt;=$F13,BB$2&lt;=$V13,WEEKDAY(BB$2,2)&lt;6),$Q13/$U13,"")</f>
        <v/>
      </c>
      <c r="BC13" s="59">
        <f>IF(AND($F13&lt;&gt;"",$V13&lt;&gt;"",BC$2&gt;=$F13,BC$2&lt;=$V13,WEEKDAY(BC$2,2)&lt;6),$Q13/$U13,"")</f>
        <v/>
      </c>
      <c r="BD13" s="59">
        <f>IF(AND($F13&lt;&gt;"",$V13&lt;&gt;"",BD$2&gt;=$F13,BD$2&lt;=$V13,WEEKDAY(BD$2,2)&lt;6),$Q13/$U13,"")</f>
        <v/>
      </c>
    </row>
    <row r="14">
      <c r="A14" s="34">
        <f>IF(E14="","",COUNTA($E$8:E14))</f>
        <v/>
      </c>
      <c r="B14" s="52" t="n"/>
      <c r="C14" s="53" t="n"/>
      <c r="D14" s="53" t="n"/>
      <c r="E14" s="52" t="n"/>
      <c r="F14" s="54" t="n"/>
      <c r="G14" s="54" t="n"/>
      <c r="H14" s="53" t="n"/>
      <c r="I14" s="53" t="n"/>
      <c r="J14" s="53" t="n"/>
      <c r="K14" s="52" t="n"/>
      <c r="L14" s="55" t="n"/>
      <c r="M14" s="52" t="n"/>
      <c r="N14" s="55" t="n"/>
      <c r="O14" s="52" t="n"/>
      <c r="P14" s="55" t="n"/>
      <c r="Q14" s="56">
        <f>IF(SUM(L14,N14,P14)=0,"",SUM(L14,N14,P14))</f>
        <v/>
      </c>
      <c r="R14" s="57">
        <f>IF(L14&gt;0,"영 ","")&amp;IF(N14&gt;0,"이 ","")&amp;IF(P14&gt;0,"기 ","")</f>
        <v/>
      </c>
      <c r="S14" s="34">
        <f>IF(F14="","","W"&amp;ROUNDUP(DAY(F14)/7,0))</f>
        <v/>
      </c>
      <c r="T14" s="53" t="n"/>
      <c r="U14" s="34">
        <f>IF(Q14="",0,ROUNDUP(MAX(L14,N14,P14)/'마스터'!$J$5,0))</f>
        <v/>
      </c>
      <c r="V14" s="58">
        <f>IF(OR(F14="",U14=0),"",WORKDAY(F14,U14-1))</f>
        <v/>
      </c>
      <c r="W14" s="57">
        <f>IF(OR(G14="",V14=""),"",G14-V14)</f>
        <v/>
      </c>
      <c r="X14" s="52" t="n"/>
      <c r="Z14" s="59">
        <f>IF(AND($F14&lt;&gt;"",$V14&lt;&gt;"",Z$2&gt;=$F14,Z$2&lt;=$V14,WEEKDAY(Z$2,2)&lt;6),$Q14/$U14,"")</f>
        <v/>
      </c>
      <c r="AA14" s="59">
        <f>IF(AND($F14&lt;&gt;"",$V14&lt;&gt;"",AA$2&gt;=$F14,AA$2&lt;=$V14,WEEKDAY(AA$2,2)&lt;6),$Q14/$U14,"")</f>
        <v/>
      </c>
      <c r="AB14" s="59">
        <f>IF(AND($F14&lt;&gt;"",$V14&lt;&gt;"",AB$2&gt;=$F14,AB$2&lt;=$V14,WEEKDAY(AB$2,2)&lt;6),$Q14/$U14,"")</f>
        <v/>
      </c>
      <c r="AC14" s="59">
        <f>IF(AND($F14&lt;&gt;"",$V14&lt;&gt;"",AC$2&gt;=$F14,AC$2&lt;=$V14,WEEKDAY(AC$2,2)&lt;6),$Q14/$U14,"")</f>
        <v/>
      </c>
      <c r="AD14" s="59">
        <f>IF(AND($F14&lt;&gt;"",$V14&lt;&gt;"",AD$2&gt;=$F14,AD$2&lt;=$V14,WEEKDAY(AD$2,2)&lt;6),$Q14/$U14,"")</f>
        <v/>
      </c>
      <c r="AE14" s="59">
        <f>IF(AND($F14&lt;&gt;"",$V14&lt;&gt;"",AE$2&gt;=$F14,AE$2&lt;=$V14,WEEKDAY(AE$2,2)&lt;6),$Q14/$U14,"")</f>
        <v/>
      </c>
      <c r="AF14" s="59">
        <f>IF(AND($F14&lt;&gt;"",$V14&lt;&gt;"",AF$2&gt;=$F14,AF$2&lt;=$V14,WEEKDAY(AF$2,2)&lt;6),$Q14/$U14,"")</f>
        <v/>
      </c>
      <c r="AG14" s="59">
        <f>IF(AND($F14&lt;&gt;"",$V14&lt;&gt;"",AG$2&gt;=$F14,AG$2&lt;=$V14,WEEKDAY(AG$2,2)&lt;6),$Q14/$U14,"")</f>
        <v/>
      </c>
      <c r="AH14" s="59">
        <f>IF(AND($F14&lt;&gt;"",$V14&lt;&gt;"",AH$2&gt;=$F14,AH$2&lt;=$V14,WEEKDAY(AH$2,2)&lt;6),$Q14/$U14,"")</f>
        <v/>
      </c>
      <c r="AI14" s="59">
        <f>IF(AND($F14&lt;&gt;"",$V14&lt;&gt;"",AI$2&gt;=$F14,AI$2&lt;=$V14,WEEKDAY(AI$2,2)&lt;6),$Q14/$U14,"")</f>
        <v/>
      </c>
      <c r="AJ14" s="59">
        <f>IF(AND($F14&lt;&gt;"",$V14&lt;&gt;"",AJ$2&gt;=$F14,AJ$2&lt;=$V14,WEEKDAY(AJ$2,2)&lt;6),$Q14/$U14,"")</f>
        <v/>
      </c>
      <c r="AK14" s="59">
        <f>IF(AND($F14&lt;&gt;"",$V14&lt;&gt;"",AK$2&gt;=$F14,AK$2&lt;=$V14,WEEKDAY(AK$2,2)&lt;6),$Q14/$U14,"")</f>
        <v/>
      </c>
      <c r="AL14" s="59">
        <f>IF(AND($F14&lt;&gt;"",$V14&lt;&gt;"",AL$2&gt;=$F14,AL$2&lt;=$V14,WEEKDAY(AL$2,2)&lt;6),$Q14/$U14,"")</f>
        <v/>
      </c>
      <c r="AM14" s="59">
        <f>IF(AND($F14&lt;&gt;"",$V14&lt;&gt;"",AM$2&gt;=$F14,AM$2&lt;=$V14,WEEKDAY(AM$2,2)&lt;6),$Q14/$U14,"")</f>
        <v/>
      </c>
      <c r="AN14" s="59">
        <f>IF(AND($F14&lt;&gt;"",$V14&lt;&gt;"",AN$2&gt;=$F14,AN$2&lt;=$V14,WEEKDAY(AN$2,2)&lt;6),$Q14/$U14,"")</f>
        <v/>
      </c>
      <c r="AO14" s="59">
        <f>IF(AND($F14&lt;&gt;"",$V14&lt;&gt;"",AO$2&gt;=$F14,AO$2&lt;=$V14,WEEKDAY(AO$2,2)&lt;6),$Q14/$U14,"")</f>
        <v/>
      </c>
      <c r="AP14" s="59">
        <f>IF(AND($F14&lt;&gt;"",$V14&lt;&gt;"",AP$2&gt;=$F14,AP$2&lt;=$V14,WEEKDAY(AP$2,2)&lt;6),$Q14/$U14,"")</f>
        <v/>
      </c>
      <c r="AQ14" s="59">
        <f>IF(AND($F14&lt;&gt;"",$V14&lt;&gt;"",AQ$2&gt;=$F14,AQ$2&lt;=$V14,WEEKDAY(AQ$2,2)&lt;6),$Q14/$U14,"")</f>
        <v/>
      </c>
      <c r="AR14" s="59">
        <f>IF(AND($F14&lt;&gt;"",$V14&lt;&gt;"",AR$2&gt;=$F14,AR$2&lt;=$V14,WEEKDAY(AR$2,2)&lt;6),$Q14/$U14,"")</f>
        <v/>
      </c>
      <c r="AS14" s="59">
        <f>IF(AND($F14&lt;&gt;"",$V14&lt;&gt;"",AS$2&gt;=$F14,AS$2&lt;=$V14,WEEKDAY(AS$2,2)&lt;6),$Q14/$U14,"")</f>
        <v/>
      </c>
      <c r="AT14" s="59">
        <f>IF(AND($F14&lt;&gt;"",$V14&lt;&gt;"",AT$2&gt;=$F14,AT$2&lt;=$V14,WEEKDAY(AT$2,2)&lt;6),$Q14/$U14,"")</f>
        <v/>
      </c>
      <c r="AU14" s="59">
        <f>IF(AND($F14&lt;&gt;"",$V14&lt;&gt;"",AU$2&gt;=$F14,AU$2&lt;=$V14,WEEKDAY(AU$2,2)&lt;6),$Q14/$U14,"")</f>
        <v/>
      </c>
      <c r="AV14" s="59">
        <f>IF(AND($F14&lt;&gt;"",$V14&lt;&gt;"",AV$2&gt;=$F14,AV$2&lt;=$V14,WEEKDAY(AV$2,2)&lt;6),$Q14/$U14,"")</f>
        <v/>
      </c>
      <c r="AW14" s="59">
        <f>IF(AND($F14&lt;&gt;"",$V14&lt;&gt;"",AW$2&gt;=$F14,AW$2&lt;=$V14,WEEKDAY(AW$2,2)&lt;6),$Q14/$U14,"")</f>
        <v/>
      </c>
      <c r="AX14" s="59">
        <f>IF(AND($F14&lt;&gt;"",$V14&lt;&gt;"",AX$2&gt;=$F14,AX$2&lt;=$V14,WEEKDAY(AX$2,2)&lt;6),$Q14/$U14,"")</f>
        <v/>
      </c>
      <c r="AY14" s="59">
        <f>IF(AND($F14&lt;&gt;"",$V14&lt;&gt;"",AY$2&gt;=$F14,AY$2&lt;=$V14,WEEKDAY(AY$2,2)&lt;6),$Q14/$U14,"")</f>
        <v/>
      </c>
      <c r="AZ14" s="59">
        <f>IF(AND($F14&lt;&gt;"",$V14&lt;&gt;"",AZ$2&gt;=$F14,AZ$2&lt;=$V14,WEEKDAY(AZ$2,2)&lt;6),$Q14/$U14,"")</f>
        <v/>
      </c>
      <c r="BA14" s="59">
        <f>IF(AND($F14&lt;&gt;"",$V14&lt;&gt;"",BA$2&gt;=$F14,BA$2&lt;=$V14,WEEKDAY(BA$2,2)&lt;6),$Q14/$U14,"")</f>
        <v/>
      </c>
      <c r="BB14" s="59">
        <f>IF(AND($F14&lt;&gt;"",$V14&lt;&gt;"",BB$2&gt;=$F14,BB$2&lt;=$V14,WEEKDAY(BB$2,2)&lt;6),$Q14/$U14,"")</f>
        <v/>
      </c>
      <c r="BC14" s="59">
        <f>IF(AND($F14&lt;&gt;"",$V14&lt;&gt;"",BC$2&gt;=$F14,BC$2&lt;=$V14,WEEKDAY(BC$2,2)&lt;6),$Q14/$U14,"")</f>
        <v/>
      </c>
      <c r="BD14" s="59">
        <f>IF(AND($F14&lt;&gt;"",$V14&lt;&gt;"",BD$2&gt;=$F14,BD$2&lt;=$V14,WEEKDAY(BD$2,2)&lt;6),$Q14/$U14,"")</f>
        <v/>
      </c>
    </row>
    <row r="15">
      <c r="A15" s="34">
        <f>IF(E15="","",COUNTA($E$8:E15))</f>
        <v/>
      </c>
      <c r="B15" s="52" t="n"/>
      <c r="C15" s="53" t="n"/>
      <c r="D15" s="53" t="n"/>
      <c r="E15" s="52" t="n"/>
      <c r="F15" s="54" t="n"/>
      <c r="G15" s="54" t="n"/>
      <c r="H15" s="53" t="n"/>
      <c r="I15" s="53" t="n"/>
      <c r="J15" s="53" t="n"/>
      <c r="K15" s="52" t="n"/>
      <c r="L15" s="55" t="n"/>
      <c r="M15" s="52" t="n"/>
      <c r="N15" s="55" t="n"/>
      <c r="O15" s="52" t="n"/>
      <c r="P15" s="55" t="n"/>
      <c r="Q15" s="56">
        <f>IF(SUM(L15,N15,P15)=0,"",SUM(L15,N15,P15))</f>
        <v/>
      </c>
      <c r="R15" s="57">
        <f>IF(L15&gt;0,"영 ","")&amp;IF(N15&gt;0,"이 ","")&amp;IF(P15&gt;0,"기 ","")</f>
        <v/>
      </c>
      <c r="S15" s="34">
        <f>IF(F15="","","W"&amp;ROUNDUP(DAY(F15)/7,0))</f>
        <v/>
      </c>
      <c r="T15" s="53" t="n"/>
      <c r="U15" s="34">
        <f>IF(Q15="",0,ROUNDUP(MAX(L15,N15,P15)/'마스터'!$J$5,0))</f>
        <v/>
      </c>
      <c r="V15" s="58">
        <f>IF(OR(F15="",U15=0),"",WORKDAY(F15,U15-1))</f>
        <v/>
      </c>
      <c r="W15" s="57">
        <f>IF(OR(G15="",V15=""),"",G15-V15)</f>
        <v/>
      </c>
      <c r="X15" s="52" t="n"/>
      <c r="Z15" s="59">
        <f>IF(AND($F15&lt;&gt;"",$V15&lt;&gt;"",Z$2&gt;=$F15,Z$2&lt;=$V15,WEEKDAY(Z$2,2)&lt;6),$Q15/$U15,"")</f>
        <v/>
      </c>
      <c r="AA15" s="59">
        <f>IF(AND($F15&lt;&gt;"",$V15&lt;&gt;"",AA$2&gt;=$F15,AA$2&lt;=$V15,WEEKDAY(AA$2,2)&lt;6),$Q15/$U15,"")</f>
        <v/>
      </c>
      <c r="AB15" s="59">
        <f>IF(AND($F15&lt;&gt;"",$V15&lt;&gt;"",AB$2&gt;=$F15,AB$2&lt;=$V15,WEEKDAY(AB$2,2)&lt;6),$Q15/$U15,"")</f>
        <v/>
      </c>
      <c r="AC15" s="59">
        <f>IF(AND($F15&lt;&gt;"",$V15&lt;&gt;"",AC$2&gt;=$F15,AC$2&lt;=$V15,WEEKDAY(AC$2,2)&lt;6),$Q15/$U15,"")</f>
        <v/>
      </c>
      <c r="AD15" s="59">
        <f>IF(AND($F15&lt;&gt;"",$V15&lt;&gt;"",AD$2&gt;=$F15,AD$2&lt;=$V15,WEEKDAY(AD$2,2)&lt;6),$Q15/$U15,"")</f>
        <v/>
      </c>
      <c r="AE15" s="59">
        <f>IF(AND($F15&lt;&gt;"",$V15&lt;&gt;"",AE$2&gt;=$F15,AE$2&lt;=$V15,WEEKDAY(AE$2,2)&lt;6),$Q15/$U15,"")</f>
        <v/>
      </c>
      <c r="AF15" s="59">
        <f>IF(AND($F15&lt;&gt;"",$V15&lt;&gt;"",AF$2&gt;=$F15,AF$2&lt;=$V15,WEEKDAY(AF$2,2)&lt;6),$Q15/$U15,"")</f>
        <v/>
      </c>
      <c r="AG15" s="59">
        <f>IF(AND($F15&lt;&gt;"",$V15&lt;&gt;"",AG$2&gt;=$F15,AG$2&lt;=$V15,WEEKDAY(AG$2,2)&lt;6),$Q15/$U15,"")</f>
        <v/>
      </c>
      <c r="AH15" s="59">
        <f>IF(AND($F15&lt;&gt;"",$V15&lt;&gt;"",AH$2&gt;=$F15,AH$2&lt;=$V15,WEEKDAY(AH$2,2)&lt;6),$Q15/$U15,"")</f>
        <v/>
      </c>
      <c r="AI15" s="59">
        <f>IF(AND($F15&lt;&gt;"",$V15&lt;&gt;"",AI$2&gt;=$F15,AI$2&lt;=$V15,WEEKDAY(AI$2,2)&lt;6),$Q15/$U15,"")</f>
        <v/>
      </c>
      <c r="AJ15" s="59">
        <f>IF(AND($F15&lt;&gt;"",$V15&lt;&gt;"",AJ$2&gt;=$F15,AJ$2&lt;=$V15,WEEKDAY(AJ$2,2)&lt;6),$Q15/$U15,"")</f>
        <v/>
      </c>
      <c r="AK15" s="59">
        <f>IF(AND($F15&lt;&gt;"",$V15&lt;&gt;"",AK$2&gt;=$F15,AK$2&lt;=$V15,WEEKDAY(AK$2,2)&lt;6),$Q15/$U15,"")</f>
        <v/>
      </c>
      <c r="AL15" s="59">
        <f>IF(AND($F15&lt;&gt;"",$V15&lt;&gt;"",AL$2&gt;=$F15,AL$2&lt;=$V15,WEEKDAY(AL$2,2)&lt;6),$Q15/$U15,"")</f>
        <v/>
      </c>
      <c r="AM15" s="59">
        <f>IF(AND($F15&lt;&gt;"",$V15&lt;&gt;"",AM$2&gt;=$F15,AM$2&lt;=$V15,WEEKDAY(AM$2,2)&lt;6),$Q15/$U15,"")</f>
        <v/>
      </c>
      <c r="AN15" s="59">
        <f>IF(AND($F15&lt;&gt;"",$V15&lt;&gt;"",AN$2&gt;=$F15,AN$2&lt;=$V15,WEEKDAY(AN$2,2)&lt;6),$Q15/$U15,"")</f>
        <v/>
      </c>
      <c r="AO15" s="59">
        <f>IF(AND($F15&lt;&gt;"",$V15&lt;&gt;"",AO$2&gt;=$F15,AO$2&lt;=$V15,WEEKDAY(AO$2,2)&lt;6),$Q15/$U15,"")</f>
        <v/>
      </c>
      <c r="AP15" s="59">
        <f>IF(AND($F15&lt;&gt;"",$V15&lt;&gt;"",AP$2&gt;=$F15,AP$2&lt;=$V15,WEEKDAY(AP$2,2)&lt;6),$Q15/$U15,"")</f>
        <v/>
      </c>
      <c r="AQ15" s="59">
        <f>IF(AND($F15&lt;&gt;"",$V15&lt;&gt;"",AQ$2&gt;=$F15,AQ$2&lt;=$V15,WEEKDAY(AQ$2,2)&lt;6),$Q15/$U15,"")</f>
        <v/>
      </c>
      <c r="AR15" s="59">
        <f>IF(AND($F15&lt;&gt;"",$V15&lt;&gt;"",AR$2&gt;=$F15,AR$2&lt;=$V15,WEEKDAY(AR$2,2)&lt;6),$Q15/$U15,"")</f>
        <v/>
      </c>
      <c r="AS15" s="59">
        <f>IF(AND($F15&lt;&gt;"",$V15&lt;&gt;"",AS$2&gt;=$F15,AS$2&lt;=$V15,WEEKDAY(AS$2,2)&lt;6),$Q15/$U15,"")</f>
        <v/>
      </c>
      <c r="AT15" s="59">
        <f>IF(AND($F15&lt;&gt;"",$V15&lt;&gt;"",AT$2&gt;=$F15,AT$2&lt;=$V15,WEEKDAY(AT$2,2)&lt;6),$Q15/$U15,"")</f>
        <v/>
      </c>
      <c r="AU15" s="59">
        <f>IF(AND($F15&lt;&gt;"",$V15&lt;&gt;"",AU$2&gt;=$F15,AU$2&lt;=$V15,WEEKDAY(AU$2,2)&lt;6),$Q15/$U15,"")</f>
        <v/>
      </c>
      <c r="AV15" s="59">
        <f>IF(AND($F15&lt;&gt;"",$V15&lt;&gt;"",AV$2&gt;=$F15,AV$2&lt;=$V15,WEEKDAY(AV$2,2)&lt;6),$Q15/$U15,"")</f>
        <v/>
      </c>
      <c r="AW15" s="59">
        <f>IF(AND($F15&lt;&gt;"",$V15&lt;&gt;"",AW$2&gt;=$F15,AW$2&lt;=$V15,WEEKDAY(AW$2,2)&lt;6),$Q15/$U15,"")</f>
        <v/>
      </c>
      <c r="AX15" s="59">
        <f>IF(AND($F15&lt;&gt;"",$V15&lt;&gt;"",AX$2&gt;=$F15,AX$2&lt;=$V15,WEEKDAY(AX$2,2)&lt;6),$Q15/$U15,"")</f>
        <v/>
      </c>
      <c r="AY15" s="59">
        <f>IF(AND($F15&lt;&gt;"",$V15&lt;&gt;"",AY$2&gt;=$F15,AY$2&lt;=$V15,WEEKDAY(AY$2,2)&lt;6),$Q15/$U15,"")</f>
        <v/>
      </c>
      <c r="AZ15" s="59">
        <f>IF(AND($F15&lt;&gt;"",$V15&lt;&gt;"",AZ$2&gt;=$F15,AZ$2&lt;=$V15,WEEKDAY(AZ$2,2)&lt;6),$Q15/$U15,"")</f>
        <v/>
      </c>
      <c r="BA15" s="59">
        <f>IF(AND($F15&lt;&gt;"",$V15&lt;&gt;"",BA$2&gt;=$F15,BA$2&lt;=$V15,WEEKDAY(BA$2,2)&lt;6),$Q15/$U15,"")</f>
        <v/>
      </c>
      <c r="BB15" s="59">
        <f>IF(AND($F15&lt;&gt;"",$V15&lt;&gt;"",BB$2&gt;=$F15,BB$2&lt;=$V15,WEEKDAY(BB$2,2)&lt;6),$Q15/$U15,"")</f>
        <v/>
      </c>
      <c r="BC15" s="59">
        <f>IF(AND($F15&lt;&gt;"",$V15&lt;&gt;"",BC$2&gt;=$F15,BC$2&lt;=$V15,WEEKDAY(BC$2,2)&lt;6),$Q15/$U15,"")</f>
        <v/>
      </c>
      <c r="BD15" s="59">
        <f>IF(AND($F15&lt;&gt;"",$V15&lt;&gt;"",BD$2&gt;=$F15,BD$2&lt;=$V15,WEEKDAY(BD$2,2)&lt;6),$Q15/$U15,"")</f>
        <v/>
      </c>
    </row>
    <row r="16">
      <c r="A16" s="34">
        <f>IF(E16="","",COUNTA($E$8:E16))</f>
        <v/>
      </c>
      <c r="B16" s="52" t="n"/>
      <c r="C16" s="53" t="n"/>
      <c r="D16" s="53" t="n"/>
      <c r="E16" s="52" t="n"/>
      <c r="F16" s="54" t="n"/>
      <c r="G16" s="54" t="n"/>
      <c r="H16" s="53" t="n"/>
      <c r="I16" s="53" t="n"/>
      <c r="J16" s="53" t="n"/>
      <c r="K16" s="52" t="n"/>
      <c r="L16" s="55" t="n"/>
      <c r="M16" s="52" t="n"/>
      <c r="N16" s="55" t="n"/>
      <c r="O16" s="52" t="n"/>
      <c r="P16" s="55" t="n"/>
      <c r="Q16" s="56">
        <f>IF(SUM(L16,N16,P16)=0,"",SUM(L16,N16,P16))</f>
        <v/>
      </c>
      <c r="R16" s="57">
        <f>IF(L16&gt;0,"영 ","")&amp;IF(N16&gt;0,"이 ","")&amp;IF(P16&gt;0,"기 ","")</f>
        <v/>
      </c>
      <c r="S16" s="34">
        <f>IF(F16="","","W"&amp;ROUNDUP(DAY(F16)/7,0))</f>
        <v/>
      </c>
      <c r="T16" s="53" t="n"/>
      <c r="U16" s="34">
        <f>IF(Q16="",0,ROUNDUP(MAX(L16,N16,P16)/'마스터'!$J$5,0))</f>
        <v/>
      </c>
      <c r="V16" s="58">
        <f>IF(OR(F16="",U16=0),"",WORKDAY(F16,U16-1))</f>
        <v/>
      </c>
      <c r="W16" s="57">
        <f>IF(OR(G16="",V16=""),"",G16-V16)</f>
        <v/>
      </c>
      <c r="X16" s="52" t="n"/>
      <c r="Z16" s="59">
        <f>IF(AND($F16&lt;&gt;"",$V16&lt;&gt;"",Z$2&gt;=$F16,Z$2&lt;=$V16,WEEKDAY(Z$2,2)&lt;6),$Q16/$U16,"")</f>
        <v/>
      </c>
      <c r="AA16" s="59">
        <f>IF(AND($F16&lt;&gt;"",$V16&lt;&gt;"",AA$2&gt;=$F16,AA$2&lt;=$V16,WEEKDAY(AA$2,2)&lt;6),$Q16/$U16,"")</f>
        <v/>
      </c>
      <c r="AB16" s="59">
        <f>IF(AND($F16&lt;&gt;"",$V16&lt;&gt;"",AB$2&gt;=$F16,AB$2&lt;=$V16,WEEKDAY(AB$2,2)&lt;6),$Q16/$U16,"")</f>
        <v/>
      </c>
      <c r="AC16" s="59">
        <f>IF(AND($F16&lt;&gt;"",$V16&lt;&gt;"",AC$2&gt;=$F16,AC$2&lt;=$V16,WEEKDAY(AC$2,2)&lt;6),$Q16/$U16,"")</f>
        <v/>
      </c>
      <c r="AD16" s="59">
        <f>IF(AND($F16&lt;&gt;"",$V16&lt;&gt;"",AD$2&gt;=$F16,AD$2&lt;=$V16,WEEKDAY(AD$2,2)&lt;6),$Q16/$U16,"")</f>
        <v/>
      </c>
      <c r="AE16" s="59">
        <f>IF(AND($F16&lt;&gt;"",$V16&lt;&gt;"",AE$2&gt;=$F16,AE$2&lt;=$V16,WEEKDAY(AE$2,2)&lt;6),$Q16/$U16,"")</f>
        <v/>
      </c>
      <c r="AF16" s="59">
        <f>IF(AND($F16&lt;&gt;"",$V16&lt;&gt;"",AF$2&gt;=$F16,AF$2&lt;=$V16,WEEKDAY(AF$2,2)&lt;6),$Q16/$U16,"")</f>
        <v/>
      </c>
      <c r="AG16" s="59">
        <f>IF(AND($F16&lt;&gt;"",$V16&lt;&gt;"",AG$2&gt;=$F16,AG$2&lt;=$V16,WEEKDAY(AG$2,2)&lt;6),$Q16/$U16,"")</f>
        <v/>
      </c>
      <c r="AH16" s="59">
        <f>IF(AND($F16&lt;&gt;"",$V16&lt;&gt;"",AH$2&gt;=$F16,AH$2&lt;=$V16,WEEKDAY(AH$2,2)&lt;6),$Q16/$U16,"")</f>
        <v/>
      </c>
      <c r="AI16" s="59">
        <f>IF(AND($F16&lt;&gt;"",$V16&lt;&gt;"",AI$2&gt;=$F16,AI$2&lt;=$V16,WEEKDAY(AI$2,2)&lt;6),$Q16/$U16,"")</f>
        <v/>
      </c>
      <c r="AJ16" s="59">
        <f>IF(AND($F16&lt;&gt;"",$V16&lt;&gt;"",AJ$2&gt;=$F16,AJ$2&lt;=$V16,WEEKDAY(AJ$2,2)&lt;6),$Q16/$U16,"")</f>
        <v/>
      </c>
      <c r="AK16" s="59">
        <f>IF(AND($F16&lt;&gt;"",$V16&lt;&gt;"",AK$2&gt;=$F16,AK$2&lt;=$V16,WEEKDAY(AK$2,2)&lt;6),$Q16/$U16,"")</f>
        <v/>
      </c>
      <c r="AL16" s="59">
        <f>IF(AND($F16&lt;&gt;"",$V16&lt;&gt;"",AL$2&gt;=$F16,AL$2&lt;=$V16,WEEKDAY(AL$2,2)&lt;6),$Q16/$U16,"")</f>
        <v/>
      </c>
      <c r="AM16" s="59">
        <f>IF(AND($F16&lt;&gt;"",$V16&lt;&gt;"",AM$2&gt;=$F16,AM$2&lt;=$V16,WEEKDAY(AM$2,2)&lt;6),$Q16/$U16,"")</f>
        <v/>
      </c>
      <c r="AN16" s="59">
        <f>IF(AND($F16&lt;&gt;"",$V16&lt;&gt;"",AN$2&gt;=$F16,AN$2&lt;=$V16,WEEKDAY(AN$2,2)&lt;6),$Q16/$U16,"")</f>
        <v/>
      </c>
      <c r="AO16" s="59">
        <f>IF(AND($F16&lt;&gt;"",$V16&lt;&gt;"",AO$2&gt;=$F16,AO$2&lt;=$V16,WEEKDAY(AO$2,2)&lt;6),$Q16/$U16,"")</f>
        <v/>
      </c>
      <c r="AP16" s="59">
        <f>IF(AND($F16&lt;&gt;"",$V16&lt;&gt;"",AP$2&gt;=$F16,AP$2&lt;=$V16,WEEKDAY(AP$2,2)&lt;6),$Q16/$U16,"")</f>
        <v/>
      </c>
      <c r="AQ16" s="59">
        <f>IF(AND($F16&lt;&gt;"",$V16&lt;&gt;"",AQ$2&gt;=$F16,AQ$2&lt;=$V16,WEEKDAY(AQ$2,2)&lt;6),$Q16/$U16,"")</f>
        <v/>
      </c>
      <c r="AR16" s="59">
        <f>IF(AND($F16&lt;&gt;"",$V16&lt;&gt;"",AR$2&gt;=$F16,AR$2&lt;=$V16,WEEKDAY(AR$2,2)&lt;6),$Q16/$U16,"")</f>
        <v/>
      </c>
      <c r="AS16" s="59">
        <f>IF(AND($F16&lt;&gt;"",$V16&lt;&gt;"",AS$2&gt;=$F16,AS$2&lt;=$V16,WEEKDAY(AS$2,2)&lt;6),$Q16/$U16,"")</f>
        <v/>
      </c>
      <c r="AT16" s="59">
        <f>IF(AND($F16&lt;&gt;"",$V16&lt;&gt;"",AT$2&gt;=$F16,AT$2&lt;=$V16,WEEKDAY(AT$2,2)&lt;6),$Q16/$U16,"")</f>
        <v/>
      </c>
      <c r="AU16" s="59">
        <f>IF(AND($F16&lt;&gt;"",$V16&lt;&gt;"",AU$2&gt;=$F16,AU$2&lt;=$V16,WEEKDAY(AU$2,2)&lt;6),$Q16/$U16,"")</f>
        <v/>
      </c>
      <c r="AV16" s="59">
        <f>IF(AND($F16&lt;&gt;"",$V16&lt;&gt;"",AV$2&gt;=$F16,AV$2&lt;=$V16,WEEKDAY(AV$2,2)&lt;6),$Q16/$U16,"")</f>
        <v/>
      </c>
      <c r="AW16" s="59">
        <f>IF(AND($F16&lt;&gt;"",$V16&lt;&gt;"",AW$2&gt;=$F16,AW$2&lt;=$V16,WEEKDAY(AW$2,2)&lt;6),$Q16/$U16,"")</f>
        <v/>
      </c>
      <c r="AX16" s="59">
        <f>IF(AND($F16&lt;&gt;"",$V16&lt;&gt;"",AX$2&gt;=$F16,AX$2&lt;=$V16,WEEKDAY(AX$2,2)&lt;6),$Q16/$U16,"")</f>
        <v/>
      </c>
      <c r="AY16" s="59">
        <f>IF(AND($F16&lt;&gt;"",$V16&lt;&gt;"",AY$2&gt;=$F16,AY$2&lt;=$V16,WEEKDAY(AY$2,2)&lt;6),$Q16/$U16,"")</f>
        <v/>
      </c>
      <c r="AZ16" s="59">
        <f>IF(AND($F16&lt;&gt;"",$V16&lt;&gt;"",AZ$2&gt;=$F16,AZ$2&lt;=$V16,WEEKDAY(AZ$2,2)&lt;6),$Q16/$U16,"")</f>
        <v/>
      </c>
      <c r="BA16" s="59">
        <f>IF(AND($F16&lt;&gt;"",$V16&lt;&gt;"",BA$2&gt;=$F16,BA$2&lt;=$V16,WEEKDAY(BA$2,2)&lt;6),$Q16/$U16,"")</f>
        <v/>
      </c>
      <c r="BB16" s="59">
        <f>IF(AND($F16&lt;&gt;"",$V16&lt;&gt;"",BB$2&gt;=$F16,BB$2&lt;=$V16,WEEKDAY(BB$2,2)&lt;6),$Q16/$U16,"")</f>
        <v/>
      </c>
      <c r="BC16" s="59">
        <f>IF(AND($F16&lt;&gt;"",$V16&lt;&gt;"",BC$2&gt;=$F16,BC$2&lt;=$V16,WEEKDAY(BC$2,2)&lt;6),$Q16/$U16,"")</f>
        <v/>
      </c>
      <c r="BD16" s="59">
        <f>IF(AND($F16&lt;&gt;"",$V16&lt;&gt;"",BD$2&gt;=$F16,BD$2&lt;=$V16,WEEKDAY(BD$2,2)&lt;6),$Q16/$U16,"")</f>
        <v/>
      </c>
    </row>
    <row r="17">
      <c r="A17" s="34">
        <f>IF(E17="","",COUNTA($E$8:E17))</f>
        <v/>
      </c>
      <c r="B17" s="52" t="n"/>
      <c r="C17" s="53" t="n"/>
      <c r="D17" s="53" t="n"/>
      <c r="E17" s="52" t="n"/>
      <c r="F17" s="54" t="n"/>
      <c r="G17" s="54" t="n"/>
      <c r="H17" s="53" t="n"/>
      <c r="I17" s="53" t="n"/>
      <c r="J17" s="53" t="n"/>
      <c r="K17" s="52" t="n"/>
      <c r="L17" s="55" t="n"/>
      <c r="M17" s="52" t="n"/>
      <c r="N17" s="55" t="n"/>
      <c r="O17" s="52" t="n"/>
      <c r="P17" s="55" t="n"/>
      <c r="Q17" s="56">
        <f>IF(SUM(L17,N17,P17)=0,"",SUM(L17,N17,P17))</f>
        <v/>
      </c>
      <c r="R17" s="57">
        <f>IF(L17&gt;0,"영 ","")&amp;IF(N17&gt;0,"이 ","")&amp;IF(P17&gt;0,"기 ","")</f>
        <v/>
      </c>
      <c r="S17" s="34">
        <f>IF(F17="","","W"&amp;ROUNDUP(DAY(F17)/7,0))</f>
        <v/>
      </c>
      <c r="T17" s="53" t="n"/>
      <c r="U17" s="34">
        <f>IF(Q17="",0,ROUNDUP(MAX(L17,N17,P17)/'마스터'!$J$5,0))</f>
        <v/>
      </c>
      <c r="V17" s="58">
        <f>IF(OR(F17="",U17=0),"",WORKDAY(F17,U17-1))</f>
        <v/>
      </c>
      <c r="W17" s="57">
        <f>IF(OR(G17="",V17=""),"",G17-V17)</f>
        <v/>
      </c>
      <c r="X17" s="52" t="n"/>
      <c r="Z17" s="59">
        <f>IF(AND($F17&lt;&gt;"",$V17&lt;&gt;"",Z$2&gt;=$F17,Z$2&lt;=$V17,WEEKDAY(Z$2,2)&lt;6),$Q17/$U17,"")</f>
        <v/>
      </c>
      <c r="AA17" s="59">
        <f>IF(AND($F17&lt;&gt;"",$V17&lt;&gt;"",AA$2&gt;=$F17,AA$2&lt;=$V17,WEEKDAY(AA$2,2)&lt;6),$Q17/$U17,"")</f>
        <v/>
      </c>
      <c r="AB17" s="59">
        <f>IF(AND($F17&lt;&gt;"",$V17&lt;&gt;"",AB$2&gt;=$F17,AB$2&lt;=$V17,WEEKDAY(AB$2,2)&lt;6),$Q17/$U17,"")</f>
        <v/>
      </c>
      <c r="AC17" s="59">
        <f>IF(AND($F17&lt;&gt;"",$V17&lt;&gt;"",AC$2&gt;=$F17,AC$2&lt;=$V17,WEEKDAY(AC$2,2)&lt;6),$Q17/$U17,"")</f>
        <v/>
      </c>
      <c r="AD17" s="59">
        <f>IF(AND($F17&lt;&gt;"",$V17&lt;&gt;"",AD$2&gt;=$F17,AD$2&lt;=$V17,WEEKDAY(AD$2,2)&lt;6),$Q17/$U17,"")</f>
        <v/>
      </c>
      <c r="AE17" s="59">
        <f>IF(AND($F17&lt;&gt;"",$V17&lt;&gt;"",AE$2&gt;=$F17,AE$2&lt;=$V17,WEEKDAY(AE$2,2)&lt;6),$Q17/$U17,"")</f>
        <v/>
      </c>
      <c r="AF17" s="59">
        <f>IF(AND($F17&lt;&gt;"",$V17&lt;&gt;"",AF$2&gt;=$F17,AF$2&lt;=$V17,WEEKDAY(AF$2,2)&lt;6),$Q17/$U17,"")</f>
        <v/>
      </c>
      <c r="AG17" s="59">
        <f>IF(AND($F17&lt;&gt;"",$V17&lt;&gt;"",AG$2&gt;=$F17,AG$2&lt;=$V17,WEEKDAY(AG$2,2)&lt;6),$Q17/$U17,"")</f>
        <v/>
      </c>
      <c r="AH17" s="59">
        <f>IF(AND($F17&lt;&gt;"",$V17&lt;&gt;"",AH$2&gt;=$F17,AH$2&lt;=$V17,WEEKDAY(AH$2,2)&lt;6),$Q17/$U17,"")</f>
        <v/>
      </c>
      <c r="AI17" s="59">
        <f>IF(AND($F17&lt;&gt;"",$V17&lt;&gt;"",AI$2&gt;=$F17,AI$2&lt;=$V17,WEEKDAY(AI$2,2)&lt;6),$Q17/$U17,"")</f>
        <v/>
      </c>
      <c r="AJ17" s="59">
        <f>IF(AND($F17&lt;&gt;"",$V17&lt;&gt;"",AJ$2&gt;=$F17,AJ$2&lt;=$V17,WEEKDAY(AJ$2,2)&lt;6),$Q17/$U17,"")</f>
        <v/>
      </c>
      <c r="AK17" s="59">
        <f>IF(AND($F17&lt;&gt;"",$V17&lt;&gt;"",AK$2&gt;=$F17,AK$2&lt;=$V17,WEEKDAY(AK$2,2)&lt;6),$Q17/$U17,"")</f>
        <v/>
      </c>
      <c r="AL17" s="59">
        <f>IF(AND($F17&lt;&gt;"",$V17&lt;&gt;"",AL$2&gt;=$F17,AL$2&lt;=$V17,WEEKDAY(AL$2,2)&lt;6),$Q17/$U17,"")</f>
        <v/>
      </c>
      <c r="AM17" s="59">
        <f>IF(AND($F17&lt;&gt;"",$V17&lt;&gt;"",AM$2&gt;=$F17,AM$2&lt;=$V17,WEEKDAY(AM$2,2)&lt;6),$Q17/$U17,"")</f>
        <v/>
      </c>
      <c r="AN17" s="59">
        <f>IF(AND($F17&lt;&gt;"",$V17&lt;&gt;"",AN$2&gt;=$F17,AN$2&lt;=$V17,WEEKDAY(AN$2,2)&lt;6),$Q17/$U17,"")</f>
        <v/>
      </c>
      <c r="AO17" s="59">
        <f>IF(AND($F17&lt;&gt;"",$V17&lt;&gt;"",AO$2&gt;=$F17,AO$2&lt;=$V17,WEEKDAY(AO$2,2)&lt;6),$Q17/$U17,"")</f>
        <v/>
      </c>
      <c r="AP17" s="59">
        <f>IF(AND($F17&lt;&gt;"",$V17&lt;&gt;"",AP$2&gt;=$F17,AP$2&lt;=$V17,WEEKDAY(AP$2,2)&lt;6),$Q17/$U17,"")</f>
        <v/>
      </c>
      <c r="AQ17" s="59">
        <f>IF(AND($F17&lt;&gt;"",$V17&lt;&gt;"",AQ$2&gt;=$F17,AQ$2&lt;=$V17,WEEKDAY(AQ$2,2)&lt;6),$Q17/$U17,"")</f>
        <v/>
      </c>
      <c r="AR17" s="59">
        <f>IF(AND($F17&lt;&gt;"",$V17&lt;&gt;"",AR$2&gt;=$F17,AR$2&lt;=$V17,WEEKDAY(AR$2,2)&lt;6),$Q17/$U17,"")</f>
        <v/>
      </c>
      <c r="AS17" s="59">
        <f>IF(AND($F17&lt;&gt;"",$V17&lt;&gt;"",AS$2&gt;=$F17,AS$2&lt;=$V17,WEEKDAY(AS$2,2)&lt;6),$Q17/$U17,"")</f>
        <v/>
      </c>
      <c r="AT17" s="59">
        <f>IF(AND($F17&lt;&gt;"",$V17&lt;&gt;"",AT$2&gt;=$F17,AT$2&lt;=$V17,WEEKDAY(AT$2,2)&lt;6),$Q17/$U17,"")</f>
        <v/>
      </c>
      <c r="AU17" s="59">
        <f>IF(AND($F17&lt;&gt;"",$V17&lt;&gt;"",AU$2&gt;=$F17,AU$2&lt;=$V17,WEEKDAY(AU$2,2)&lt;6),$Q17/$U17,"")</f>
        <v/>
      </c>
      <c r="AV17" s="59">
        <f>IF(AND($F17&lt;&gt;"",$V17&lt;&gt;"",AV$2&gt;=$F17,AV$2&lt;=$V17,WEEKDAY(AV$2,2)&lt;6),$Q17/$U17,"")</f>
        <v/>
      </c>
      <c r="AW17" s="59">
        <f>IF(AND($F17&lt;&gt;"",$V17&lt;&gt;"",AW$2&gt;=$F17,AW$2&lt;=$V17,WEEKDAY(AW$2,2)&lt;6),$Q17/$U17,"")</f>
        <v/>
      </c>
      <c r="AX17" s="59">
        <f>IF(AND($F17&lt;&gt;"",$V17&lt;&gt;"",AX$2&gt;=$F17,AX$2&lt;=$V17,WEEKDAY(AX$2,2)&lt;6),$Q17/$U17,"")</f>
        <v/>
      </c>
      <c r="AY17" s="59">
        <f>IF(AND($F17&lt;&gt;"",$V17&lt;&gt;"",AY$2&gt;=$F17,AY$2&lt;=$V17,WEEKDAY(AY$2,2)&lt;6),$Q17/$U17,"")</f>
        <v/>
      </c>
      <c r="AZ17" s="59">
        <f>IF(AND($F17&lt;&gt;"",$V17&lt;&gt;"",AZ$2&gt;=$F17,AZ$2&lt;=$V17,WEEKDAY(AZ$2,2)&lt;6),$Q17/$U17,"")</f>
        <v/>
      </c>
      <c r="BA17" s="59">
        <f>IF(AND($F17&lt;&gt;"",$V17&lt;&gt;"",BA$2&gt;=$F17,BA$2&lt;=$V17,WEEKDAY(BA$2,2)&lt;6),$Q17/$U17,"")</f>
        <v/>
      </c>
      <c r="BB17" s="59">
        <f>IF(AND($F17&lt;&gt;"",$V17&lt;&gt;"",BB$2&gt;=$F17,BB$2&lt;=$V17,WEEKDAY(BB$2,2)&lt;6),$Q17/$U17,"")</f>
        <v/>
      </c>
      <c r="BC17" s="59">
        <f>IF(AND($F17&lt;&gt;"",$V17&lt;&gt;"",BC$2&gt;=$F17,BC$2&lt;=$V17,WEEKDAY(BC$2,2)&lt;6),$Q17/$U17,"")</f>
        <v/>
      </c>
      <c r="BD17" s="59">
        <f>IF(AND($F17&lt;&gt;"",$V17&lt;&gt;"",BD$2&gt;=$F17,BD$2&lt;=$V17,WEEKDAY(BD$2,2)&lt;6),$Q17/$U17,"")</f>
        <v/>
      </c>
    </row>
    <row r="18">
      <c r="A18" s="34">
        <f>IF(E18="","",COUNTA($E$8:E18))</f>
        <v/>
      </c>
      <c r="B18" s="52" t="n"/>
      <c r="C18" s="53" t="n"/>
      <c r="D18" s="53" t="n"/>
      <c r="E18" s="52" t="n"/>
      <c r="F18" s="54" t="n"/>
      <c r="G18" s="54" t="n"/>
      <c r="H18" s="53" t="n"/>
      <c r="I18" s="53" t="n"/>
      <c r="J18" s="53" t="n"/>
      <c r="K18" s="52" t="n"/>
      <c r="L18" s="55" t="n"/>
      <c r="M18" s="52" t="n"/>
      <c r="N18" s="55" t="n"/>
      <c r="O18" s="52" t="n"/>
      <c r="P18" s="55" t="n"/>
      <c r="Q18" s="56">
        <f>IF(SUM(L18,N18,P18)=0,"",SUM(L18,N18,P18))</f>
        <v/>
      </c>
      <c r="R18" s="57">
        <f>IF(L18&gt;0,"영 ","")&amp;IF(N18&gt;0,"이 ","")&amp;IF(P18&gt;0,"기 ","")</f>
        <v/>
      </c>
      <c r="S18" s="34">
        <f>IF(F18="","","W"&amp;ROUNDUP(DAY(F18)/7,0))</f>
        <v/>
      </c>
      <c r="T18" s="53" t="n"/>
      <c r="U18" s="34">
        <f>IF(Q18="",0,ROUNDUP(MAX(L18,N18,P18)/'마스터'!$J$5,0))</f>
        <v/>
      </c>
      <c r="V18" s="58">
        <f>IF(OR(F18="",U18=0),"",WORKDAY(F18,U18-1))</f>
        <v/>
      </c>
      <c r="W18" s="57">
        <f>IF(OR(G18="",V18=""),"",G18-V18)</f>
        <v/>
      </c>
      <c r="X18" s="52" t="n"/>
      <c r="Z18" s="59">
        <f>IF(AND($F18&lt;&gt;"",$V18&lt;&gt;"",Z$2&gt;=$F18,Z$2&lt;=$V18,WEEKDAY(Z$2,2)&lt;6),$Q18/$U18,"")</f>
        <v/>
      </c>
      <c r="AA18" s="59">
        <f>IF(AND($F18&lt;&gt;"",$V18&lt;&gt;"",AA$2&gt;=$F18,AA$2&lt;=$V18,WEEKDAY(AA$2,2)&lt;6),$Q18/$U18,"")</f>
        <v/>
      </c>
      <c r="AB18" s="59">
        <f>IF(AND($F18&lt;&gt;"",$V18&lt;&gt;"",AB$2&gt;=$F18,AB$2&lt;=$V18,WEEKDAY(AB$2,2)&lt;6),$Q18/$U18,"")</f>
        <v/>
      </c>
      <c r="AC18" s="59">
        <f>IF(AND($F18&lt;&gt;"",$V18&lt;&gt;"",AC$2&gt;=$F18,AC$2&lt;=$V18,WEEKDAY(AC$2,2)&lt;6),$Q18/$U18,"")</f>
        <v/>
      </c>
      <c r="AD18" s="59">
        <f>IF(AND($F18&lt;&gt;"",$V18&lt;&gt;"",AD$2&gt;=$F18,AD$2&lt;=$V18,WEEKDAY(AD$2,2)&lt;6),$Q18/$U18,"")</f>
        <v/>
      </c>
      <c r="AE18" s="59">
        <f>IF(AND($F18&lt;&gt;"",$V18&lt;&gt;"",AE$2&gt;=$F18,AE$2&lt;=$V18,WEEKDAY(AE$2,2)&lt;6),$Q18/$U18,"")</f>
        <v/>
      </c>
      <c r="AF18" s="59">
        <f>IF(AND($F18&lt;&gt;"",$V18&lt;&gt;"",AF$2&gt;=$F18,AF$2&lt;=$V18,WEEKDAY(AF$2,2)&lt;6),$Q18/$U18,"")</f>
        <v/>
      </c>
      <c r="AG18" s="59">
        <f>IF(AND($F18&lt;&gt;"",$V18&lt;&gt;"",AG$2&gt;=$F18,AG$2&lt;=$V18,WEEKDAY(AG$2,2)&lt;6),$Q18/$U18,"")</f>
        <v/>
      </c>
      <c r="AH18" s="59">
        <f>IF(AND($F18&lt;&gt;"",$V18&lt;&gt;"",AH$2&gt;=$F18,AH$2&lt;=$V18,WEEKDAY(AH$2,2)&lt;6),$Q18/$U18,"")</f>
        <v/>
      </c>
      <c r="AI18" s="59">
        <f>IF(AND($F18&lt;&gt;"",$V18&lt;&gt;"",AI$2&gt;=$F18,AI$2&lt;=$V18,WEEKDAY(AI$2,2)&lt;6),$Q18/$U18,"")</f>
        <v/>
      </c>
      <c r="AJ18" s="59">
        <f>IF(AND($F18&lt;&gt;"",$V18&lt;&gt;"",AJ$2&gt;=$F18,AJ$2&lt;=$V18,WEEKDAY(AJ$2,2)&lt;6),$Q18/$U18,"")</f>
        <v/>
      </c>
      <c r="AK18" s="59">
        <f>IF(AND($F18&lt;&gt;"",$V18&lt;&gt;"",AK$2&gt;=$F18,AK$2&lt;=$V18,WEEKDAY(AK$2,2)&lt;6),$Q18/$U18,"")</f>
        <v/>
      </c>
      <c r="AL18" s="59">
        <f>IF(AND($F18&lt;&gt;"",$V18&lt;&gt;"",AL$2&gt;=$F18,AL$2&lt;=$V18,WEEKDAY(AL$2,2)&lt;6),$Q18/$U18,"")</f>
        <v/>
      </c>
      <c r="AM18" s="59">
        <f>IF(AND($F18&lt;&gt;"",$V18&lt;&gt;"",AM$2&gt;=$F18,AM$2&lt;=$V18,WEEKDAY(AM$2,2)&lt;6),$Q18/$U18,"")</f>
        <v/>
      </c>
      <c r="AN18" s="59">
        <f>IF(AND($F18&lt;&gt;"",$V18&lt;&gt;"",AN$2&gt;=$F18,AN$2&lt;=$V18,WEEKDAY(AN$2,2)&lt;6),$Q18/$U18,"")</f>
        <v/>
      </c>
      <c r="AO18" s="59">
        <f>IF(AND($F18&lt;&gt;"",$V18&lt;&gt;"",AO$2&gt;=$F18,AO$2&lt;=$V18,WEEKDAY(AO$2,2)&lt;6),$Q18/$U18,"")</f>
        <v/>
      </c>
      <c r="AP18" s="59">
        <f>IF(AND($F18&lt;&gt;"",$V18&lt;&gt;"",AP$2&gt;=$F18,AP$2&lt;=$V18,WEEKDAY(AP$2,2)&lt;6),$Q18/$U18,"")</f>
        <v/>
      </c>
      <c r="AQ18" s="59">
        <f>IF(AND($F18&lt;&gt;"",$V18&lt;&gt;"",AQ$2&gt;=$F18,AQ$2&lt;=$V18,WEEKDAY(AQ$2,2)&lt;6),$Q18/$U18,"")</f>
        <v/>
      </c>
      <c r="AR18" s="59">
        <f>IF(AND($F18&lt;&gt;"",$V18&lt;&gt;"",AR$2&gt;=$F18,AR$2&lt;=$V18,WEEKDAY(AR$2,2)&lt;6),$Q18/$U18,"")</f>
        <v/>
      </c>
      <c r="AS18" s="59">
        <f>IF(AND($F18&lt;&gt;"",$V18&lt;&gt;"",AS$2&gt;=$F18,AS$2&lt;=$V18,WEEKDAY(AS$2,2)&lt;6),$Q18/$U18,"")</f>
        <v/>
      </c>
      <c r="AT18" s="59">
        <f>IF(AND($F18&lt;&gt;"",$V18&lt;&gt;"",AT$2&gt;=$F18,AT$2&lt;=$V18,WEEKDAY(AT$2,2)&lt;6),$Q18/$U18,"")</f>
        <v/>
      </c>
      <c r="AU18" s="59">
        <f>IF(AND($F18&lt;&gt;"",$V18&lt;&gt;"",AU$2&gt;=$F18,AU$2&lt;=$V18,WEEKDAY(AU$2,2)&lt;6),$Q18/$U18,"")</f>
        <v/>
      </c>
      <c r="AV18" s="59">
        <f>IF(AND($F18&lt;&gt;"",$V18&lt;&gt;"",AV$2&gt;=$F18,AV$2&lt;=$V18,WEEKDAY(AV$2,2)&lt;6),$Q18/$U18,"")</f>
        <v/>
      </c>
      <c r="AW18" s="59">
        <f>IF(AND($F18&lt;&gt;"",$V18&lt;&gt;"",AW$2&gt;=$F18,AW$2&lt;=$V18,WEEKDAY(AW$2,2)&lt;6),$Q18/$U18,"")</f>
        <v/>
      </c>
      <c r="AX18" s="59">
        <f>IF(AND($F18&lt;&gt;"",$V18&lt;&gt;"",AX$2&gt;=$F18,AX$2&lt;=$V18,WEEKDAY(AX$2,2)&lt;6),$Q18/$U18,"")</f>
        <v/>
      </c>
      <c r="AY18" s="59">
        <f>IF(AND($F18&lt;&gt;"",$V18&lt;&gt;"",AY$2&gt;=$F18,AY$2&lt;=$V18,WEEKDAY(AY$2,2)&lt;6),$Q18/$U18,"")</f>
        <v/>
      </c>
      <c r="AZ18" s="59">
        <f>IF(AND($F18&lt;&gt;"",$V18&lt;&gt;"",AZ$2&gt;=$F18,AZ$2&lt;=$V18,WEEKDAY(AZ$2,2)&lt;6),$Q18/$U18,"")</f>
        <v/>
      </c>
      <c r="BA18" s="59">
        <f>IF(AND($F18&lt;&gt;"",$V18&lt;&gt;"",BA$2&gt;=$F18,BA$2&lt;=$V18,WEEKDAY(BA$2,2)&lt;6),$Q18/$U18,"")</f>
        <v/>
      </c>
      <c r="BB18" s="59">
        <f>IF(AND($F18&lt;&gt;"",$V18&lt;&gt;"",BB$2&gt;=$F18,BB$2&lt;=$V18,WEEKDAY(BB$2,2)&lt;6),$Q18/$U18,"")</f>
        <v/>
      </c>
      <c r="BC18" s="59">
        <f>IF(AND($F18&lt;&gt;"",$V18&lt;&gt;"",BC$2&gt;=$F18,BC$2&lt;=$V18,WEEKDAY(BC$2,2)&lt;6),$Q18/$U18,"")</f>
        <v/>
      </c>
      <c r="BD18" s="59">
        <f>IF(AND($F18&lt;&gt;"",$V18&lt;&gt;"",BD$2&gt;=$F18,BD$2&lt;=$V18,WEEKDAY(BD$2,2)&lt;6),$Q18/$U18,"")</f>
        <v/>
      </c>
    </row>
    <row r="19">
      <c r="A19" s="34">
        <f>IF(E19="","",COUNTA($E$8:E19))</f>
        <v/>
      </c>
      <c r="B19" s="52" t="n"/>
      <c r="C19" s="53" t="n"/>
      <c r="D19" s="53" t="n"/>
      <c r="E19" s="52" t="n"/>
      <c r="F19" s="54" t="n"/>
      <c r="G19" s="54" t="n"/>
      <c r="H19" s="53" t="n"/>
      <c r="I19" s="53" t="n"/>
      <c r="J19" s="53" t="n"/>
      <c r="K19" s="52" t="n"/>
      <c r="L19" s="55" t="n"/>
      <c r="M19" s="52" t="n"/>
      <c r="N19" s="55" t="n"/>
      <c r="O19" s="52" t="n"/>
      <c r="P19" s="55" t="n"/>
      <c r="Q19" s="56">
        <f>IF(SUM(L19,N19,P19)=0,"",SUM(L19,N19,P19))</f>
        <v/>
      </c>
      <c r="R19" s="57">
        <f>IF(L19&gt;0,"영 ","")&amp;IF(N19&gt;0,"이 ","")&amp;IF(P19&gt;0,"기 ","")</f>
        <v/>
      </c>
      <c r="S19" s="34">
        <f>IF(F19="","","W"&amp;ROUNDUP(DAY(F19)/7,0))</f>
        <v/>
      </c>
      <c r="T19" s="53" t="n"/>
      <c r="U19" s="34">
        <f>IF(Q19="",0,ROUNDUP(MAX(L19,N19,P19)/'마스터'!$J$5,0))</f>
        <v/>
      </c>
      <c r="V19" s="58">
        <f>IF(OR(F19="",U19=0),"",WORKDAY(F19,U19-1))</f>
        <v/>
      </c>
      <c r="W19" s="57">
        <f>IF(OR(G19="",V19=""),"",G19-V19)</f>
        <v/>
      </c>
      <c r="X19" s="52" t="n"/>
      <c r="Z19" s="59">
        <f>IF(AND($F19&lt;&gt;"",$V19&lt;&gt;"",Z$2&gt;=$F19,Z$2&lt;=$V19,WEEKDAY(Z$2,2)&lt;6),$Q19/$U19,"")</f>
        <v/>
      </c>
      <c r="AA19" s="59">
        <f>IF(AND($F19&lt;&gt;"",$V19&lt;&gt;"",AA$2&gt;=$F19,AA$2&lt;=$V19,WEEKDAY(AA$2,2)&lt;6),$Q19/$U19,"")</f>
        <v/>
      </c>
      <c r="AB19" s="59">
        <f>IF(AND($F19&lt;&gt;"",$V19&lt;&gt;"",AB$2&gt;=$F19,AB$2&lt;=$V19,WEEKDAY(AB$2,2)&lt;6),$Q19/$U19,"")</f>
        <v/>
      </c>
      <c r="AC19" s="59">
        <f>IF(AND($F19&lt;&gt;"",$V19&lt;&gt;"",AC$2&gt;=$F19,AC$2&lt;=$V19,WEEKDAY(AC$2,2)&lt;6),$Q19/$U19,"")</f>
        <v/>
      </c>
      <c r="AD19" s="59">
        <f>IF(AND($F19&lt;&gt;"",$V19&lt;&gt;"",AD$2&gt;=$F19,AD$2&lt;=$V19,WEEKDAY(AD$2,2)&lt;6),$Q19/$U19,"")</f>
        <v/>
      </c>
      <c r="AE19" s="59">
        <f>IF(AND($F19&lt;&gt;"",$V19&lt;&gt;"",AE$2&gt;=$F19,AE$2&lt;=$V19,WEEKDAY(AE$2,2)&lt;6),$Q19/$U19,"")</f>
        <v/>
      </c>
      <c r="AF19" s="59">
        <f>IF(AND($F19&lt;&gt;"",$V19&lt;&gt;"",AF$2&gt;=$F19,AF$2&lt;=$V19,WEEKDAY(AF$2,2)&lt;6),$Q19/$U19,"")</f>
        <v/>
      </c>
      <c r="AG19" s="59">
        <f>IF(AND($F19&lt;&gt;"",$V19&lt;&gt;"",AG$2&gt;=$F19,AG$2&lt;=$V19,WEEKDAY(AG$2,2)&lt;6),$Q19/$U19,"")</f>
        <v/>
      </c>
      <c r="AH19" s="59">
        <f>IF(AND($F19&lt;&gt;"",$V19&lt;&gt;"",AH$2&gt;=$F19,AH$2&lt;=$V19,WEEKDAY(AH$2,2)&lt;6),$Q19/$U19,"")</f>
        <v/>
      </c>
      <c r="AI19" s="59">
        <f>IF(AND($F19&lt;&gt;"",$V19&lt;&gt;"",AI$2&gt;=$F19,AI$2&lt;=$V19,WEEKDAY(AI$2,2)&lt;6),$Q19/$U19,"")</f>
        <v/>
      </c>
      <c r="AJ19" s="59">
        <f>IF(AND($F19&lt;&gt;"",$V19&lt;&gt;"",AJ$2&gt;=$F19,AJ$2&lt;=$V19,WEEKDAY(AJ$2,2)&lt;6),$Q19/$U19,"")</f>
        <v/>
      </c>
      <c r="AK19" s="59">
        <f>IF(AND($F19&lt;&gt;"",$V19&lt;&gt;"",AK$2&gt;=$F19,AK$2&lt;=$V19,WEEKDAY(AK$2,2)&lt;6),$Q19/$U19,"")</f>
        <v/>
      </c>
      <c r="AL19" s="59">
        <f>IF(AND($F19&lt;&gt;"",$V19&lt;&gt;"",AL$2&gt;=$F19,AL$2&lt;=$V19,WEEKDAY(AL$2,2)&lt;6),$Q19/$U19,"")</f>
        <v/>
      </c>
      <c r="AM19" s="59">
        <f>IF(AND($F19&lt;&gt;"",$V19&lt;&gt;"",AM$2&gt;=$F19,AM$2&lt;=$V19,WEEKDAY(AM$2,2)&lt;6),$Q19/$U19,"")</f>
        <v/>
      </c>
      <c r="AN19" s="59">
        <f>IF(AND($F19&lt;&gt;"",$V19&lt;&gt;"",AN$2&gt;=$F19,AN$2&lt;=$V19,WEEKDAY(AN$2,2)&lt;6),$Q19/$U19,"")</f>
        <v/>
      </c>
      <c r="AO19" s="59">
        <f>IF(AND($F19&lt;&gt;"",$V19&lt;&gt;"",AO$2&gt;=$F19,AO$2&lt;=$V19,WEEKDAY(AO$2,2)&lt;6),$Q19/$U19,"")</f>
        <v/>
      </c>
      <c r="AP19" s="59">
        <f>IF(AND($F19&lt;&gt;"",$V19&lt;&gt;"",AP$2&gt;=$F19,AP$2&lt;=$V19,WEEKDAY(AP$2,2)&lt;6),$Q19/$U19,"")</f>
        <v/>
      </c>
      <c r="AQ19" s="59">
        <f>IF(AND($F19&lt;&gt;"",$V19&lt;&gt;"",AQ$2&gt;=$F19,AQ$2&lt;=$V19,WEEKDAY(AQ$2,2)&lt;6),$Q19/$U19,"")</f>
        <v/>
      </c>
      <c r="AR19" s="59">
        <f>IF(AND($F19&lt;&gt;"",$V19&lt;&gt;"",AR$2&gt;=$F19,AR$2&lt;=$V19,WEEKDAY(AR$2,2)&lt;6),$Q19/$U19,"")</f>
        <v/>
      </c>
      <c r="AS19" s="59">
        <f>IF(AND($F19&lt;&gt;"",$V19&lt;&gt;"",AS$2&gt;=$F19,AS$2&lt;=$V19,WEEKDAY(AS$2,2)&lt;6),$Q19/$U19,"")</f>
        <v/>
      </c>
      <c r="AT19" s="59">
        <f>IF(AND($F19&lt;&gt;"",$V19&lt;&gt;"",AT$2&gt;=$F19,AT$2&lt;=$V19,WEEKDAY(AT$2,2)&lt;6),$Q19/$U19,"")</f>
        <v/>
      </c>
      <c r="AU19" s="59">
        <f>IF(AND($F19&lt;&gt;"",$V19&lt;&gt;"",AU$2&gt;=$F19,AU$2&lt;=$V19,WEEKDAY(AU$2,2)&lt;6),$Q19/$U19,"")</f>
        <v/>
      </c>
      <c r="AV19" s="59">
        <f>IF(AND($F19&lt;&gt;"",$V19&lt;&gt;"",AV$2&gt;=$F19,AV$2&lt;=$V19,WEEKDAY(AV$2,2)&lt;6),$Q19/$U19,"")</f>
        <v/>
      </c>
      <c r="AW19" s="59">
        <f>IF(AND($F19&lt;&gt;"",$V19&lt;&gt;"",AW$2&gt;=$F19,AW$2&lt;=$V19,WEEKDAY(AW$2,2)&lt;6),$Q19/$U19,"")</f>
        <v/>
      </c>
      <c r="AX19" s="59">
        <f>IF(AND($F19&lt;&gt;"",$V19&lt;&gt;"",AX$2&gt;=$F19,AX$2&lt;=$V19,WEEKDAY(AX$2,2)&lt;6),$Q19/$U19,"")</f>
        <v/>
      </c>
      <c r="AY19" s="59">
        <f>IF(AND($F19&lt;&gt;"",$V19&lt;&gt;"",AY$2&gt;=$F19,AY$2&lt;=$V19,WEEKDAY(AY$2,2)&lt;6),$Q19/$U19,"")</f>
        <v/>
      </c>
      <c r="AZ19" s="59">
        <f>IF(AND($F19&lt;&gt;"",$V19&lt;&gt;"",AZ$2&gt;=$F19,AZ$2&lt;=$V19,WEEKDAY(AZ$2,2)&lt;6),$Q19/$U19,"")</f>
        <v/>
      </c>
      <c r="BA19" s="59">
        <f>IF(AND($F19&lt;&gt;"",$V19&lt;&gt;"",BA$2&gt;=$F19,BA$2&lt;=$V19,WEEKDAY(BA$2,2)&lt;6),$Q19/$U19,"")</f>
        <v/>
      </c>
      <c r="BB19" s="59">
        <f>IF(AND($F19&lt;&gt;"",$V19&lt;&gt;"",BB$2&gt;=$F19,BB$2&lt;=$V19,WEEKDAY(BB$2,2)&lt;6),$Q19/$U19,"")</f>
        <v/>
      </c>
      <c r="BC19" s="59">
        <f>IF(AND($F19&lt;&gt;"",$V19&lt;&gt;"",BC$2&gt;=$F19,BC$2&lt;=$V19,WEEKDAY(BC$2,2)&lt;6),$Q19/$U19,"")</f>
        <v/>
      </c>
      <c r="BD19" s="59">
        <f>IF(AND($F19&lt;&gt;"",$V19&lt;&gt;"",BD$2&gt;=$F19,BD$2&lt;=$V19,WEEKDAY(BD$2,2)&lt;6),$Q19/$U19,"")</f>
        <v/>
      </c>
    </row>
    <row r="20">
      <c r="A20" s="34">
        <f>IF(E20="","",COUNTA($E$8:E20))</f>
        <v/>
      </c>
      <c r="B20" s="52" t="n"/>
      <c r="C20" s="53" t="n"/>
      <c r="D20" s="53" t="n"/>
      <c r="E20" s="52" t="n"/>
      <c r="F20" s="54" t="n"/>
      <c r="G20" s="54" t="n"/>
      <c r="H20" s="53" t="n"/>
      <c r="I20" s="53" t="n"/>
      <c r="J20" s="53" t="n"/>
      <c r="K20" s="52" t="n"/>
      <c r="L20" s="55" t="n"/>
      <c r="M20" s="52" t="n"/>
      <c r="N20" s="55" t="n"/>
      <c r="O20" s="52" t="n"/>
      <c r="P20" s="55" t="n"/>
      <c r="Q20" s="56">
        <f>IF(SUM(L20,N20,P20)=0,"",SUM(L20,N20,P20))</f>
        <v/>
      </c>
      <c r="R20" s="57">
        <f>IF(L20&gt;0,"영 ","")&amp;IF(N20&gt;0,"이 ","")&amp;IF(P20&gt;0,"기 ","")</f>
        <v/>
      </c>
      <c r="S20" s="34">
        <f>IF(F20="","","W"&amp;ROUNDUP(DAY(F20)/7,0))</f>
        <v/>
      </c>
      <c r="T20" s="53" t="n"/>
      <c r="U20" s="34">
        <f>IF(Q20="",0,ROUNDUP(MAX(L20,N20,P20)/'마스터'!$J$5,0))</f>
        <v/>
      </c>
      <c r="V20" s="58">
        <f>IF(OR(F20="",U20=0),"",WORKDAY(F20,U20-1))</f>
        <v/>
      </c>
      <c r="W20" s="57">
        <f>IF(OR(G20="",V20=""),"",G20-V20)</f>
        <v/>
      </c>
      <c r="X20" s="52" t="n"/>
      <c r="Z20" s="59">
        <f>IF(AND($F20&lt;&gt;"",$V20&lt;&gt;"",Z$2&gt;=$F20,Z$2&lt;=$V20,WEEKDAY(Z$2,2)&lt;6),$Q20/$U20,"")</f>
        <v/>
      </c>
      <c r="AA20" s="59">
        <f>IF(AND($F20&lt;&gt;"",$V20&lt;&gt;"",AA$2&gt;=$F20,AA$2&lt;=$V20,WEEKDAY(AA$2,2)&lt;6),$Q20/$U20,"")</f>
        <v/>
      </c>
      <c r="AB20" s="59">
        <f>IF(AND($F20&lt;&gt;"",$V20&lt;&gt;"",AB$2&gt;=$F20,AB$2&lt;=$V20,WEEKDAY(AB$2,2)&lt;6),$Q20/$U20,"")</f>
        <v/>
      </c>
      <c r="AC20" s="59">
        <f>IF(AND($F20&lt;&gt;"",$V20&lt;&gt;"",AC$2&gt;=$F20,AC$2&lt;=$V20,WEEKDAY(AC$2,2)&lt;6),$Q20/$U20,"")</f>
        <v/>
      </c>
      <c r="AD20" s="59">
        <f>IF(AND($F20&lt;&gt;"",$V20&lt;&gt;"",AD$2&gt;=$F20,AD$2&lt;=$V20,WEEKDAY(AD$2,2)&lt;6),$Q20/$U20,"")</f>
        <v/>
      </c>
      <c r="AE20" s="59">
        <f>IF(AND($F20&lt;&gt;"",$V20&lt;&gt;"",AE$2&gt;=$F20,AE$2&lt;=$V20,WEEKDAY(AE$2,2)&lt;6),$Q20/$U20,"")</f>
        <v/>
      </c>
      <c r="AF20" s="59">
        <f>IF(AND($F20&lt;&gt;"",$V20&lt;&gt;"",AF$2&gt;=$F20,AF$2&lt;=$V20,WEEKDAY(AF$2,2)&lt;6),$Q20/$U20,"")</f>
        <v/>
      </c>
      <c r="AG20" s="59">
        <f>IF(AND($F20&lt;&gt;"",$V20&lt;&gt;"",AG$2&gt;=$F20,AG$2&lt;=$V20,WEEKDAY(AG$2,2)&lt;6),$Q20/$U20,"")</f>
        <v/>
      </c>
      <c r="AH20" s="59">
        <f>IF(AND($F20&lt;&gt;"",$V20&lt;&gt;"",AH$2&gt;=$F20,AH$2&lt;=$V20,WEEKDAY(AH$2,2)&lt;6),$Q20/$U20,"")</f>
        <v/>
      </c>
      <c r="AI20" s="59">
        <f>IF(AND($F20&lt;&gt;"",$V20&lt;&gt;"",AI$2&gt;=$F20,AI$2&lt;=$V20,WEEKDAY(AI$2,2)&lt;6),$Q20/$U20,"")</f>
        <v/>
      </c>
      <c r="AJ20" s="59">
        <f>IF(AND($F20&lt;&gt;"",$V20&lt;&gt;"",AJ$2&gt;=$F20,AJ$2&lt;=$V20,WEEKDAY(AJ$2,2)&lt;6),$Q20/$U20,"")</f>
        <v/>
      </c>
      <c r="AK20" s="59">
        <f>IF(AND($F20&lt;&gt;"",$V20&lt;&gt;"",AK$2&gt;=$F20,AK$2&lt;=$V20,WEEKDAY(AK$2,2)&lt;6),$Q20/$U20,"")</f>
        <v/>
      </c>
      <c r="AL20" s="59">
        <f>IF(AND($F20&lt;&gt;"",$V20&lt;&gt;"",AL$2&gt;=$F20,AL$2&lt;=$V20,WEEKDAY(AL$2,2)&lt;6),$Q20/$U20,"")</f>
        <v/>
      </c>
      <c r="AM20" s="59">
        <f>IF(AND($F20&lt;&gt;"",$V20&lt;&gt;"",AM$2&gt;=$F20,AM$2&lt;=$V20,WEEKDAY(AM$2,2)&lt;6),$Q20/$U20,"")</f>
        <v/>
      </c>
      <c r="AN20" s="59">
        <f>IF(AND($F20&lt;&gt;"",$V20&lt;&gt;"",AN$2&gt;=$F20,AN$2&lt;=$V20,WEEKDAY(AN$2,2)&lt;6),$Q20/$U20,"")</f>
        <v/>
      </c>
      <c r="AO20" s="59">
        <f>IF(AND($F20&lt;&gt;"",$V20&lt;&gt;"",AO$2&gt;=$F20,AO$2&lt;=$V20,WEEKDAY(AO$2,2)&lt;6),$Q20/$U20,"")</f>
        <v/>
      </c>
      <c r="AP20" s="59">
        <f>IF(AND($F20&lt;&gt;"",$V20&lt;&gt;"",AP$2&gt;=$F20,AP$2&lt;=$V20,WEEKDAY(AP$2,2)&lt;6),$Q20/$U20,"")</f>
        <v/>
      </c>
      <c r="AQ20" s="59">
        <f>IF(AND($F20&lt;&gt;"",$V20&lt;&gt;"",AQ$2&gt;=$F20,AQ$2&lt;=$V20,WEEKDAY(AQ$2,2)&lt;6),$Q20/$U20,"")</f>
        <v/>
      </c>
      <c r="AR20" s="59">
        <f>IF(AND($F20&lt;&gt;"",$V20&lt;&gt;"",AR$2&gt;=$F20,AR$2&lt;=$V20,WEEKDAY(AR$2,2)&lt;6),$Q20/$U20,"")</f>
        <v/>
      </c>
      <c r="AS20" s="59">
        <f>IF(AND($F20&lt;&gt;"",$V20&lt;&gt;"",AS$2&gt;=$F20,AS$2&lt;=$V20,WEEKDAY(AS$2,2)&lt;6),$Q20/$U20,"")</f>
        <v/>
      </c>
      <c r="AT20" s="59">
        <f>IF(AND($F20&lt;&gt;"",$V20&lt;&gt;"",AT$2&gt;=$F20,AT$2&lt;=$V20,WEEKDAY(AT$2,2)&lt;6),$Q20/$U20,"")</f>
        <v/>
      </c>
      <c r="AU20" s="59">
        <f>IF(AND($F20&lt;&gt;"",$V20&lt;&gt;"",AU$2&gt;=$F20,AU$2&lt;=$V20,WEEKDAY(AU$2,2)&lt;6),$Q20/$U20,"")</f>
        <v/>
      </c>
      <c r="AV20" s="59">
        <f>IF(AND($F20&lt;&gt;"",$V20&lt;&gt;"",AV$2&gt;=$F20,AV$2&lt;=$V20,WEEKDAY(AV$2,2)&lt;6),$Q20/$U20,"")</f>
        <v/>
      </c>
      <c r="AW20" s="59">
        <f>IF(AND($F20&lt;&gt;"",$V20&lt;&gt;"",AW$2&gt;=$F20,AW$2&lt;=$V20,WEEKDAY(AW$2,2)&lt;6),$Q20/$U20,"")</f>
        <v/>
      </c>
      <c r="AX20" s="59">
        <f>IF(AND($F20&lt;&gt;"",$V20&lt;&gt;"",AX$2&gt;=$F20,AX$2&lt;=$V20,WEEKDAY(AX$2,2)&lt;6),$Q20/$U20,"")</f>
        <v/>
      </c>
      <c r="AY20" s="59">
        <f>IF(AND($F20&lt;&gt;"",$V20&lt;&gt;"",AY$2&gt;=$F20,AY$2&lt;=$V20,WEEKDAY(AY$2,2)&lt;6),$Q20/$U20,"")</f>
        <v/>
      </c>
      <c r="AZ20" s="59">
        <f>IF(AND($F20&lt;&gt;"",$V20&lt;&gt;"",AZ$2&gt;=$F20,AZ$2&lt;=$V20,WEEKDAY(AZ$2,2)&lt;6),$Q20/$U20,"")</f>
        <v/>
      </c>
      <c r="BA20" s="59">
        <f>IF(AND($F20&lt;&gt;"",$V20&lt;&gt;"",BA$2&gt;=$F20,BA$2&lt;=$V20,WEEKDAY(BA$2,2)&lt;6),$Q20/$U20,"")</f>
        <v/>
      </c>
      <c r="BB20" s="59">
        <f>IF(AND($F20&lt;&gt;"",$V20&lt;&gt;"",BB$2&gt;=$F20,BB$2&lt;=$V20,WEEKDAY(BB$2,2)&lt;6),$Q20/$U20,"")</f>
        <v/>
      </c>
      <c r="BC20" s="59">
        <f>IF(AND($F20&lt;&gt;"",$V20&lt;&gt;"",BC$2&gt;=$F20,BC$2&lt;=$V20,WEEKDAY(BC$2,2)&lt;6),$Q20/$U20,"")</f>
        <v/>
      </c>
      <c r="BD20" s="59">
        <f>IF(AND($F20&lt;&gt;"",$V20&lt;&gt;"",BD$2&gt;=$F20,BD$2&lt;=$V20,WEEKDAY(BD$2,2)&lt;6),$Q20/$U20,"")</f>
        <v/>
      </c>
    </row>
    <row r="21">
      <c r="A21" s="34">
        <f>IF(E21="","",COUNTA($E$8:E21))</f>
        <v/>
      </c>
      <c r="B21" s="52" t="n"/>
      <c r="C21" s="53" t="n"/>
      <c r="D21" s="53" t="n"/>
      <c r="E21" s="52" t="n"/>
      <c r="F21" s="54" t="n"/>
      <c r="G21" s="54" t="n"/>
      <c r="H21" s="53" t="n"/>
      <c r="I21" s="53" t="n"/>
      <c r="J21" s="53" t="n"/>
      <c r="K21" s="52" t="n"/>
      <c r="L21" s="55" t="n"/>
      <c r="M21" s="52" t="n"/>
      <c r="N21" s="55" t="n"/>
      <c r="O21" s="52" t="n"/>
      <c r="P21" s="55" t="n"/>
      <c r="Q21" s="56">
        <f>IF(SUM(L21,N21,P21)=0,"",SUM(L21,N21,P21))</f>
        <v/>
      </c>
      <c r="R21" s="57">
        <f>IF(L21&gt;0,"영 ","")&amp;IF(N21&gt;0,"이 ","")&amp;IF(P21&gt;0,"기 ","")</f>
        <v/>
      </c>
      <c r="S21" s="34">
        <f>IF(F21="","","W"&amp;ROUNDUP(DAY(F21)/7,0))</f>
        <v/>
      </c>
      <c r="T21" s="53" t="n"/>
      <c r="U21" s="34">
        <f>IF(Q21="",0,ROUNDUP(MAX(L21,N21,P21)/'마스터'!$J$5,0))</f>
        <v/>
      </c>
      <c r="V21" s="58">
        <f>IF(OR(F21="",U21=0),"",WORKDAY(F21,U21-1))</f>
        <v/>
      </c>
      <c r="W21" s="57">
        <f>IF(OR(G21="",V21=""),"",G21-V21)</f>
        <v/>
      </c>
      <c r="X21" s="52" t="n"/>
      <c r="Z21" s="59">
        <f>IF(AND($F21&lt;&gt;"",$V21&lt;&gt;"",Z$2&gt;=$F21,Z$2&lt;=$V21,WEEKDAY(Z$2,2)&lt;6),$Q21/$U21,"")</f>
        <v/>
      </c>
      <c r="AA21" s="59">
        <f>IF(AND($F21&lt;&gt;"",$V21&lt;&gt;"",AA$2&gt;=$F21,AA$2&lt;=$V21,WEEKDAY(AA$2,2)&lt;6),$Q21/$U21,"")</f>
        <v/>
      </c>
      <c r="AB21" s="59">
        <f>IF(AND($F21&lt;&gt;"",$V21&lt;&gt;"",AB$2&gt;=$F21,AB$2&lt;=$V21,WEEKDAY(AB$2,2)&lt;6),$Q21/$U21,"")</f>
        <v/>
      </c>
      <c r="AC21" s="59">
        <f>IF(AND($F21&lt;&gt;"",$V21&lt;&gt;"",AC$2&gt;=$F21,AC$2&lt;=$V21,WEEKDAY(AC$2,2)&lt;6),$Q21/$U21,"")</f>
        <v/>
      </c>
      <c r="AD21" s="59">
        <f>IF(AND($F21&lt;&gt;"",$V21&lt;&gt;"",AD$2&gt;=$F21,AD$2&lt;=$V21,WEEKDAY(AD$2,2)&lt;6),$Q21/$U21,"")</f>
        <v/>
      </c>
      <c r="AE21" s="59">
        <f>IF(AND($F21&lt;&gt;"",$V21&lt;&gt;"",AE$2&gt;=$F21,AE$2&lt;=$V21,WEEKDAY(AE$2,2)&lt;6),$Q21/$U21,"")</f>
        <v/>
      </c>
      <c r="AF21" s="59">
        <f>IF(AND($F21&lt;&gt;"",$V21&lt;&gt;"",AF$2&gt;=$F21,AF$2&lt;=$V21,WEEKDAY(AF$2,2)&lt;6),$Q21/$U21,"")</f>
        <v/>
      </c>
      <c r="AG21" s="59">
        <f>IF(AND($F21&lt;&gt;"",$V21&lt;&gt;"",AG$2&gt;=$F21,AG$2&lt;=$V21,WEEKDAY(AG$2,2)&lt;6),$Q21/$U21,"")</f>
        <v/>
      </c>
      <c r="AH21" s="59">
        <f>IF(AND($F21&lt;&gt;"",$V21&lt;&gt;"",AH$2&gt;=$F21,AH$2&lt;=$V21,WEEKDAY(AH$2,2)&lt;6),$Q21/$U21,"")</f>
        <v/>
      </c>
      <c r="AI21" s="59">
        <f>IF(AND($F21&lt;&gt;"",$V21&lt;&gt;"",AI$2&gt;=$F21,AI$2&lt;=$V21,WEEKDAY(AI$2,2)&lt;6),$Q21/$U21,"")</f>
        <v/>
      </c>
      <c r="AJ21" s="59">
        <f>IF(AND($F21&lt;&gt;"",$V21&lt;&gt;"",AJ$2&gt;=$F21,AJ$2&lt;=$V21,WEEKDAY(AJ$2,2)&lt;6),$Q21/$U21,"")</f>
        <v/>
      </c>
      <c r="AK21" s="59">
        <f>IF(AND($F21&lt;&gt;"",$V21&lt;&gt;"",AK$2&gt;=$F21,AK$2&lt;=$V21,WEEKDAY(AK$2,2)&lt;6),$Q21/$U21,"")</f>
        <v/>
      </c>
      <c r="AL21" s="59">
        <f>IF(AND($F21&lt;&gt;"",$V21&lt;&gt;"",AL$2&gt;=$F21,AL$2&lt;=$V21,WEEKDAY(AL$2,2)&lt;6),$Q21/$U21,"")</f>
        <v/>
      </c>
      <c r="AM21" s="59">
        <f>IF(AND($F21&lt;&gt;"",$V21&lt;&gt;"",AM$2&gt;=$F21,AM$2&lt;=$V21,WEEKDAY(AM$2,2)&lt;6),$Q21/$U21,"")</f>
        <v/>
      </c>
      <c r="AN21" s="59">
        <f>IF(AND($F21&lt;&gt;"",$V21&lt;&gt;"",AN$2&gt;=$F21,AN$2&lt;=$V21,WEEKDAY(AN$2,2)&lt;6),$Q21/$U21,"")</f>
        <v/>
      </c>
      <c r="AO21" s="59">
        <f>IF(AND($F21&lt;&gt;"",$V21&lt;&gt;"",AO$2&gt;=$F21,AO$2&lt;=$V21,WEEKDAY(AO$2,2)&lt;6),$Q21/$U21,"")</f>
        <v/>
      </c>
      <c r="AP21" s="59">
        <f>IF(AND($F21&lt;&gt;"",$V21&lt;&gt;"",AP$2&gt;=$F21,AP$2&lt;=$V21,WEEKDAY(AP$2,2)&lt;6),$Q21/$U21,"")</f>
        <v/>
      </c>
      <c r="AQ21" s="59">
        <f>IF(AND($F21&lt;&gt;"",$V21&lt;&gt;"",AQ$2&gt;=$F21,AQ$2&lt;=$V21,WEEKDAY(AQ$2,2)&lt;6),$Q21/$U21,"")</f>
        <v/>
      </c>
      <c r="AR21" s="59">
        <f>IF(AND($F21&lt;&gt;"",$V21&lt;&gt;"",AR$2&gt;=$F21,AR$2&lt;=$V21,WEEKDAY(AR$2,2)&lt;6),$Q21/$U21,"")</f>
        <v/>
      </c>
      <c r="AS21" s="59">
        <f>IF(AND($F21&lt;&gt;"",$V21&lt;&gt;"",AS$2&gt;=$F21,AS$2&lt;=$V21,WEEKDAY(AS$2,2)&lt;6),$Q21/$U21,"")</f>
        <v/>
      </c>
      <c r="AT21" s="59">
        <f>IF(AND($F21&lt;&gt;"",$V21&lt;&gt;"",AT$2&gt;=$F21,AT$2&lt;=$V21,WEEKDAY(AT$2,2)&lt;6),$Q21/$U21,"")</f>
        <v/>
      </c>
      <c r="AU21" s="59">
        <f>IF(AND($F21&lt;&gt;"",$V21&lt;&gt;"",AU$2&gt;=$F21,AU$2&lt;=$V21,WEEKDAY(AU$2,2)&lt;6),$Q21/$U21,"")</f>
        <v/>
      </c>
      <c r="AV21" s="59">
        <f>IF(AND($F21&lt;&gt;"",$V21&lt;&gt;"",AV$2&gt;=$F21,AV$2&lt;=$V21,WEEKDAY(AV$2,2)&lt;6),$Q21/$U21,"")</f>
        <v/>
      </c>
      <c r="AW21" s="59">
        <f>IF(AND($F21&lt;&gt;"",$V21&lt;&gt;"",AW$2&gt;=$F21,AW$2&lt;=$V21,WEEKDAY(AW$2,2)&lt;6),$Q21/$U21,"")</f>
        <v/>
      </c>
      <c r="AX21" s="59">
        <f>IF(AND($F21&lt;&gt;"",$V21&lt;&gt;"",AX$2&gt;=$F21,AX$2&lt;=$V21,WEEKDAY(AX$2,2)&lt;6),$Q21/$U21,"")</f>
        <v/>
      </c>
      <c r="AY21" s="59">
        <f>IF(AND($F21&lt;&gt;"",$V21&lt;&gt;"",AY$2&gt;=$F21,AY$2&lt;=$V21,WEEKDAY(AY$2,2)&lt;6),$Q21/$U21,"")</f>
        <v/>
      </c>
      <c r="AZ21" s="59">
        <f>IF(AND($F21&lt;&gt;"",$V21&lt;&gt;"",AZ$2&gt;=$F21,AZ$2&lt;=$V21,WEEKDAY(AZ$2,2)&lt;6),$Q21/$U21,"")</f>
        <v/>
      </c>
      <c r="BA21" s="59">
        <f>IF(AND($F21&lt;&gt;"",$V21&lt;&gt;"",BA$2&gt;=$F21,BA$2&lt;=$V21,WEEKDAY(BA$2,2)&lt;6),$Q21/$U21,"")</f>
        <v/>
      </c>
      <c r="BB21" s="59">
        <f>IF(AND($F21&lt;&gt;"",$V21&lt;&gt;"",BB$2&gt;=$F21,BB$2&lt;=$V21,WEEKDAY(BB$2,2)&lt;6),$Q21/$U21,"")</f>
        <v/>
      </c>
      <c r="BC21" s="59">
        <f>IF(AND($F21&lt;&gt;"",$V21&lt;&gt;"",BC$2&gt;=$F21,BC$2&lt;=$V21,WEEKDAY(BC$2,2)&lt;6),$Q21/$U21,"")</f>
        <v/>
      </c>
      <c r="BD21" s="59">
        <f>IF(AND($F21&lt;&gt;"",$V21&lt;&gt;"",BD$2&gt;=$F21,BD$2&lt;=$V21,WEEKDAY(BD$2,2)&lt;6),$Q21/$U21,"")</f>
        <v/>
      </c>
    </row>
    <row r="22">
      <c r="A22" s="34">
        <f>IF(E22="","",COUNTA($E$8:E22))</f>
        <v/>
      </c>
      <c r="B22" s="52" t="n"/>
      <c r="C22" s="53" t="n"/>
      <c r="D22" s="53" t="n"/>
      <c r="E22" s="52" t="n"/>
      <c r="F22" s="54" t="n"/>
      <c r="G22" s="54" t="n"/>
      <c r="H22" s="53" t="n"/>
      <c r="I22" s="53" t="n"/>
      <c r="J22" s="53" t="n"/>
      <c r="K22" s="52" t="n"/>
      <c r="L22" s="55" t="n"/>
      <c r="M22" s="52" t="n"/>
      <c r="N22" s="55" t="n"/>
      <c r="O22" s="52" t="n"/>
      <c r="P22" s="55" t="n"/>
      <c r="Q22" s="56">
        <f>IF(SUM(L22,N22,P22)=0,"",SUM(L22,N22,P22))</f>
        <v/>
      </c>
      <c r="R22" s="57">
        <f>IF(L22&gt;0,"영 ","")&amp;IF(N22&gt;0,"이 ","")&amp;IF(P22&gt;0,"기 ","")</f>
        <v/>
      </c>
      <c r="S22" s="34">
        <f>IF(F22="","","W"&amp;ROUNDUP(DAY(F22)/7,0))</f>
        <v/>
      </c>
      <c r="T22" s="53" t="n"/>
      <c r="U22" s="34">
        <f>IF(Q22="",0,ROUNDUP(MAX(L22,N22,P22)/'마스터'!$J$5,0))</f>
        <v/>
      </c>
      <c r="V22" s="58">
        <f>IF(OR(F22="",U22=0),"",WORKDAY(F22,U22-1))</f>
        <v/>
      </c>
      <c r="W22" s="57">
        <f>IF(OR(G22="",V22=""),"",G22-V22)</f>
        <v/>
      </c>
      <c r="X22" s="52" t="n"/>
      <c r="Z22" s="59">
        <f>IF(AND($F22&lt;&gt;"",$V22&lt;&gt;"",Z$2&gt;=$F22,Z$2&lt;=$V22,WEEKDAY(Z$2,2)&lt;6),$Q22/$U22,"")</f>
        <v/>
      </c>
      <c r="AA22" s="59">
        <f>IF(AND($F22&lt;&gt;"",$V22&lt;&gt;"",AA$2&gt;=$F22,AA$2&lt;=$V22,WEEKDAY(AA$2,2)&lt;6),$Q22/$U22,"")</f>
        <v/>
      </c>
      <c r="AB22" s="59">
        <f>IF(AND($F22&lt;&gt;"",$V22&lt;&gt;"",AB$2&gt;=$F22,AB$2&lt;=$V22,WEEKDAY(AB$2,2)&lt;6),$Q22/$U22,"")</f>
        <v/>
      </c>
      <c r="AC22" s="59">
        <f>IF(AND($F22&lt;&gt;"",$V22&lt;&gt;"",AC$2&gt;=$F22,AC$2&lt;=$V22,WEEKDAY(AC$2,2)&lt;6),$Q22/$U22,"")</f>
        <v/>
      </c>
      <c r="AD22" s="59">
        <f>IF(AND($F22&lt;&gt;"",$V22&lt;&gt;"",AD$2&gt;=$F22,AD$2&lt;=$V22,WEEKDAY(AD$2,2)&lt;6),$Q22/$U22,"")</f>
        <v/>
      </c>
      <c r="AE22" s="59">
        <f>IF(AND($F22&lt;&gt;"",$V22&lt;&gt;"",AE$2&gt;=$F22,AE$2&lt;=$V22,WEEKDAY(AE$2,2)&lt;6),$Q22/$U22,"")</f>
        <v/>
      </c>
      <c r="AF22" s="59">
        <f>IF(AND($F22&lt;&gt;"",$V22&lt;&gt;"",AF$2&gt;=$F22,AF$2&lt;=$V22,WEEKDAY(AF$2,2)&lt;6),$Q22/$U22,"")</f>
        <v/>
      </c>
      <c r="AG22" s="59">
        <f>IF(AND($F22&lt;&gt;"",$V22&lt;&gt;"",AG$2&gt;=$F22,AG$2&lt;=$V22,WEEKDAY(AG$2,2)&lt;6),$Q22/$U22,"")</f>
        <v/>
      </c>
      <c r="AH22" s="59">
        <f>IF(AND($F22&lt;&gt;"",$V22&lt;&gt;"",AH$2&gt;=$F22,AH$2&lt;=$V22,WEEKDAY(AH$2,2)&lt;6),$Q22/$U22,"")</f>
        <v/>
      </c>
      <c r="AI22" s="59">
        <f>IF(AND($F22&lt;&gt;"",$V22&lt;&gt;"",AI$2&gt;=$F22,AI$2&lt;=$V22,WEEKDAY(AI$2,2)&lt;6),$Q22/$U22,"")</f>
        <v/>
      </c>
      <c r="AJ22" s="59">
        <f>IF(AND($F22&lt;&gt;"",$V22&lt;&gt;"",AJ$2&gt;=$F22,AJ$2&lt;=$V22,WEEKDAY(AJ$2,2)&lt;6),$Q22/$U22,"")</f>
        <v/>
      </c>
      <c r="AK22" s="59">
        <f>IF(AND($F22&lt;&gt;"",$V22&lt;&gt;"",AK$2&gt;=$F22,AK$2&lt;=$V22,WEEKDAY(AK$2,2)&lt;6),$Q22/$U22,"")</f>
        <v/>
      </c>
      <c r="AL22" s="59">
        <f>IF(AND($F22&lt;&gt;"",$V22&lt;&gt;"",AL$2&gt;=$F22,AL$2&lt;=$V22,WEEKDAY(AL$2,2)&lt;6),$Q22/$U22,"")</f>
        <v/>
      </c>
      <c r="AM22" s="59">
        <f>IF(AND($F22&lt;&gt;"",$V22&lt;&gt;"",AM$2&gt;=$F22,AM$2&lt;=$V22,WEEKDAY(AM$2,2)&lt;6),$Q22/$U22,"")</f>
        <v/>
      </c>
      <c r="AN22" s="59">
        <f>IF(AND($F22&lt;&gt;"",$V22&lt;&gt;"",AN$2&gt;=$F22,AN$2&lt;=$V22,WEEKDAY(AN$2,2)&lt;6),$Q22/$U22,"")</f>
        <v/>
      </c>
      <c r="AO22" s="59">
        <f>IF(AND($F22&lt;&gt;"",$V22&lt;&gt;"",AO$2&gt;=$F22,AO$2&lt;=$V22,WEEKDAY(AO$2,2)&lt;6),$Q22/$U22,"")</f>
        <v/>
      </c>
      <c r="AP22" s="59">
        <f>IF(AND($F22&lt;&gt;"",$V22&lt;&gt;"",AP$2&gt;=$F22,AP$2&lt;=$V22,WEEKDAY(AP$2,2)&lt;6),$Q22/$U22,"")</f>
        <v/>
      </c>
      <c r="AQ22" s="59">
        <f>IF(AND($F22&lt;&gt;"",$V22&lt;&gt;"",AQ$2&gt;=$F22,AQ$2&lt;=$V22,WEEKDAY(AQ$2,2)&lt;6),$Q22/$U22,"")</f>
        <v/>
      </c>
      <c r="AR22" s="59">
        <f>IF(AND($F22&lt;&gt;"",$V22&lt;&gt;"",AR$2&gt;=$F22,AR$2&lt;=$V22,WEEKDAY(AR$2,2)&lt;6),$Q22/$U22,"")</f>
        <v/>
      </c>
      <c r="AS22" s="59">
        <f>IF(AND($F22&lt;&gt;"",$V22&lt;&gt;"",AS$2&gt;=$F22,AS$2&lt;=$V22,WEEKDAY(AS$2,2)&lt;6),$Q22/$U22,"")</f>
        <v/>
      </c>
      <c r="AT22" s="59">
        <f>IF(AND($F22&lt;&gt;"",$V22&lt;&gt;"",AT$2&gt;=$F22,AT$2&lt;=$V22,WEEKDAY(AT$2,2)&lt;6),$Q22/$U22,"")</f>
        <v/>
      </c>
      <c r="AU22" s="59">
        <f>IF(AND($F22&lt;&gt;"",$V22&lt;&gt;"",AU$2&gt;=$F22,AU$2&lt;=$V22,WEEKDAY(AU$2,2)&lt;6),$Q22/$U22,"")</f>
        <v/>
      </c>
      <c r="AV22" s="59">
        <f>IF(AND($F22&lt;&gt;"",$V22&lt;&gt;"",AV$2&gt;=$F22,AV$2&lt;=$V22,WEEKDAY(AV$2,2)&lt;6),$Q22/$U22,"")</f>
        <v/>
      </c>
      <c r="AW22" s="59">
        <f>IF(AND($F22&lt;&gt;"",$V22&lt;&gt;"",AW$2&gt;=$F22,AW$2&lt;=$V22,WEEKDAY(AW$2,2)&lt;6),$Q22/$U22,"")</f>
        <v/>
      </c>
      <c r="AX22" s="59">
        <f>IF(AND($F22&lt;&gt;"",$V22&lt;&gt;"",AX$2&gt;=$F22,AX$2&lt;=$V22,WEEKDAY(AX$2,2)&lt;6),$Q22/$U22,"")</f>
        <v/>
      </c>
      <c r="AY22" s="59">
        <f>IF(AND($F22&lt;&gt;"",$V22&lt;&gt;"",AY$2&gt;=$F22,AY$2&lt;=$V22,WEEKDAY(AY$2,2)&lt;6),$Q22/$U22,"")</f>
        <v/>
      </c>
      <c r="AZ22" s="59">
        <f>IF(AND($F22&lt;&gt;"",$V22&lt;&gt;"",AZ$2&gt;=$F22,AZ$2&lt;=$V22,WEEKDAY(AZ$2,2)&lt;6),$Q22/$U22,"")</f>
        <v/>
      </c>
      <c r="BA22" s="59">
        <f>IF(AND($F22&lt;&gt;"",$V22&lt;&gt;"",BA$2&gt;=$F22,BA$2&lt;=$V22,WEEKDAY(BA$2,2)&lt;6),$Q22/$U22,"")</f>
        <v/>
      </c>
      <c r="BB22" s="59">
        <f>IF(AND($F22&lt;&gt;"",$V22&lt;&gt;"",BB$2&gt;=$F22,BB$2&lt;=$V22,WEEKDAY(BB$2,2)&lt;6),$Q22/$U22,"")</f>
        <v/>
      </c>
      <c r="BC22" s="59">
        <f>IF(AND($F22&lt;&gt;"",$V22&lt;&gt;"",BC$2&gt;=$F22,BC$2&lt;=$V22,WEEKDAY(BC$2,2)&lt;6),$Q22/$U22,"")</f>
        <v/>
      </c>
      <c r="BD22" s="59">
        <f>IF(AND($F22&lt;&gt;"",$V22&lt;&gt;"",BD$2&gt;=$F22,BD$2&lt;=$V22,WEEKDAY(BD$2,2)&lt;6),$Q22/$U22,"")</f>
        <v/>
      </c>
    </row>
    <row r="23">
      <c r="A23" s="34">
        <f>IF(E23="","",COUNTA($E$8:E23))</f>
        <v/>
      </c>
      <c r="B23" s="52" t="n"/>
      <c r="C23" s="53" t="n"/>
      <c r="D23" s="53" t="n"/>
      <c r="E23" s="52" t="n"/>
      <c r="F23" s="54" t="n"/>
      <c r="G23" s="54" t="n"/>
      <c r="H23" s="53" t="n"/>
      <c r="I23" s="53" t="n"/>
      <c r="J23" s="53" t="n"/>
      <c r="K23" s="52" t="n"/>
      <c r="L23" s="55" t="n"/>
      <c r="M23" s="52" t="n"/>
      <c r="N23" s="55" t="n"/>
      <c r="O23" s="52" t="n"/>
      <c r="P23" s="55" t="n"/>
      <c r="Q23" s="56">
        <f>IF(SUM(L23,N23,P23)=0,"",SUM(L23,N23,P23))</f>
        <v/>
      </c>
      <c r="R23" s="57">
        <f>IF(L23&gt;0,"영 ","")&amp;IF(N23&gt;0,"이 ","")&amp;IF(P23&gt;0,"기 ","")</f>
        <v/>
      </c>
      <c r="S23" s="34">
        <f>IF(F23="","","W"&amp;ROUNDUP(DAY(F23)/7,0))</f>
        <v/>
      </c>
      <c r="T23" s="53" t="n"/>
      <c r="U23" s="34">
        <f>IF(Q23="",0,ROUNDUP(MAX(L23,N23,P23)/'마스터'!$J$5,0))</f>
        <v/>
      </c>
      <c r="V23" s="58">
        <f>IF(OR(F23="",U23=0),"",WORKDAY(F23,U23-1))</f>
        <v/>
      </c>
      <c r="W23" s="57">
        <f>IF(OR(G23="",V23=""),"",G23-V23)</f>
        <v/>
      </c>
      <c r="X23" s="52" t="n"/>
      <c r="Z23" s="59">
        <f>IF(AND($F23&lt;&gt;"",$V23&lt;&gt;"",Z$2&gt;=$F23,Z$2&lt;=$V23,WEEKDAY(Z$2,2)&lt;6),$Q23/$U23,"")</f>
        <v/>
      </c>
      <c r="AA23" s="59">
        <f>IF(AND($F23&lt;&gt;"",$V23&lt;&gt;"",AA$2&gt;=$F23,AA$2&lt;=$V23,WEEKDAY(AA$2,2)&lt;6),$Q23/$U23,"")</f>
        <v/>
      </c>
      <c r="AB23" s="59">
        <f>IF(AND($F23&lt;&gt;"",$V23&lt;&gt;"",AB$2&gt;=$F23,AB$2&lt;=$V23,WEEKDAY(AB$2,2)&lt;6),$Q23/$U23,"")</f>
        <v/>
      </c>
      <c r="AC23" s="59">
        <f>IF(AND($F23&lt;&gt;"",$V23&lt;&gt;"",AC$2&gt;=$F23,AC$2&lt;=$V23,WEEKDAY(AC$2,2)&lt;6),$Q23/$U23,"")</f>
        <v/>
      </c>
      <c r="AD23" s="59">
        <f>IF(AND($F23&lt;&gt;"",$V23&lt;&gt;"",AD$2&gt;=$F23,AD$2&lt;=$V23,WEEKDAY(AD$2,2)&lt;6),$Q23/$U23,"")</f>
        <v/>
      </c>
      <c r="AE23" s="59">
        <f>IF(AND($F23&lt;&gt;"",$V23&lt;&gt;"",AE$2&gt;=$F23,AE$2&lt;=$V23,WEEKDAY(AE$2,2)&lt;6),$Q23/$U23,"")</f>
        <v/>
      </c>
      <c r="AF23" s="59">
        <f>IF(AND($F23&lt;&gt;"",$V23&lt;&gt;"",AF$2&gt;=$F23,AF$2&lt;=$V23,WEEKDAY(AF$2,2)&lt;6),$Q23/$U23,"")</f>
        <v/>
      </c>
      <c r="AG23" s="59">
        <f>IF(AND($F23&lt;&gt;"",$V23&lt;&gt;"",AG$2&gt;=$F23,AG$2&lt;=$V23,WEEKDAY(AG$2,2)&lt;6),$Q23/$U23,"")</f>
        <v/>
      </c>
      <c r="AH23" s="59">
        <f>IF(AND($F23&lt;&gt;"",$V23&lt;&gt;"",AH$2&gt;=$F23,AH$2&lt;=$V23,WEEKDAY(AH$2,2)&lt;6),$Q23/$U23,"")</f>
        <v/>
      </c>
      <c r="AI23" s="59">
        <f>IF(AND($F23&lt;&gt;"",$V23&lt;&gt;"",AI$2&gt;=$F23,AI$2&lt;=$V23,WEEKDAY(AI$2,2)&lt;6),$Q23/$U23,"")</f>
        <v/>
      </c>
      <c r="AJ23" s="59">
        <f>IF(AND($F23&lt;&gt;"",$V23&lt;&gt;"",AJ$2&gt;=$F23,AJ$2&lt;=$V23,WEEKDAY(AJ$2,2)&lt;6),$Q23/$U23,"")</f>
        <v/>
      </c>
      <c r="AK23" s="59">
        <f>IF(AND($F23&lt;&gt;"",$V23&lt;&gt;"",AK$2&gt;=$F23,AK$2&lt;=$V23,WEEKDAY(AK$2,2)&lt;6),$Q23/$U23,"")</f>
        <v/>
      </c>
      <c r="AL23" s="59">
        <f>IF(AND($F23&lt;&gt;"",$V23&lt;&gt;"",AL$2&gt;=$F23,AL$2&lt;=$V23,WEEKDAY(AL$2,2)&lt;6),$Q23/$U23,"")</f>
        <v/>
      </c>
      <c r="AM23" s="59">
        <f>IF(AND($F23&lt;&gt;"",$V23&lt;&gt;"",AM$2&gt;=$F23,AM$2&lt;=$V23,WEEKDAY(AM$2,2)&lt;6),$Q23/$U23,"")</f>
        <v/>
      </c>
      <c r="AN23" s="59">
        <f>IF(AND($F23&lt;&gt;"",$V23&lt;&gt;"",AN$2&gt;=$F23,AN$2&lt;=$V23,WEEKDAY(AN$2,2)&lt;6),$Q23/$U23,"")</f>
        <v/>
      </c>
      <c r="AO23" s="59">
        <f>IF(AND($F23&lt;&gt;"",$V23&lt;&gt;"",AO$2&gt;=$F23,AO$2&lt;=$V23,WEEKDAY(AO$2,2)&lt;6),$Q23/$U23,"")</f>
        <v/>
      </c>
      <c r="AP23" s="59">
        <f>IF(AND($F23&lt;&gt;"",$V23&lt;&gt;"",AP$2&gt;=$F23,AP$2&lt;=$V23,WEEKDAY(AP$2,2)&lt;6),$Q23/$U23,"")</f>
        <v/>
      </c>
      <c r="AQ23" s="59">
        <f>IF(AND($F23&lt;&gt;"",$V23&lt;&gt;"",AQ$2&gt;=$F23,AQ$2&lt;=$V23,WEEKDAY(AQ$2,2)&lt;6),$Q23/$U23,"")</f>
        <v/>
      </c>
      <c r="AR23" s="59">
        <f>IF(AND($F23&lt;&gt;"",$V23&lt;&gt;"",AR$2&gt;=$F23,AR$2&lt;=$V23,WEEKDAY(AR$2,2)&lt;6),$Q23/$U23,"")</f>
        <v/>
      </c>
      <c r="AS23" s="59">
        <f>IF(AND($F23&lt;&gt;"",$V23&lt;&gt;"",AS$2&gt;=$F23,AS$2&lt;=$V23,WEEKDAY(AS$2,2)&lt;6),$Q23/$U23,"")</f>
        <v/>
      </c>
      <c r="AT23" s="59">
        <f>IF(AND($F23&lt;&gt;"",$V23&lt;&gt;"",AT$2&gt;=$F23,AT$2&lt;=$V23,WEEKDAY(AT$2,2)&lt;6),$Q23/$U23,"")</f>
        <v/>
      </c>
      <c r="AU23" s="59">
        <f>IF(AND($F23&lt;&gt;"",$V23&lt;&gt;"",AU$2&gt;=$F23,AU$2&lt;=$V23,WEEKDAY(AU$2,2)&lt;6),$Q23/$U23,"")</f>
        <v/>
      </c>
      <c r="AV23" s="59">
        <f>IF(AND($F23&lt;&gt;"",$V23&lt;&gt;"",AV$2&gt;=$F23,AV$2&lt;=$V23,WEEKDAY(AV$2,2)&lt;6),$Q23/$U23,"")</f>
        <v/>
      </c>
      <c r="AW23" s="59">
        <f>IF(AND($F23&lt;&gt;"",$V23&lt;&gt;"",AW$2&gt;=$F23,AW$2&lt;=$V23,WEEKDAY(AW$2,2)&lt;6),$Q23/$U23,"")</f>
        <v/>
      </c>
      <c r="AX23" s="59">
        <f>IF(AND($F23&lt;&gt;"",$V23&lt;&gt;"",AX$2&gt;=$F23,AX$2&lt;=$V23,WEEKDAY(AX$2,2)&lt;6),$Q23/$U23,"")</f>
        <v/>
      </c>
      <c r="AY23" s="59">
        <f>IF(AND($F23&lt;&gt;"",$V23&lt;&gt;"",AY$2&gt;=$F23,AY$2&lt;=$V23,WEEKDAY(AY$2,2)&lt;6),$Q23/$U23,"")</f>
        <v/>
      </c>
      <c r="AZ23" s="59">
        <f>IF(AND($F23&lt;&gt;"",$V23&lt;&gt;"",AZ$2&gt;=$F23,AZ$2&lt;=$V23,WEEKDAY(AZ$2,2)&lt;6),$Q23/$U23,"")</f>
        <v/>
      </c>
      <c r="BA23" s="59">
        <f>IF(AND($F23&lt;&gt;"",$V23&lt;&gt;"",BA$2&gt;=$F23,BA$2&lt;=$V23,WEEKDAY(BA$2,2)&lt;6),$Q23/$U23,"")</f>
        <v/>
      </c>
      <c r="BB23" s="59">
        <f>IF(AND($F23&lt;&gt;"",$V23&lt;&gt;"",BB$2&gt;=$F23,BB$2&lt;=$V23,WEEKDAY(BB$2,2)&lt;6),$Q23/$U23,"")</f>
        <v/>
      </c>
      <c r="BC23" s="59">
        <f>IF(AND($F23&lt;&gt;"",$V23&lt;&gt;"",BC$2&gt;=$F23,BC$2&lt;=$V23,WEEKDAY(BC$2,2)&lt;6),$Q23/$U23,"")</f>
        <v/>
      </c>
      <c r="BD23" s="59">
        <f>IF(AND($F23&lt;&gt;"",$V23&lt;&gt;"",BD$2&gt;=$F23,BD$2&lt;=$V23,WEEKDAY(BD$2,2)&lt;6),$Q23/$U23,"")</f>
        <v/>
      </c>
    </row>
    <row r="24">
      <c r="A24" s="34">
        <f>IF(E24="","",COUNTA($E$8:E24))</f>
        <v/>
      </c>
      <c r="B24" s="52" t="n"/>
      <c r="C24" s="53" t="n"/>
      <c r="D24" s="53" t="n"/>
      <c r="E24" s="52" t="n"/>
      <c r="F24" s="54" t="n"/>
      <c r="G24" s="54" t="n"/>
      <c r="H24" s="53" t="n"/>
      <c r="I24" s="53" t="n"/>
      <c r="J24" s="53" t="n"/>
      <c r="K24" s="52" t="n"/>
      <c r="L24" s="55" t="n"/>
      <c r="M24" s="52" t="n"/>
      <c r="N24" s="55" t="n"/>
      <c r="O24" s="52" t="n"/>
      <c r="P24" s="55" t="n"/>
      <c r="Q24" s="56">
        <f>IF(SUM(L24,N24,P24)=0,"",SUM(L24,N24,P24))</f>
        <v/>
      </c>
      <c r="R24" s="57">
        <f>IF(L24&gt;0,"영 ","")&amp;IF(N24&gt;0,"이 ","")&amp;IF(P24&gt;0,"기 ","")</f>
        <v/>
      </c>
      <c r="S24" s="34">
        <f>IF(F24="","","W"&amp;ROUNDUP(DAY(F24)/7,0))</f>
        <v/>
      </c>
      <c r="T24" s="53" t="n"/>
      <c r="U24" s="34">
        <f>IF(Q24="",0,ROUNDUP(MAX(L24,N24,P24)/'마스터'!$J$5,0))</f>
        <v/>
      </c>
      <c r="V24" s="58">
        <f>IF(OR(F24="",U24=0),"",WORKDAY(F24,U24-1))</f>
        <v/>
      </c>
      <c r="W24" s="57">
        <f>IF(OR(G24="",V24=""),"",G24-V24)</f>
        <v/>
      </c>
      <c r="X24" s="52" t="n"/>
      <c r="Z24" s="59">
        <f>IF(AND($F24&lt;&gt;"",$V24&lt;&gt;"",Z$2&gt;=$F24,Z$2&lt;=$V24,WEEKDAY(Z$2,2)&lt;6),$Q24/$U24,"")</f>
        <v/>
      </c>
      <c r="AA24" s="59">
        <f>IF(AND($F24&lt;&gt;"",$V24&lt;&gt;"",AA$2&gt;=$F24,AA$2&lt;=$V24,WEEKDAY(AA$2,2)&lt;6),$Q24/$U24,"")</f>
        <v/>
      </c>
      <c r="AB24" s="59">
        <f>IF(AND($F24&lt;&gt;"",$V24&lt;&gt;"",AB$2&gt;=$F24,AB$2&lt;=$V24,WEEKDAY(AB$2,2)&lt;6),$Q24/$U24,"")</f>
        <v/>
      </c>
      <c r="AC24" s="59">
        <f>IF(AND($F24&lt;&gt;"",$V24&lt;&gt;"",AC$2&gt;=$F24,AC$2&lt;=$V24,WEEKDAY(AC$2,2)&lt;6),$Q24/$U24,"")</f>
        <v/>
      </c>
      <c r="AD24" s="59">
        <f>IF(AND($F24&lt;&gt;"",$V24&lt;&gt;"",AD$2&gt;=$F24,AD$2&lt;=$V24,WEEKDAY(AD$2,2)&lt;6),$Q24/$U24,"")</f>
        <v/>
      </c>
      <c r="AE24" s="59">
        <f>IF(AND($F24&lt;&gt;"",$V24&lt;&gt;"",AE$2&gt;=$F24,AE$2&lt;=$V24,WEEKDAY(AE$2,2)&lt;6),$Q24/$U24,"")</f>
        <v/>
      </c>
      <c r="AF24" s="59">
        <f>IF(AND($F24&lt;&gt;"",$V24&lt;&gt;"",AF$2&gt;=$F24,AF$2&lt;=$V24,WEEKDAY(AF$2,2)&lt;6),$Q24/$U24,"")</f>
        <v/>
      </c>
      <c r="AG24" s="59">
        <f>IF(AND($F24&lt;&gt;"",$V24&lt;&gt;"",AG$2&gt;=$F24,AG$2&lt;=$V24,WEEKDAY(AG$2,2)&lt;6),$Q24/$U24,"")</f>
        <v/>
      </c>
      <c r="AH24" s="59">
        <f>IF(AND($F24&lt;&gt;"",$V24&lt;&gt;"",AH$2&gt;=$F24,AH$2&lt;=$V24,WEEKDAY(AH$2,2)&lt;6),$Q24/$U24,"")</f>
        <v/>
      </c>
      <c r="AI24" s="59">
        <f>IF(AND($F24&lt;&gt;"",$V24&lt;&gt;"",AI$2&gt;=$F24,AI$2&lt;=$V24,WEEKDAY(AI$2,2)&lt;6),$Q24/$U24,"")</f>
        <v/>
      </c>
      <c r="AJ24" s="59">
        <f>IF(AND($F24&lt;&gt;"",$V24&lt;&gt;"",AJ$2&gt;=$F24,AJ$2&lt;=$V24,WEEKDAY(AJ$2,2)&lt;6),$Q24/$U24,"")</f>
        <v/>
      </c>
      <c r="AK24" s="59">
        <f>IF(AND($F24&lt;&gt;"",$V24&lt;&gt;"",AK$2&gt;=$F24,AK$2&lt;=$V24,WEEKDAY(AK$2,2)&lt;6),$Q24/$U24,"")</f>
        <v/>
      </c>
      <c r="AL24" s="59">
        <f>IF(AND($F24&lt;&gt;"",$V24&lt;&gt;"",AL$2&gt;=$F24,AL$2&lt;=$V24,WEEKDAY(AL$2,2)&lt;6),$Q24/$U24,"")</f>
        <v/>
      </c>
      <c r="AM24" s="59">
        <f>IF(AND($F24&lt;&gt;"",$V24&lt;&gt;"",AM$2&gt;=$F24,AM$2&lt;=$V24,WEEKDAY(AM$2,2)&lt;6),$Q24/$U24,"")</f>
        <v/>
      </c>
      <c r="AN24" s="59">
        <f>IF(AND($F24&lt;&gt;"",$V24&lt;&gt;"",AN$2&gt;=$F24,AN$2&lt;=$V24,WEEKDAY(AN$2,2)&lt;6),$Q24/$U24,"")</f>
        <v/>
      </c>
      <c r="AO24" s="59">
        <f>IF(AND($F24&lt;&gt;"",$V24&lt;&gt;"",AO$2&gt;=$F24,AO$2&lt;=$V24,WEEKDAY(AO$2,2)&lt;6),$Q24/$U24,"")</f>
        <v/>
      </c>
      <c r="AP24" s="59">
        <f>IF(AND($F24&lt;&gt;"",$V24&lt;&gt;"",AP$2&gt;=$F24,AP$2&lt;=$V24,WEEKDAY(AP$2,2)&lt;6),$Q24/$U24,"")</f>
        <v/>
      </c>
      <c r="AQ24" s="59">
        <f>IF(AND($F24&lt;&gt;"",$V24&lt;&gt;"",AQ$2&gt;=$F24,AQ$2&lt;=$V24,WEEKDAY(AQ$2,2)&lt;6),$Q24/$U24,"")</f>
        <v/>
      </c>
      <c r="AR24" s="59">
        <f>IF(AND($F24&lt;&gt;"",$V24&lt;&gt;"",AR$2&gt;=$F24,AR$2&lt;=$V24,WEEKDAY(AR$2,2)&lt;6),$Q24/$U24,"")</f>
        <v/>
      </c>
      <c r="AS24" s="59">
        <f>IF(AND($F24&lt;&gt;"",$V24&lt;&gt;"",AS$2&gt;=$F24,AS$2&lt;=$V24,WEEKDAY(AS$2,2)&lt;6),$Q24/$U24,"")</f>
        <v/>
      </c>
      <c r="AT24" s="59">
        <f>IF(AND($F24&lt;&gt;"",$V24&lt;&gt;"",AT$2&gt;=$F24,AT$2&lt;=$V24,WEEKDAY(AT$2,2)&lt;6),$Q24/$U24,"")</f>
        <v/>
      </c>
      <c r="AU24" s="59">
        <f>IF(AND($F24&lt;&gt;"",$V24&lt;&gt;"",AU$2&gt;=$F24,AU$2&lt;=$V24,WEEKDAY(AU$2,2)&lt;6),$Q24/$U24,"")</f>
        <v/>
      </c>
      <c r="AV24" s="59">
        <f>IF(AND($F24&lt;&gt;"",$V24&lt;&gt;"",AV$2&gt;=$F24,AV$2&lt;=$V24,WEEKDAY(AV$2,2)&lt;6),$Q24/$U24,"")</f>
        <v/>
      </c>
      <c r="AW24" s="59">
        <f>IF(AND($F24&lt;&gt;"",$V24&lt;&gt;"",AW$2&gt;=$F24,AW$2&lt;=$V24,WEEKDAY(AW$2,2)&lt;6),$Q24/$U24,"")</f>
        <v/>
      </c>
      <c r="AX24" s="59">
        <f>IF(AND($F24&lt;&gt;"",$V24&lt;&gt;"",AX$2&gt;=$F24,AX$2&lt;=$V24,WEEKDAY(AX$2,2)&lt;6),$Q24/$U24,"")</f>
        <v/>
      </c>
      <c r="AY24" s="59">
        <f>IF(AND($F24&lt;&gt;"",$V24&lt;&gt;"",AY$2&gt;=$F24,AY$2&lt;=$V24,WEEKDAY(AY$2,2)&lt;6),$Q24/$U24,"")</f>
        <v/>
      </c>
      <c r="AZ24" s="59">
        <f>IF(AND($F24&lt;&gt;"",$V24&lt;&gt;"",AZ$2&gt;=$F24,AZ$2&lt;=$V24,WEEKDAY(AZ$2,2)&lt;6),$Q24/$U24,"")</f>
        <v/>
      </c>
      <c r="BA24" s="59">
        <f>IF(AND($F24&lt;&gt;"",$V24&lt;&gt;"",BA$2&gt;=$F24,BA$2&lt;=$V24,WEEKDAY(BA$2,2)&lt;6),$Q24/$U24,"")</f>
        <v/>
      </c>
      <c r="BB24" s="59">
        <f>IF(AND($F24&lt;&gt;"",$V24&lt;&gt;"",BB$2&gt;=$F24,BB$2&lt;=$V24,WEEKDAY(BB$2,2)&lt;6),$Q24/$U24,"")</f>
        <v/>
      </c>
      <c r="BC24" s="59">
        <f>IF(AND($F24&lt;&gt;"",$V24&lt;&gt;"",BC$2&gt;=$F24,BC$2&lt;=$V24,WEEKDAY(BC$2,2)&lt;6),$Q24/$U24,"")</f>
        <v/>
      </c>
      <c r="BD24" s="59">
        <f>IF(AND($F24&lt;&gt;"",$V24&lt;&gt;"",BD$2&gt;=$F24,BD$2&lt;=$V24,WEEKDAY(BD$2,2)&lt;6),$Q24/$U24,"")</f>
        <v/>
      </c>
    </row>
    <row r="25">
      <c r="A25" s="34">
        <f>IF(E25="","",COUNTA($E$8:E25))</f>
        <v/>
      </c>
      <c r="B25" s="52" t="n"/>
      <c r="C25" s="53" t="n"/>
      <c r="D25" s="53" t="n"/>
      <c r="E25" s="52" t="n"/>
      <c r="F25" s="54" t="n"/>
      <c r="G25" s="54" t="n"/>
      <c r="H25" s="53" t="n"/>
      <c r="I25" s="53" t="n"/>
      <c r="J25" s="53" t="n"/>
      <c r="K25" s="52" t="n"/>
      <c r="L25" s="55" t="n"/>
      <c r="M25" s="52" t="n"/>
      <c r="N25" s="55" t="n"/>
      <c r="O25" s="52" t="n"/>
      <c r="P25" s="55" t="n"/>
      <c r="Q25" s="56">
        <f>IF(SUM(L25,N25,P25)=0,"",SUM(L25,N25,P25))</f>
        <v/>
      </c>
      <c r="R25" s="57">
        <f>IF(L25&gt;0,"영 ","")&amp;IF(N25&gt;0,"이 ","")&amp;IF(P25&gt;0,"기 ","")</f>
        <v/>
      </c>
      <c r="S25" s="34">
        <f>IF(F25="","","W"&amp;ROUNDUP(DAY(F25)/7,0))</f>
        <v/>
      </c>
      <c r="T25" s="53" t="n"/>
      <c r="U25" s="34">
        <f>IF(Q25="",0,ROUNDUP(MAX(L25,N25,P25)/'마스터'!$J$5,0))</f>
        <v/>
      </c>
      <c r="V25" s="58">
        <f>IF(OR(F25="",U25=0),"",WORKDAY(F25,U25-1))</f>
        <v/>
      </c>
      <c r="W25" s="57">
        <f>IF(OR(G25="",V25=""),"",G25-V25)</f>
        <v/>
      </c>
      <c r="X25" s="52" t="n"/>
      <c r="Z25" s="59">
        <f>IF(AND($F25&lt;&gt;"",$V25&lt;&gt;"",Z$2&gt;=$F25,Z$2&lt;=$V25,WEEKDAY(Z$2,2)&lt;6),$Q25/$U25,"")</f>
        <v/>
      </c>
      <c r="AA25" s="59">
        <f>IF(AND($F25&lt;&gt;"",$V25&lt;&gt;"",AA$2&gt;=$F25,AA$2&lt;=$V25,WEEKDAY(AA$2,2)&lt;6),$Q25/$U25,"")</f>
        <v/>
      </c>
      <c r="AB25" s="59">
        <f>IF(AND($F25&lt;&gt;"",$V25&lt;&gt;"",AB$2&gt;=$F25,AB$2&lt;=$V25,WEEKDAY(AB$2,2)&lt;6),$Q25/$U25,"")</f>
        <v/>
      </c>
      <c r="AC25" s="59">
        <f>IF(AND($F25&lt;&gt;"",$V25&lt;&gt;"",AC$2&gt;=$F25,AC$2&lt;=$V25,WEEKDAY(AC$2,2)&lt;6),$Q25/$U25,"")</f>
        <v/>
      </c>
      <c r="AD25" s="59">
        <f>IF(AND($F25&lt;&gt;"",$V25&lt;&gt;"",AD$2&gt;=$F25,AD$2&lt;=$V25,WEEKDAY(AD$2,2)&lt;6),$Q25/$U25,"")</f>
        <v/>
      </c>
      <c r="AE25" s="59">
        <f>IF(AND($F25&lt;&gt;"",$V25&lt;&gt;"",AE$2&gt;=$F25,AE$2&lt;=$V25,WEEKDAY(AE$2,2)&lt;6),$Q25/$U25,"")</f>
        <v/>
      </c>
      <c r="AF25" s="59">
        <f>IF(AND($F25&lt;&gt;"",$V25&lt;&gt;"",AF$2&gt;=$F25,AF$2&lt;=$V25,WEEKDAY(AF$2,2)&lt;6),$Q25/$U25,"")</f>
        <v/>
      </c>
      <c r="AG25" s="59">
        <f>IF(AND($F25&lt;&gt;"",$V25&lt;&gt;"",AG$2&gt;=$F25,AG$2&lt;=$V25,WEEKDAY(AG$2,2)&lt;6),$Q25/$U25,"")</f>
        <v/>
      </c>
      <c r="AH25" s="59">
        <f>IF(AND($F25&lt;&gt;"",$V25&lt;&gt;"",AH$2&gt;=$F25,AH$2&lt;=$V25,WEEKDAY(AH$2,2)&lt;6),$Q25/$U25,"")</f>
        <v/>
      </c>
      <c r="AI25" s="59">
        <f>IF(AND($F25&lt;&gt;"",$V25&lt;&gt;"",AI$2&gt;=$F25,AI$2&lt;=$V25,WEEKDAY(AI$2,2)&lt;6),$Q25/$U25,"")</f>
        <v/>
      </c>
      <c r="AJ25" s="59">
        <f>IF(AND($F25&lt;&gt;"",$V25&lt;&gt;"",AJ$2&gt;=$F25,AJ$2&lt;=$V25,WEEKDAY(AJ$2,2)&lt;6),$Q25/$U25,"")</f>
        <v/>
      </c>
      <c r="AK25" s="59">
        <f>IF(AND($F25&lt;&gt;"",$V25&lt;&gt;"",AK$2&gt;=$F25,AK$2&lt;=$V25,WEEKDAY(AK$2,2)&lt;6),$Q25/$U25,"")</f>
        <v/>
      </c>
      <c r="AL25" s="59">
        <f>IF(AND($F25&lt;&gt;"",$V25&lt;&gt;"",AL$2&gt;=$F25,AL$2&lt;=$V25,WEEKDAY(AL$2,2)&lt;6),$Q25/$U25,"")</f>
        <v/>
      </c>
      <c r="AM25" s="59">
        <f>IF(AND($F25&lt;&gt;"",$V25&lt;&gt;"",AM$2&gt;=$F25,AM$2&lt;=$V25,WEEKDAY(AM$2,2)&lt;6),$Q25/$U25,"")</f>
        <v/>
      </c>
      <c r="AN25" s="59">
        <f>IF(AND($F25&lt;&gt;"",$V25&lt;&gt;"",AN$2&gt;=$F25,AN$2&lt;=$V25,WEEKDAY(AN$2,2)&lt;6),$Q25/$U25,"")</f>
        <v/>
      </c>
      <c r="AO25" s="59">
        <f>IF(AND($F25&lt;&gt;"",$V25&lt;&gt;"",AO$2&gt;=$F25,AO$2&lt;=$V25,WEEKDAY(AO$2,2)&lt;6),$Q25/$U25,"")</f>
        <v/>
      </c>
      <c r="AP25" s="59">
        <f>IF(AND($F25&lt;&gt;"",$V25&lt;&gt;"",AP$2&gt;=$F25,AP$2&lt;=$V25,WEEKDAY(AP$2,2)&lt;6),$Q25/$U25,"")</f>
        <v/>
      </c>
      <c r="AQ25" s="59">
        <f>IF(AND($F25&lt;&gt;"",$V25&lt;&gt;"",AQ$2&gt;=$F25,AQ$2&lt;=$V25,WEEKDAY(AQ$2,2)&lt;6),$Q25/$U25,"")</f>
        <v/>
      </c>
      <c r="AR25" s="59">
        <f>IF(AND($F25&lt;&gt;"",$V25&lt;&gt;"",AR$2&gt;=$F25,AR$2&lt;=$V25,WEEKDAY(AR$2,2)&lt;6),$Q25/$U25,"")</f>
        <v/>
      </c>
      <c r="AS25" s="59">
        <f>IF(AND($F25&lt;&gt;"",$V25&lt;&gt;"",AS$2&gt;=$F25,AS$2&lt;=$V25,WEEKDAY(AS$2,2)&lt;6),$Q25/$U25,"")</f>
        <v/>
      </c>
      <c r="AT25" s="59">
        <f>IF(AND($F25&lt;&gt;"",$V25&lt;&gt;"",AT$2&gt;=$F25,AT$2&lt;=$V25,WEEKDAY(AT$2,2)&lt;6),$Q25/$U25,"")</f>
        <v/>
      </c>
      <c r="AU25" s="59">
        <f>IF(AND($F25&lt;&gt;"",$V25&lt;&gt;"",AU$2&gt;=$F25,AU$2&lt;=$V25,WEEKDAY(AU$2,2)&lt;6),$Q25/$U25,"")</f>
        <v/>
      </c>
      <c r="AV25" s="59">
        <f>IF(AND($F25&lt;&gt;"",$V25&lt;&gt;"",AV$2&gt;=$F25,AV$2&lt;=$V25,WEEKDAY(AV$2,2)&lt;6),$Q25/$U25,"")</f>
        <v/>
      </c>
      <c r="AW25" s="59">
        <f>IF(AND($F25&lt;&gt;"",$V25&lt;&gt;"",AW$2&gt;=$F25,AW$2&lt;=$V25,WEEKDAY(AW$2,2)&lt;6),$Q25/$U25,"")</f>
        <v/>
      </c>
      <c r="AX25" s="59">
        <f>IF(AND($F25&lt;&gt;"",$V25&lt;&gt;"",AX$2&gt;=$F25,AX$2&lt;=$V25,WEEKDAY(AX$2,2)&lt;6),$Q25/$U25,"")</f>
        <v/>
      </c>
      <c r="AY25" s="59">
        <f>IF(AND($F25&lt;&gt;"",$V25&lt;&gt;"",AY$2&gt;=$F25,AY$2&lt;=$V25,WEEKDAY(AY$2,2)&lt;6),$Q25/$U25,"")</f>
        <v/>
      </c>
      <c r="AZ25" s="59">
        <f>IF(AND($F25&lt;&gt;"",$V25&lt;&gt;"",AZ$2&gt;=$F25,AZ$2&lt;=$V25,WEEKDAY(AZ$2,2)&lt;6),$Q25/$U25,"")</f>
        <v/>
      </c>
      <c r="BA25" s="59">
        <f>IF(AND($F25&lt;&gt;"",$V25&lt;&gt;"",BA$2&gt;=$F25,BA$2&lt;=$V25,WEEKDAY(BA$2,2)&lt;6),$Q25/$U25,"")</f>
        <v/>
      </c>
      <c r="BB25" s="59">
        <f>IF(AND($F25&lt;&gt;"",$V25&lt;&gt;"",BB$2&gt;=$F25,BB$2&lt;=$V25,WEEKDAY(BB$2,2)&lt;6),$Q25/$U25,"")</f>
        <v/>
      </c>
      <c r="BC25" s="59">
        <f>IF(AND($F25&lt;&gt;"",$V25&lt;&gt;"",BC$2&gt;=$F25,BC$2&lt;=$V25,WEEKDAY(BC$2,2)&lt;6),$Q25/$U25,"")</f>
        <v/>
      </c>
      <c r="BD25" s="59">
        <f>IF(AND($F25&lt;&gt;"",$V25&lt;&gt;"",BD$2&gt;=$F25,BD$2&lt;=$V25,WEEKDAY(BD$2,2)&lt;6),$Q25/$U25,"")</f>
        <v/>
      </c>
    </row>
    <row r="26">
      <c r="A26" s="34">
        <f>IF(E26="","",COUNTA($E$8:E26))</f>
        <v/>
      </c>
      <c r="B26" s="52" t="n"/>
      <c r="C26" s="53" t="n"/>
      <c r="D26" s="53" t="n"/>
      <c r="E26" s="52" t="n"/>
      <c r="F26" s="54" t="n"/>
      <c r="G26" s="54" t="n"/>
      <c r="H26" s="53" t="n"/>
      <c r="I26" s="53" t="n"/>
      <c r="J26" s="53" t="n"/>
      <c r="K26" s="52" t="n"/>
      <c r="L26" s="55" t="n"/>
      <c r="M26" s="52" t="n"/>
      <c r="N26" s="55" t="n"/>
      <c r="O26" s="52" t="n"/>
      <c r="P26" s="55" t="n"/>
      <c r="Q26" s="56">
        <f>IF(SUM(L26,N26,P26)=0,"",SUM(L26,N26,P26))</f>
        <v/>
      </c>
      <c r="R26" s="57">
        <f>IF(L26&gt;0,"영 ","")&amp;IF(N26&gt;0,"이 ","")&amp;IF(P26&gt;0,"기 ","")</f>
        <v/>
      </c>
      <c r="S26" s="34">
        <f>IF(F26="","","W"&amp;ROUNDUP(DAY(F26)/7,0))</f>
        <v/>
      </c>
      <c r="T26" s="53" t="n"/>
      <c r="U26" s="34">
        <f>IF(Q26="",0,ROUNDUP(MAX(L26,N26,P26)/'마스터'!$J$5,0))</f>
        <v/>
      </c>
      <c r="V26" s="58">
        <f>IF(OR(F26="",U26=0),"",WORKDAY(F26,U26-1))</f>
        <v/>
      </c>
      <c r="W26" s="57">
        <f>IF(OR(G26="",V26=""),"",G26-V26)</f>
        <v/>
      </c>
      <c r="X26" s="52" t="n"/>
      <c r="Z26" s="59">
        <f>IF(AND($F26&lt;&gt;"",$V26&lt;&gt;"",Z$2&gt;=$F26,Z$2&lt;=$V26,WEEKDAY(Z$2,2)&lt;6),$Q26/$U26,"")</f>
        <v/>
      </c>
      <c r="AA26" s="59">
        <f>IF(AND($F26&lt;&gt;"",$V26&lt;&gt;"",AA$2&gt;=$F26,AA$2&lt;=$V26,WEEKDAY(AA$2,2)&lt;6),$Q26/$U26,"")</f>
        <v/>
      </c>
      <c r="AB26" s="59">
        <f>IF(AND($F26&lt;&gt;"",$V26&lt;&gt;"",AB$2&gt;=$F26,AB$2&lt;=$V26,WEEKDAY(AB$2,2)&lt;6),$Q26/$U26,"")</f>
        <v/>
      </c>
      <c r="AC26" s="59">
        <f>IF(AND($F26&lt;&gt;"",$V26&lt;&gt;"",AC$2&gt;=$F26,AC$2&lt;=$V26,WEEKDAY(AC$2,2)&lt;6),$Q26/$U26,"")</f>
        <v/>
      </c>
      <c r="AD26" s="59">
        <f>IF(AND($F26&lt;&gt;"",$V26&lt;&gt;"",AD$2&gt;=$F26,AD$2&lt;=$V26,WEEKDAY(AD$2,2)&lt;6),$Q26/$U26,"")</f>
        <v/>
      </c>
      <c r="AE26" s="59">
        <f>IF(AND($F26&lt;&gt;"",$V26&lt;&gt;"",AE$2&gt;=$F26,AE$2&lt;=$V26,WEEKDAY(AE$2,2)&lt;6),$Q26/$U26,"")</f>
        <v/>
      </c>
      <c r="AF26" s="59">
        <f>IF(AND($F26&lt;&gt;"",$V26&lt;&gt;"",AF$2&gt;=$F26,AF$2&lt;=$V26,WEEKDAY(AF$2,2)&lt;6),$Q26/$U26,"")</f>
        <v/>
      </c>
      <c r="AG26" s="59">
        <f>IF(AND($F26&lt;&gt;"",$V26&lt;&gt;"",AG$2&gt;=$F26,AG$2&lt;=$V26,WEEKDAY(AG$2,2)&lt;6),$Q26/$U26,"")</f>
        <v/>
      </c>
      <c r="AH26" s="59">
        <f>IF(AND($F26&lt;&gt;"",$V26&lt;&gt;"",AH$2&gt;=$F26,AH$2&lt;=$V26,WEEKDAY(AH$2,2)&lt;6),$Q26/$U26,"")</f>
        <v/>
      </c>
      <c r="AI26" s="59">
        <f>IF(AND($F26&lt;&gt;"",$V26&lt;&gt;"",AI$2&gt;=$F26,AI$2&lt;=$V26,WEEKDAY(AI$2,2)&lt;6),$Q26/$U26,"")</f>
        <v/>
      </c>
      <c r="AJ26" s="59">
        <f>IF(AND($F26&lt;&gt;"",$V26&lt;&gt;"",AJ$2&gt;=$F26,AJ$2&lt;=$V26,WEEKDAY(AJ$2,2)&lt;6),$Q26/$U26,"")</f>
        <v/>
      </c>
      <c r="AK26" s="59">
        <f>IF(AND($F26&lt;&gt;"",$V26&lt;&gt;"",AK$2&gt;=$F26,AK$2&lt;=$V26,WEEKDAY(AK$2,2)&lt;6),$Q26/$U26,"")</f>
        <v/>
      </c>
      <c r="AL26" s="59">
        <f>IF(AND($F26&lt;&gt;"",$V26&lt;&gt;"",AL$2&gt;=$F26,AL$2&lt;=$V26,WEEKDAY(AL$2,2)&lt;6),$Q26/$U26,"")</f>
        <v/>
      </c>
      <c r="AM26" s="59">
        <f>IF(AND($F26&lt;&gt;"",$V26&lt;&gt;"",AM$2&gt;=$F26,AM$2&lt;=$V26,WEEKDAY(AM$2,2)&lt;6),$Q26/$U26,"")</f>
        <v/>
      </c>
      <c r="AN26" s="59">
        <f>IF(AND($F26&lt;&gt;"",$V26&lt;&gt;"",AN$2&gt;=$F26,AN$2&lt;=$V26,WEEKDAY(AN$2,2)&lt;6),$Q26/$U26,"")</f>
        <v/>
      </c>
      <c r="AO26" s="59">
        <f>IF(AND($F26&lt;&gt;"",$V26&lt;&gt;"",AO$2&gt;=$F26,AO$2&lt;=$V26,WEEKDAY(AO$2,2)&lt;6),$Q26/$U26,"")</f>
        <v/>
      </c>
      <c r="AP26" s="59">
        <f>IF(AND($F26&lt;&gt;"",$V26&lt;&gt;"",AP$2&gt;=$F26,AP$2&lt;=$V26,WEEKDAY(AP$2,2)&lt;6),$Q26/$U26,"")</f>
        <v/>
      </c>
      <c r="AQ26" s="59">
        <f>IF(AND($F26&lt;&gt;"",$V26&lt;&gt;"",AQ$2&gt;=$F26,AQ$2&lt;=$V26,WEEKDAY(AQ$2,2)&lt;6),$Q26/$U26,"")</f>
        <v/>
      </c>
      <c r="AR26" s="59">
        <f>IF(AND($F26&lt;&gt;"",$V26&lt;&gt;"",AR$2&gt;=$F26,AR$2&lt;=$V26,WEEKDAY(AR$2,2)&lt;6),$Q26/$U26,"")</f>
        <v/>
      </c>
      <c r="AS26" s="59">
        <f>IF(AND($F26&lt;&gt;"",$V26&lt;&gt;"",AS$2&gt;=$F26,AS$2&lt;=$V26,WEEKDAY(AS$2,2)&lt;6),$Q26/$U26,"")</f>
        <v/>
      </c>
      <c r="AT26" s="59">
        <f>IF(AND($F26&lt;&gt;"",$V26&lt;&gt;"",AT$2&gt;=$F26,AT$2&lt;=$V26,WEEKDAY(AT$2,2)&lt;6),$Q26/$U26,"")</f>
        <v/>
      </c>
      <c r="AU26" s="59">
        <f>IF(AND($F26&lt;&gt;"",$V26&lt;&gt;"",AU$2&gt;=$F26,AU$2&lt;=$V26,WEEKDAY(AU$2,2)&lt;6),$Q26/$U26,"")</f>
        <v/>
      </c>
      <c r="AV26" s="59">
        <f>IF(AND($F26&lt;&gt;"",$V26&lt;&gt;"",AV$2&gt;=$F26,AV$2&lt;=$V26,WEEKDAY(AV$2,2)&lt;6),$Q26/$U26,"")</f>
        <v/>
      </c>
      <c r="AW26" s="59">
        <f>IF(AND($F26&lt;&gt;"",$V26&lt;&gt;"",AW$2&gt;=$F26,AW$2&lt;=$V26,WEEKDAY(AW$2,2)&lt;6),$Q26/$U26,"")</f>
        <v/>
      </c>
      <c r="AX26" s="59">
        <f>IF(AND($F26&lt;&gt;"",$V26&lt;&gt;"",AX$2&gt;=$F26,AX$2&lt;=$V26,WEEKDAY(AX$2,2)&lt;6),$Q26/$U26,"")</f>
        <v/>
      </c>
      <c r="AY26" s="59">
        <f>IF(AND($F26&lt;&gt;"",$V26&lt;&gt;"",AY$2&gt;=$F26,AY$2&lt;=$V26,WEEKDAY(AY$2,2)&lt;6),$Q26/$U26,"")</f>
        <v/>
      </c>
      <c r="AZ26" s="59">
        <f>IF(AND($F26&lt;&gt;"",$V26&lt;&gt;"",AZ$2&gt;=$F26,AZ$2&lt;=$V26,WEEKDAY(AZ$2,2)&lt;6),$Q26/$U26,"")</f>
        <v/>
      </c>
      <c r="BA26" s="59">
        <f>IF(AND($F26&lt;&gt;"",$V26&lt;&gt;"",BA$2&gt;=$F26,BA$2&lt;=$V26,WEEKDAY(BA$2,2)&lt;6),$Q26/$U26,"")</f>
        <v/>
      </c>
      <c r="BB26" s="59">
        <f>IF(AND($F26&lt;&gt;"",$V26&lt;&gt;"",BB$2&gt;=$F26,BB$2&lt;=$V26,WEEKDAY(BB$2,2)&lt;6),$Q26/$U26,"")</f>
        <v/>
      </c>
      <c r="BC26" s="59">
        <f>IF(AND($F26&lt;&gt;"",$V26&lt;&gt;"",BC$2&gt;=$F26,BC$2&lt;=$V26,WEEKDAY(BC$2,2)&lt;6),$Q26/$U26,"")</f>
        <v/>
      </c>
      <c r="BD26" s="59">
        <f>IF(AND($F26&lt;&gt;"",$V26&lt;&gt;"",BD$2&gt;=$F26,BD$2&lt;=$V26,WEEKDAY(BD$2,2)&lt;6),$Q26/$U26,"")</f>
        <v/>
      </c>
    </row>
    <row r="27">
      <c r="A27" s="34">
        <f>IF(E27="","",COUNTA($E$8:E27))</f>
        <v/>
      </c>
      <c r="B27" s="52" t="n"/>
      <c r="C27" s="53" t="n"/>
      <c r="D27" s="53" t="n"/>
      <c r="E27" s="52" t="n"/>
      <c r="F27" s="54" t="n"/>
      <c r="G27" s="54" t="n"/>
      <c r="H27" s="53" t="n"/>
      <c r="I27" s="53" t="n"/>
      <c r="J27" s="53" t="n"/>
      <c r="K27" s="52" t="n"/>
      <c r="L27" s="55" t="n"/>
      <c r="M27" s="52" t="n"/>
      <c r="N27" s="55" t="n"/>
      <c r="O27" s="52" t="n"/>
      <c r="P27" s="55" t="n"/>
      <c r="Q27" s="56">
        <f>IF(SUM(L27,N27,P27)=0,"",SUM(L27,N27,P27))</f>
        <v/>
      </c>
      <c r="R27" s="57">
        <f>IF(L27&gt;0,"영 ","")&amp;IF(N27&gt;0,"이 ","")&amp;IF(P27&gt;0,"기 ","")</f>
        <v/>
      </c>
      <c r="S27" s="34">
        <f>IF(F27="","","W"&amp;ROUNDUP(DAY(F27)/7,0))</f>
        <v/>
      </c>
      <c r="T27" s="53" t="n"/>
      <c r="U27" s="34">
        <f>IF(Q27="",0,ROUNDUP(MAX(L27,N27,P27)/'마스터'!$J$5,0))</f>
        <v/>
      </c>
      <c r="V27" s="58">
        <f>IF(OR(F27="",U27=0),"",WORKDAY(F27,U27-1))</f>
        <v/>
      </c>
      <c r="W27" s="57">
        <f>IF(OR(G27="",V27=""),"",G27-V27)</f>
        <v/>
      </c>
      <c r="X27" s="52" t="n"/>
      <c r="Z27" s="59">
        <f>IF(AND($F27&lt;&gt;"",$V27&lt;&gt;"",Z$2&gt;=$F27,Z$2&lt;=$V27,WEEKDAY(Z$2,2)&lt;6),$Q27/$U27,"")</f>
        <v/>
      </c>
      <c r="AA27" s="59">
        <f>IF(AND($F27&lt;&gt;"",$V27&lt;&gt;"",AA$2&gt;=$F27,AA$2&lt;=$V27,WEEKDAY(AA$2,2)&lt;6),$Q27/$U27,"")</f>
        <v/>
      </c>
      <c r="AB27" s="59">
        <f>IF(AND($F27&lt;&gt;"",$V27&lt;&gt;"",AB$2&gt;=$F27,AB$2&lt;=$V27,WEEKDAY(AB$2,2)&lt;6),$Q27/$U27,"")</f>
        <v/>
      </c>
      <c r="AC27" s="59">
        <f>IF(AND($F27&lt;&gt;"",$V27&lt;&gt;"",AC$2&gt;=$F27,AC$2&lt;=$V27,WEEKDAY(AC$2,2)&lt;6),$Q27/$U27,"")</f>
        <v/>
      </c>
      <c r="AD27" s="59">
        <f>IF(AND($F27&lt;&gt;"",$V27&lt;&gt;"",AD$2&gt;=$F27,AD$2&lt;=$V27,WEEKDAY(AD$2,2)&lt;6),$Q27/$U27,"")</f>
        <v/>
      </c>
      <c r="AE27" s="59">
        <f>IF(AND($F27&lt;&gt;"",$V27&lt;&gt;"",AE$2&gt;=$F27,AE$2&lt;=$V27,WEEKDAY(AE$2,2)&lt;6),$Q27/$U27,"")</f>
        <v/>
      </c>
      <c r="AF27" s="59">
        <f>IF(AND($F27&lt;&gt;"",$V27&lt;&gt;"",AF$2&gt;=$F27,AF$2&lt;=$V27,WEEKDAY(AF$2,2)&lt;6),$Q27/$U27,"")</f>
        <v/>
      </c>
      <c r="AG27" s="59">
        <f>IF(AND($F27&lt;&gt;"",$V27&lt;&gt;"",AG$2&gt;=$F27,AG$2&lt;=$V27,WEEKDAY(AG$2,2)&lt;6),$Q27/$U27,"")</f>
        <v/>
      </c>
      <c r="AH27" s="59">
        <f>IF(AND($F27&lt;&gt;"",$V27&lt;&gt;"",AH$2&gt;=$F27,AH$2&lt;=$V27,WEEKDAY(AH$2,2)&lt;6),$Q27/$U27,"")</f>
        <v/>
      </c>
      <c r="AI27" s="59">
        <f>IF(AND($F27&lt;&gt;"",$V27&lt;&gt;"",AI$2&gt;=$F27,AI$2&lt;=$V27,WEEKDAY(AI$2,2)&lt;6),$Q27/$U27,"")</f>
        <v/>
      </c>
      <c r="AJ27" s="59">
        <f>IF(AND($F27&lt;&gt;"",$V27&lt;&gt;"",AJ$2&gt;=$F27,AJ$2&lt;=$V27,WEEKDAY(AJ$2,2)&lt;6),$Q27/$U27,"")</f>
        <v/>
      </c>
      <c r="AK27" s="59">
        <f>IF(AND($F27&lt;&gt;"",$V27&lt;&gt;"",AK$2&gt;=$F27,AK$2&lt;=$V27,WEEKDAY(AK$2,2)&lt;6),$Q27/$U27,"")</f>
        <v/>
      </c>
      <c r="AL27" s="59">
        <f>IF(AND($F27&lt;&gt;"",$V27&lt;&gt;"",AL$2&gt;=$F27,AL$2&lt;=$V27,WEEKDAY(AL$2,2)&lt;6),$Q27/$U27,"")</f>
        <v/>
      </c>
      <c r="AM27" s="59">
        <f>IF(AND($F27&lt;&gt;"",$V27&lt;&gt;"",AM$2&gt;=$F27,AM$2&lt;=$V27,WEEKDAY(AM$2,2)&lt;6),$Q27/$U27,"")</f>
        <v/>
      </c>
      <c r="AN27" s="59">
        <f>IF(AND($F27&lt;&gt;"",$V27&lt;&gt;"",AN$2&gt;=$F27,AN$2&lt;=$V27,WEEKDAY(AN$2,2)&lt;6),$Q27/$U27,"")</f>
        <v/>
      </c>
      <c r="AO27" s="59">
        <f>IF(AND($F27&lt;&gt;"",$V27&lt;&gt;"",AO$2&gt;=$F27,AO$2&lt;=$V27,WEEKDAY(AO$2,2)&lt;6),$Q27/$U27,"")</f>
        <v/>
      </c>
      <c r="AP27" s="59">
        <f>IF(AND($F27&lt;&gt;"",$V27&lt;&gt;"",AP$2&gt;=$F27,AP$2&lt;=$V27,WEEKDAY(AP$2,2)&lt;6),$Q27/$U27,"")</f>
        <v/>
      </c>
      <c r="AQ27" s="59">
        <f>IF(AND($F27&lt;&gt;"",$V27&lt;&gt;"",AQ$2&gt;=$F27,AQ$2&lt;=$V27,WEEKDAY(AQ$2,2)&lt;6),$Q27/$U27,"")</f>
        <v/>
      </c>
      <c r="AR27" s="59">
        <f>IF(AND($F27&lt;&gt;"",$V27&lt;&gt;"",AR$2&gt;=$F27,AR$2&lt;=$V27,WEEKDAY(AR$2,2)&lt;6),$Q27/$U27,"")</f>
        <v/>
      </c>
      <c r="AS27" s="59">
        <f>IF(AND($F27&lt;&gt;"",$V27&lt;&gt;"",AS$2&gt;=$F27,AS$2&lt;=$V27,WEEKDAY(AS$2,2)&lt;6),$Q27/$U27,"")</f>
        <v/>
      </c>
      <c r="AT27" s="59">
        <f>IF(AND($F27&lt;&gt;"",$V27&lt;&gt;"",AT$2&gt;=$F27,AT$2&lt;=$V27,WEEKDAY(AT$2,2)&lt;6),$Q27/$U27,"")</f>
        <v/>
      </c>
      <c r="AU27" s="59">
        <f>IF(AND($F27&lt;&gt;"",$V27&lt;&gt;"",AU$2&gt;=$F27,AU$2&lt;=$V27,WEEKDAY(AU$2,2)&lt;6),$Q27/$U27,"")</f>
        <v/>
      </c>
      <c r="AV27" s="59">
        <f>IF(AND($F27&lt;&gt;"",$V27&lt;&gt;"",AV$2&gt;=$F27,AV$2&lt;=$V27,WEEKDAY(AV$2,2)&lt;6),$Q27/$U27,"")</f>
        <v/>
      </c>
      <c r="AW27" s="59">
        <f>IF(AND($F27&lt;&gt;"",$V27&lt;&gt;"",AW$2&gt;=$F27,AW$2&lt;=$V27,WEEKDAY(AW$2,2)&lt;6),$Q27/$U27,"")</f>
        <v/>
      </c>
      <c r="AX27" s="59">
        <f>IF(AND($F27&lt;&gt;"",$V27&lt;&gt;"",AX$2&gt;=$F27,AX$2&lt;=$V27,WEEKDAY(AX$2,2)&lt;6),$Q27/$U27,"")</f>
        <v/>
      </c>
      <c r="AY27" s="59">
        <f>IF(AND($F27&lt;&gt;"",$V27&lt;&gt;"",AY$2&gt;=$F27,AY$2&lt;=$V27,WEEKDAY(AY$2,2)&lt;6),$Q27/$U27,"")</f>
        <v/>
      </c>
      <c r="AZ27" s="59">
        <f>IF(AND($F27&lt;&gt;"",$V27&lt;&gt;"",AZ$2&gt;=$F27,AZ$2&lt;=$V27,WEEKDAY(AZ$2,2)&lt;6),$Q27/$U27,"")</f>
        <v/>
      </c>
      <c r="BA27" s="59">
        <f>IF(AND($F27&lt;&gt;"",$V27&lt;&gt;"",BA$2&gt;=$F27,BA$2&lt;=$V27,WEEKDAY(BA$2,2)&lt;6),$Q27/$U27,"")</f>
        <v/>
      </c>
      <c r="BB27" s="59">
        <f>IF(AND($F27&lt;&gt;"",$V27&lt;&gt;"",BB$2&gt;=$F27,BB$2&lt;=$V27,WEEKDAY(BB$2,2)&lt;6),$Q27/$U27,"")</f>
        <v/>
      </c>
      <c r="BC27" s="59">
        <f>IF(AND($F27&lt;&gt;"",$V27&lt;&gt;"",BC$2&gt;=$F27,BC$2&lt;=$V27,WEEKDAY(BC$2,2)&lt;6),$Q27/$U27,"")</f>
        <v/>
      </c>
      <c r="BD27" s="59">
        <f>IF(AND($F27&lt;&gt;"",$V27&lt;&gt;"",BD$2&gt;=$F27,BD$2&lt;=$V27,WEEKDAY(BD$2,2)&lt;6),$Q27/$U27,"")</f>
        <v/>
      </c>
    </row>
    <row r="28">
      <c r="A28" s="34">
        <f>IF(E28="","",COUNTA($E$8:E28))</f>
        <v/>
      </c>
      <c r="B28" s="52" t="n"/>
      <c r="C28" s="53" t="n"/>
      <c r="D28" s="53" t="n"/>
      <c r="E28" s="52" t="n"/>
      <c r="F28" s="54" t="n"/>
      <c r="G28" s="54" t="n"/>
      <c r="H28" s="53" t="n"/>
      <c r="I28" s="53" t="n"/>
      <c r="J28" s="53" t="n"/>
      <c r="K28" s="52" t="n"/>
      <c r="L28" s="55" t="n"/>
      <c r="M28" s="52" t="n"/>
      <c r="N28" s="55" t="n"/>
      <c r="O28" s="52" t="n"/>
      <c r="P28" s="55" t="n"/>
      <c r="Q28" s="56">
        <f>IF(SUM(L28,N28,P28)=0,"",SUM(L28,N28,P28))</f>
        <v/>
      </c>
      <c r="R28" s="57">
        <f>IF(L28&gt;0,"영 ","")&amp;IF(N28&gt;0,"이 ","")&amp;IF(P28&gt;0,"기 ","")</f>
        <v/>
      </c>
      <c r="S28" s="34">
        <f>IF(F28="","","W"&amp;ROUNDUP(DAY(F28)/7,0))</f>
        <v/>
      </c>
      <c r="T28" s="53" t="n"/>
      <c r="U28" s="34">
        <f>IF(Q28="",0,ROUNDUP(MAX(L28,N28,P28)/'마스터'!$J$5,0))</f>
        <v/>
      </c>
      <c r="V28" s="58">
        <f>IF(OR(F28="",U28=0),"",WORKDAY(F28,U28-1))</f>
        <v/>
      </c>
      <c r="W28" s="57">
        <f>IF(OR(G28="",V28=""),"",G28-V28)</f>
        <v/>
      </c>
      <c r="X28" s="52" t="n"/>
      <c r="Z28" s="59">
        <f>IF(AND($F28&lt;&gt;"",$V28&lt;&gt;"",Z$2&gt;=$F28,Z$2&lt;=$V28,WEEKDAY(Z$2,2)&lt;6),$Q28/$U28,"")</f>
        <v/>
      </c>
      <c r="AA28" s="59">
        <f>IF(AND($F28&lt;&gt;"",$V28&lt;&gt;"",AA$2&gt;=$F28,AA$2&lt;=$V28,WEEKDAY(AA$2,2)&lt;6),$Q28/$U28,"")</f>
        <v/>
      </c>
      <c r="AB28" s="59">
        <f>IF(AND($F28&lt;&gt;"",$V28&lt;&gt;"",AB$2&gt;=$F28,AB$2&lt;=$V28,WEEKDAY(AB$2,2)&lt;6),$Q28/$U28,"")</f>
        <v/>
      </c>
      <c r="AC28" s="59">
        <f>IF(AND($F28&lt;&gt;"",$V28&lt;&gt;"",AC$2&gt;=$F28,AC$2&lt;=$V28,WEEKDAY(AC$2,2)&lt;6),$Q28/$U28,"")</f>
        <v/>
      </c>
      <c r="AD28" s="59">
        <f>IF(AND($F28&lt;&gt;"",$V28&lt;&gt;"",AD$2&gt;=$F28,AD$2&lt;=$V28,WEEKDAY(AD$2,2)&lt;6),$Q28/$U28,"")</f>
        <v/>
      </c>
      <c r="AE28" s="59">
        <f>IF(AND($F28&lt;&gt;"",$V28&lt;&gt;"",AE$2&gt;=$F28,AE$2&lt;=$V28,WEEKDAY(AE$2,2)&lt;6),$Q28/$U28,"")</f>
        <v/>
      </c>
      <c r="AF28" s="59">
        <f>IF(AND($F28&lt;&gt;"",$V28&lt;&gt;"",AF$2&gt;=$F28,AF$2&lt;=$V28,WEEKDAY(AF$2,2)&lt;6),$Q28/$U28,"")</f>
        <v/>
      </c>
      <c r="AG28" s="59">
        <f>IF(AND($F28&lt;&gt;"",$V28&lt;&gt;"",AG$2&gt;=$F28,AG$2&lt;=$V28,WEEKDAY(AG$2,2)&lt;6),$Q28/$U28,"")</f>
        <v/>
      </c>
      <c r="AH28" s="59">
        <f>IF(AND($F28&lt;&gt;"",$V28&lt;&gt;"",AH$2&gt;=$F28,AH$2&lt;=$V28,WEEKDAY(AH$2,2)&lt;6),$Q28/$U28,"")</f>
        <v/>
      </c>
      <c r="AI28" s="59">
        <f>IF(AND($F28&lt;&gt;"",$V28&lt;&gt;"",AI$2&gt;=$F28,AI$2&lt;=$V28,WEEKDAY(AI$2,2)&lt;6),$Q28/$U28,"")</f>
        <v/>
      </c>
      <c r="AJ28" s="59">
        <f>IF(AND($F28&lt;&gt;"",$V28&lt;&gt;"",AJ$2&gt;=$F28,AJ$2&lt;=$V28,WEEKDAY(AJ$2,2)&lt;6),$Q28/$U28,"")</f>
        <v/>
      </c>
      <c r="AK28" s="59">
        <f>IF(AND($F28&lt;&gt;"",$V28&lt;&gt;"",AK$2&gt;=$F28,AK$2&lt;=$V28,WEEKDAY(AK$2,2)&lt;6),$Q28/$U28,"")</f>
        <v/>
      </c>
      <c r="AL28" s="59">
        <f>IF(AND($F28&lt;&gt;"",$V28&lt;&gt;"",AL$2&gt;=$F28,AL$2&lt;=$V28,WEEKDAY(AL$2,2)&lt;6),$Q28/$U28,"")</f>
        <v/>
      </c>
      <c r="AM28" s="59">
        <f>IF(AND($F28&lt;&gt;"",$V28&lt;&gt;"",AM$2&gt;=$F28,AM$2&lt;=$V28,WEEKDAY(AM$2,2)&lt;6),$Q28/$U28,"")</f>
        <v/>
      </c>
      <c r="AN28" s="59">
        <f>IF(AND($F28&lt;&gt;"",$V28&lt;&gt;"",AN$2&gt;=$F28,AN$2&lt;=$V28,WEEKDAY(AN$2,2)&lt;6),$Q28/$U28,"")</f>
        <v/>
      </c>
      <c r="AO28" s="59">
        <f>IF(AND($F28&lt;&gt;"",$V28&lt;&gt;"",AO$2&gt;=$F28,AO$2&lt;=$V28,WEEKDAY(AO$2,2)&lt;6),$Q28/$U28,"")</f>
        <v/>
      </c>
      <c r="AP28" s="59">
        <f>IF(AND($F28&lt;&gt;"",$V28&lt;&gt;"",AP$2&gt;=$F28,AP$2&lt;=$V28,WEEKDAY(AP$2,2)&lt;6),$Q28/$U28,"")</f>
        <v/>
      </c>
      <c r="AQ28" s="59">
        <f>IF(AND($F28&lt;&gt;"",$V28&lt;&gt;"",AQ$2&gt;=$F28,AQ$2&lt;=$V28,WEEKDAY(AQ$2,2)&lt;6),$Q28/$U28,"")</f>
        <v/>
      </c>
      <c r="AR28" s="59">
        <f>IF(AND($F28&lt;&gt;"",$V28&lt;&gt;"",AR$2&gt;=$F28,AR$2&lt;=$V28,WEEKDAY(AR$2,2)&lt;6),$Q28/$U28,"")</f>
        <v/>
      </c>
      <c r="AS28" s="59">
        <f>IF(AND($F28&lt;&gt;"",$V28&lt;&gt;"",AS$2&gt;=$F28,AS$2&lt;=$V28,WEEKDAY(AS$2,2)&lt;6),$Q28/$U28,"")</f>
        <v/>
      </c>
      <c r="AT28" s="59">
        <f>IF(AND($F28&lt;&gt;"",$V28&lt;&gt;"",AT$2&gt;=$F28,AT$2&lt;=$V28,WEEKDAY(AT$2,2)&lt;6),$Q28/$U28,"")</f>
        <v/>
      </c>
      <c r="AU28" s="59">
        <f>IF(AND($F28&lt;&gt;"",$V28&lt;&gt;"",AU$2&gt;=$F28,AU$2&lt;=$V28,WEEKDAY(AU$2,2)&lt;6),$Q28/$U28,"")</f>
        <v/>
      </c>
      <c r="AV28" s="59">
        <f>IF(AND($F28&lt;&gt;"",$V28&lt;&gt;"",AV$2&gt;=$F28,AV$2&lt;=$V28,WEEKDAY(AV$2,2)&lt;6),$Q28/$U28,"")</f>
        <v/>
      </c>
      <c r="AW28" s="59">
        <f>IF(AND($F28&lt;&gt;"",$V28&lt;&gt;"",AW$2&gt;=$F28,AW$2&lt;=$V28,WEEKDAY(AW$2,2)&lt;6),$Q28/$U28,"")</f>
        <v/>
      </c>
      <c r="AX28" s="59">
        <f>IF(AND($F28&lt;&gt;"",$V28&lt;&gt;"",AX$2&gt;=$F28,AX$2&lt;=$V28,WEEKDAY(AX$2,2)&lt;6),$Q28/$U28,"")</f>
        <v/>
      </c>
      <c r="AY28" s="59">
        <f>IF(AND($F28&lt;&gt;"",$V28&lt;&gt;"",AY$2&gt;=$F28,AY$2&lt;=$V28,WEEKDAY(AY$2,2)&lt;6),$Q28/$U28,"")</f>
        <v/>
      </c>
      <c r="AZ28" s="59">
        <f>IF(AND($F28&lt;&gt;"",$V28&lt;&gt;"",AZ$2&gt;=$F28,AZ$2&lt;=$V28,WEEKDAY(AZ$2,2)&lt;6),$Q28/$U28,"")</f>
        <v/>
      </c>
      <c r="BA28" s="59">
        <f>IF(AND($F28&lt;&gt;"",$V28&lt;&gt;"",BA$2&gt;=$F28,BA$2&lt;=$V28,WEEKDAY(BA$2,2)&lt;6),$Q28/$U28,"")</f>
        <v/>
      </c>
      <c r="BB28" s="59">
        <f>IF(AND($F28&lt;&gt;"",$V28&lt;&gt;"",BB$2&gt;=$F28,BB$2&lt;=$V28,WEEKDAY(BB$2,2)&lt;6),$Q28/$U28,"")</f>
        <v/>
      </c>
      <c r="BC28" s="59">
        <f>IF(AND($F28&lt;&gt;"",$V28&lt;&gt;"",BC$2&gt;=$F28,BC$2&lt;=$V28,WEEKDAY(BC$2,2)&lt;6),$Q28/$U28,"")</f>
        <v/>
      </c>
      <c r="BD28" s="59">
        <f>IF(AND($F28&lt;&gt;"",$V28&lt;&gt;"",BD$2&gt;=$F28,BD$2&lt;=$V28,WEEKDAY(BD$2,2)&lt;6),$Q28/$U28,"")</f>
        <v/>
      </c>
    </row>
    <row r="29">
      <c r="A29" s="34">
        <f>IF(E29="","",COUNTA($E$8:E29))</f>
        <v/>
      </c>
      <c r="B29" s="52" t="n"/>
      <c r="C29" s="53" t="n"/>
      <c r="D29" s="53" t="n"/>
      <c r="E29" s="52" t="n"/>
      <c r="F29" s="54" t="n"/>
      <c r="G29" s="54" t="n"/>
      <c r="H29" s="53" t="n"/>
      <c r="I29" s="53" t="n"/>
      <c r="J29" s="53" t="n"/>
      <c r="K29" s="52" t="n"/>
      <c r="L29" s="55" t="n"/>
      <c r="M29" s="52" t="n"/>
      <c r="N29" s="55" t="n"/>
      <c r="O29" s="52" t="n"/>
      <c r="P29" s="55" t="n"/>
      <c r="Q29" s="56">
        <f>IF(SUM(L29,N29,P29)=0,"",SUM(L29,N29,P29))</f>
        <v/>
      </c>
      <c r="R29" s="57">
        <f>IF(L29&gt;0,"영 ","")&amp;IF(N29&gt;0,"이 ","")&amp;IF(P29&gt;0,"기 ","")</f>
        <v/>
      </c>
      <c r="S29" s="34">
        <f>IF(F29="","","W"&amp;ROUNDUP(DAY(F29)/7,0))</f>
        <v/>
      </c>
      <c r="T29" s="53" t="n"/>
      <c r="U29" s="34">
        <f>IF(Q29="",0,ROUNDUP(MAX(L29,N29,P29)/'마스터'!$J$5,0))</f>
        <v/>
      </c>
      <c r="V29" s="58">
        <f>IF(OR(F29="",U29=0),"",WORKDAY(F29,U29-1))</f>
        <v/>
      </c>
      <c r="W29" s="57">
        <f>IF(OR(G29="",V29=""),"",G29-V29)</f>
        <v/>
      </c>
      <c r="X29" s="52" t="n"/>
      <c r="Z29" s="59">
        <f>IF(AND($F29&lt;&gt;"",$V29&lt;&gt;"",Z$2&gt;=$F29,Z$2&lt;=$V29,WEEKDAY(Z$2,2)&lt;6),$Q29/$U29,"")</f>
        <v/>
      </c>
      <c r="AA29" s="59">
        <f>IF(AND($F29&lt;&gt;"",$V29&lt;&gt;"",AA$2&gt;=$F29,AA$2&lt;=$V29,WEEKDAY(AA$2,2)&lt;6),$Q29/$U29,"")</f>
        <v/>
      </c>
      <c r="AB29" s="59">
        <f>IF(AND($F29&lt;&gt;"",$V29&lt;&gt;"",AB$2&gt;=$F29,AB$2&lt;=$V29,WEEKDAY(AB$2,2)&lt;6),$Q29/$U29,"")</f>
        <v/>
      </c>
      <c r="AC29" s="59">
        <f>IF(AND($F29&lt;&gt;"",$V29&lt;&gt;"",AC$2&gt;=$F29,AC$2&lt;=$V29,WEEKDAY(AC$2,2)&lt;6),$Q29/$U29,"")</f>
        <v/>
      </c>
      <c r="AD29" s="59">
        <f>IF(AND($F29&lt;&gt;"",$V29&lt;&gt;"",AD$2&gt;=$F29,AD$2&lt;=$V29,WEEKDAY(AD$2,2)&lt;6),$Q29/$U29,"")</f>
        <v/>
      </c>
      <c r="AE29" s="59">
        <f>IF(AND($F29&lt;&gt;"",$V29&lt;&gt;"",AE$2&gt;=$F29,AE$2&lt;=$V29,WEEKDAY(AE$2,2)&lt;6),$Q29/$U29,"")</f>
        <v/>
      </c>
      <c r="AF29" s="59">
        <f>IF(AND($F29&lt;&gt;"",$V29&lt;&gt;"",AF$2&gt;=$F29,AF$2&lt;=$V29,WEEKDAY(AF$2,2)&lt;6),$Q29/$U29,"")</f>
        <v/>
      </c>
      <c r="AG29" s="59">
        <f>IF(AND($F29&lt;&gt;"",$V29&lt;&gt;"",AG$2&gt;=$F29,AG$2&lt;=$V29,WEEKDAY(AG$2,2)&lt;6),$Q29/$U29,"")</f>
        <v/>
      </c>
      <c r="AH29" s="59">
        <f>IF(AND($F29&lt;&gt;"",$V29&lt;&gt;"",AH$2&gt;=$F29,AH$2&lt;=$V29,WEEKDAY(AH$2,2)&lt;6),$Q29/$U29,"")</f>
        <v/>
      </c>
      <c r="AI29" s="59">
        <f>IF(AND($F29&lt;&gt;"",$V29&lt;&gt;"",AI$2&gt;=$F29,AI$2&lt;=$V29,WEEKDAY(AI$2,2)&lt;6),$Q29/$U29,"")</f>
        <v/>
      </c>
      <c r="AJ29" s="59">
        <f>IF(AND($F29&lt;&gt;"",$V29&lt;&gt;"",AJ$2&gt;=$F29,AJ$2&lt;=$V29,WEEKDAY(AJ$2,2)&lt;6),$Q29/$U29,"")</f>
        <v/>
      </c>
      <c r="AK29" s="59">
        <f>IF(AND($F29&lt;&gt;"",$V29&lt;&gt;"",AK$2&gt;=$F29,AK$2&lt;=$V29,WEEKDAY(AK$2,2)&lt;6),$Q29/$U29,"")</f>
        <v/>
      </c>
      <c r="AL29" s="59">
        <f>IF(AND($F29&lt;&gt;"",$V29&lt;&gt;"",AL$2&gt;=$F29,AL$2&lt;=$V29,WEEKDAY(AL$2,2)&lt;6),$Q29/$U29,"")</f>
        <v/>
      </c>
      <c r="AM29" s="59">
        <f>IF(AND($F29&lt;&gt;"",$V29&lt;&gt;"",AM$2&gt;=$F29,AM$2&lt;=$V29,WEEKDAY(AM$2,2)&lt;6),$Q29/$U29,"")</f>
        <v/>
      </c>
      <c r="AN29" s="59">
        <f>IF(AND($F29&lt;&gt;"",$V29&lt;&gt;"",AN$2&gt;=$F29,AN$2&lt;=$V29,WEEKDAY(AN$2,2)&lt;6),$Q29/$U29,"")</f>
        <v/>
      </c>
      <c r="AO29" s="59">
        <f>IF(AND($F29&lt;&gt;"",$V29&lt;&gt;"",AO$2&gt;=$F29,AO$2&lt;=$V29,WEEKDAY(AO$2,2)&lt;6),$Q29/$U29,"")</f>
        <v/>
      </c>
      <c r="AP29" s="59">
        <f>IF(AND($F29&lt;&gt;"",$V29&lt;&gt;"",AP$2&gt;=$F29,AP$2&lt;=$V29,WEEKDAY(AP$2,2)&lt;6),$Q29/$U29,"")</f>
        <v/>
      </c>
      <c r="AQ29" s="59">
        <f>IF(AND($F29&lt;&gt;"",$V29&lt;&gt;"",AQ$2&gt;=$F29,AQ$2&lt;=$V29,WEEKDAY(AQ$2,2)&lt;6),$Q29/$U29,"")</f>
        <v/>
      </c>
      <c r="AR29" s="59">
        <f>IF(AND($F29&lt;&gt;"",$V29&lt;&gt;"",AR$2&gt;=$F29,AR$2&lt;=$V29,WEEKDAY(AR$2,2)&lt;6),$Q29/$U29,"")</f>
        <v/>
      </c>
      <c r="AS29" s="59">
        <f>IF(AND($F29&lt;&gt;"",$V29&lt;&gt;"",AS$2&gt;=$F29,AS$2&lt;=$V29,WEEKDAY(AS$2,2)&lt;6),$Q29/$U29,"")</f>
        <v/>
      </c>
      <c r="AT29" s="59">
        <f>IF(AND($F29&lt;&gt;"",$V29&lt;&gt;"",AT$2&gt;=$F29,AT$2&lt;=$V29,WEEKDAY(AT$2,2)&lt;6),$Q29/$U29,"")</f>
        <v/>
      </c>
      <c r="AU29" s="59">
        <f>IF(AND($F29&lt;&gt;"",$V29&lt;&gt;"",AU$2&gt;=$F29,AU$2&lt;=$V29,WEEKDAY(AU$2,2)&lt;6),$Q29/$U29,"")</f>
        <v/>
      </c>
      <c r="AV29" s="59">
        <f>IF(AND($F29&lt;&gt;"",$V29&lt;&gt;"",AV$2&gt;=$F29,AV$2&lt;=$V29,WEEKDAY(AV$2,2)&lt;6),$Q29/$U29,"")</f>
        <v/>
      </c>
      <c r="AW29" s="59">
        <f>IF(AND($F29&lt;&gt;"",$V29&lt;&gt;"",AW$2&gt;=$F29,AW$2&lt;=$V29,WEEKDAY(AW$2,2)&lt;6),$Q29/$U29,"")</f>
        <v/>
      </c>
      <c r="AX29" s="59">
        <f>IF(AND($F29&lt;&gt;"",$V29&lt;&gt;"",AX$2&gt;=$F29,AX$2&lt;=$V29,WEEKDAY(AX$2,2)&lt;6),$Q29/$U29,"")</f>
        <v/>
      </c>
      <c r="AY29" s="59">
        <f>IF(AND($F29&lt;&gt;"",$V29&lt;&gt;"",AY$2&gt;=$F29,AY$2&lt;=$V29,WEEKDAY(AY$2,2)&lt;6),$Q29/$U29,"")</f>
        <v/>
      </c>
      <c r="AZ29" s="59">
        <f>IF(AND($F29&lt;&gt;"",$V29&lt;&gt;"",AZ$2&gt;=$F29,AZ$2&lt;=$V29,WEEKDAY(AZ$2,2)&lt;6),$Q29/$U29,"")</f>
        <v/>
      </c>
      <c r="BA29" s="59">
        <f>IF(AND($F29&lt;&gt;"",$V29&lt;&gt;"",BA$2&gt;=$F29,BA$2&lt;=$V29,WEEKDAY(BA$2,2)&lt;6),$Q29/$U29,"")</f>
        <v/>
      </c>
      <c r="BB29" s="59">
        <f>IF(AND($F29&lt;&gt;"",$V29&lt;&gt;"",BB$2&gt;=$F29,BB$2&lt;=$V29,WEEKDAY(BB$2,2)&lt;6),$Q29/$U29,"")</f>
        <v/>
      </c>
      <c r="BC29" s="59">
        <f>IF(AND($F29&lt;&gt;"",$V29&lt;&gt;"",BC$2&gt;=$F29,BC$2&lt;=$V29,WEEKDAY(BC$2,2)&lt;6),$Q29/$U29,"")</f>
        <v/>
      </c>
      <c r="BD29" s="59">
        <f>IF(AND($F29&lt;&gt;"",$V29&lt;&gt;"",BD$2&gt;=$F29,BD$2&lt;=$V29,WEEKDAY(BD$2,2)&lt;6),$Q29/$U29,"")</f>
        <v/>
      </c>
    </row>
    <row r="30">
      <c r="A30" s="34">
        <f>IF(E30="","",COUNTA($E$8:E30))</f>
        <v/>
      </c>
      <c r="B30" s="52" t="n"/>
      <c r="C30" s="53" t="n"/>
      <c r="D30" s="53" t="n"/>
      <c r="E30" s="52" t="n"/>
      <c r="F30" s="54" t="n"/>
      <c r="G30" s="54" t="n"/>
      <c r="H30" s="53" t="n"/>
      <c r="I30" s="53" t="n"/>
      <c r="J30" s="53" t="n"/>
      <c r="K30" s="52" t="n"/>
      <c r="L30" s="55" t="n"/>
      <c r="M30" s="52" t="n"/>
      <c r="N30" s="55" t="n"/>
      <c r="O30" s="52" t="n"/>
      <c r="P30" s="55" t="n"/>
      <c r="Q30" s="56">
        <f>IF(SUM(L30,N30,P30)=0,"",SUM(L30,N30,P30))</f>
        <v/>
      </c>
      <c r="R30" s="57">
        <f>IF(L30&gt;0,"영 ","")&amp;IF(N30&gt;0,"이 ","")&amp;IF(P30&gt;0,"기 ","")</f>
        <v/>
      </c>
      <c r="S30" s="34">
        <f>IF(F30="","","W"&amp;ROUNDUP(DAY(F30)/7,0))</f>
        <v/>
      </c>
      <c r="T30" s="53" t="n"/>
      <c r="U30" s="34">
        <f>IF(Q30="",0,ROUNDUP(MAX(L30,N30,P30)/'마스터'!$J$5,0))</f>
        <v/>
      </c>
      <c r="V30" s="58">
        <f>IF(OR(F30="",U30=0),"",WORKDAY(F30,U30-1))</f>
        <v/>
      </c>
      <c r="W30" s="57">
        <f>IF(OR(G30="",V30=""),"",G30-V30)</f>
        <v/>
      </c>
      <c r="X30" s="52" t="n"/>
      <c r="Z30" s="59">
        <f>IF(AND($F30&lt;&gt;"",$V30&lt;&gt;"",Z$2&gt;=$F30,Z$2&lt;=$V30,WEEKDAY(Z$2,2)&lt;6),$Q30/$U30,"")</f>
        <v/>
      </c>
      <c r="AA30" s="59">
        <f>IF(AND($F30&lt;&gt;"",$V30&lt;&gt;"",AA$2&gt;=$F30,AA$2&lt;=$V30,WEEKDAY(AA$2,2)&lt;6),$Q30/$U30,"")</f>
        <v/>
      </c>
      <c r="AB30" s="59">
        <f>IF(AND($F30&lt;&gt;"",$V30&lt;&gt;"",AB$2&gt;=$F30,AB$2&lt;=$V30,WEEKDAY(AB$2,2)&lt;6),$Q30/$U30,"")</f>
        <v/>
      </c>
      <c r="AC30" s="59">
        <f>IF(AND($F30&lt;&gt;"",$V30&lt;&gt;"",AC$2&gt;=$F30,AC$2&lt;=$V30,WEEKDAY(AC$2,2)&lt;6),$Q30/$U30,"")</f>
        <v/>
      </c>
      <c r="AD30" s="59">
        <f>IF(AND($F30&lt;&gt;"",$V30&lt;&gt;"",AD$2&gt;=$F30,AD$2&lt;=$V30,WEEKDAY(AD$2,2)&lt;6),$Q30/$U30,"")</f>
        <v/>
      </c>
      <c r="AE30" s="59">
        <f>IF(AND($F30&lt;&gt;"",$V30&lt;&gt;"",AE$2&gt;=$F30,AE$2&lt;=$V30,WEEKDAY(AE$2,2)&lt;6),$Q30/$U30,"")</f>
        <v/>
      </c>
      <c r="AF30" s="59">
        <f>IF(AND($F30&lt;&gt;"",$V30&lt;&gt;"",AF$2&gt;=$F30,AF$2&lt;=$V30,WEEKDAY(AF$2,2)&lt;6),$Q30/$U30,"")</f>
        <v/>
      </c>
      <c r="AG30" s="59">
        <f>IF(AND($F30&lt;&gt;"",$V30&lt;&gt;"",AG$2&gt;=$F30,AG$2&lt;=$V30,WEEKDAY(AG$2,2)&lt;6),$Q30/$U30,"")</f>
        <v/>
      </c>
      <c r="AH30" s="59">
        <f>IF(AND($F30&lt;&gt;"",$V30&lt;&gt;"",AH$2&gt;=$F30,AH$2&lt;=$V30,WEEKDAY(AH$2,2)&lt;6),$Q30/$U30,"")</f>
        <v/>
      </c>
      <c r="AI30" s="59">
        <f>IF(AND($F30&lt;&gt;"",$V30&lt;&gt;"",AI$2&gt;=$F30,AI$2&lt;=$V30,WEEKDAY(AI$2,2)&lt;6),$Q30/$U30,"")</f>
        <v/>
      </c>
      <c r="AJ30" s="59">
        <f>IF(AND($F30&lt;&gt;"",$V30&lt;&gt;"",AJ$2&gt;=$F30,AJ$2&lt;=$V30,WEEKDAY(AJ$2,2)&lt;6),$Q30/$U30,"")</f>
        <v/>
      </c>
      <c r="AK30" s="59">
        <f>IF(AND($F30&lt;&gt;"",$V30&lt;&gt;"",AK$2&gt;=$F30,AK$2&lt;=$V30,WEEKDAY(AK$2,2)&lt;6),$Q30/$U30,"")</f>
        <v/>
      </c>
      <c r="AL30" s="59">
        <f>IF(AND($F30&lt;&gt;"",$V30&lt;&gt;"",AL$2&gt;=$F30,AL$2&lt;=$V30,WEEKDAY(AL$2,2)&lt;6),$Q30/$U30,"")</f>
        <v/>
      </c>
      <c r="AM30" s="59">
        <f>IF(AND($F30&lt;&gt;"",$V30&lt;&gt;"",AM$2&gt;=$F30,AM$2&lt;=$V30,WEEKDAY(AM$2,2)&lt;6),$Q30/$U30,"")</f>
        <v/>
      </c>
      <c r="AN30" s="59">
        <f>IF(AND($F30&lt;&gt;"",$V30&lt;&gt;"",AN$2&gt;=$F30,AN$2&lt;=$V30,WEEKDAY(AN$2,2)&lt;6),$Q30/$U30,"")</f>
        <v/>
      </c>
      <c r="AO30" s="59">
        <f>IF(AND($F30&lt;&gt;"",$V30&lt;&gt;"",AO$2&gt;=$F30,AO$2&lt;=$V30,WEEKDAY(AO$2,2)&lt;6),$Q30/$U30,"")</f>
        <v/>
      </c>
      <c r="AP30" s="59">
        <f>IF(AND($F30&lt;&gt;"",$V30&lt;&gt;"",AP$2&gt;=$F30,AP$2&lt;=$V30,WEEKDAY(AP$2,2)&lt;6),$Q30/$U30,"")</f>
        <v/>
      </c>
      <c r="AQ30" s="59">
        <f>IF(AND($F30&lt;&gt;"",$V30&lt;&gt;"",AQ$2&gt;=$F30,AQ$2&lt;=$V30,WEEKDAY(AQ$2,2)&lt;6),$Q30/$U30,"")</f>
        <v/>
      </c>
      <c r="AR30" s="59">
        <f>IF(AND($F30&lt;&gt;"",$V30&lt;&gt;"",AR$2&gt;=$F30,AR$2&lt;=$V30,WEEKDAY(AR$2,2)&lt;6),$Q30/$U30,"")</f>
        <v/>
      </c>
      <c r="AS30" s="59">
        <f>IF(AND($F30&lt;&gt;"",$V30&lt;&gt;"",AS$2&gt;=$F30,AS$2&lt;=$V30,WEEKDAY(AS$2,2)&lt;6),$Q30/$U30,"")</f>
        <v/>
      </c>
      <c r="AT30" s="59">
        <f>IF(AND($F30&lt;&gt;"",$V30&lt;&gt;"",AT$2&gt;=$F30,AT$2&lt;=$V30,WEEKDAY(AT$2,2)&lt;6),$Q30/$U30,"")</f>
        <v/>
      </c>
      <c r="AU30" s="59">
        <f>IF(AND($F30&lt;&gt;"",$V30&lt;&gt;"",AU$2&gt;=$F30,AU$2&lt;=$V30,WEEKDAY(AU$2,2)&lt;6),$Q30/$U30,"")</f>
        <v/>
      </c>
      <c r="AV30" s="59">
        <f>IF(AND($F30&lt;&gt;"",$V30&lt;&gt;"",AV$2&gt;=$F30,AV$2&lt;=$V30,WEEKDAY(AV$2,2)&lt;6),$Q30/$U30,"")</f>
        <v/>
      </c>
      <c r="AW30" s="59">
        <f>IF(AND($F30&lt;&gt;"",$V30&lt;&gt;"",AW$2&gt;=$F30,AW$2&lt;=$V30,WEEKDAY(AW$2,2)&lt;6),$Q30/$U30,"")</f>
        <v/>
      </c>
      <c r="AX30" s="59">
        <f>IF(AND($F30&lt;&gt;"",$V30&lt;&gt;"",AX$2&gt;=$F30,AX$2&lt;=$V30,WEEKDAY(AX$2,2)&lt;6),$Q30/$U30,"")</f>
        <v/>
      </c>
      <c r="AY30" s="59">
        <f>IF(AND($F30&lt;&gt;"",$V30&lt;&gt;"",AY$2&gt;=$F30,AY$2&lt;=$V30,WEEKDAY(AY$2,2)&lt;6),$Q30/$U30,"")</f>
        <v/>
      </c>
      <c r="AZ30" s="59">
        <f>IF(AND($F30&lt;&gt;"",$V30&lt;&gt;"",AZ$2&gt;=$F30,AZ$2&lt;=$V30,WEEKDAY(AZ$2,2)&lt;6),$Q30/$U30,"")</f>
        <v/>
      </c>
      <c r="BA30" s="59">
        <f>IF(AND($F30&lt;&gt;"",$V30&lt;&gt;"",BA$2&gt;=$F30,BA$2&lt;=$V30,WEEKDAY(BA$2,2)&lt;6),$Q30/$U30,"")</f>
        <v/>
      </c>
      <c r="BB30" s="59">
        <f>IF(AND($F30&lt;&gt;"",$V30&lt;&gt;"",BB$2&gt;=$F30,BB$2&lt;=$V30,WEEKDAY(BB$2,2)&lt;6),$Q30/$U30,"")</f>
        <v/>
      </c>
      <c r="BC30" s="59">
        <f>IF(AND($F30&lt;&gt;"",$V30&lt;&gt;"",BC$2&gt;=$F30,BC$2&lt;=$V30,WEEKDAY(BC$2,2)&lt;6),$Q30/$U30,"")</f>
        <v/>
      </c>
      <c r="BD30" s="59">
        <f>IF(AND($F30&lt;&gt;"",$V30&lt;&gt;"",BD$2&gt;=$F30,BD$2&lt;=$V30,WEEKDAY(BD$2,2)&lt;6),$Q30/$U30,"")</f>
        <v/>
      </c>
    </row>
    <row r="31">
      <c r="A31" s="34">
        <f>IF(E31="","",COUNTA($E$8:E31))</f>
        <v/>
      </c>
      <c r="B31" s="52" t="n"/>
      <c r="C31" s="53" t="n"/>
      <c r="D31" s="53" t="n"/>
      <c r="E31" s="52" t="n"/>
      <c r="F31" s="54" t="n"/>
      <c r="G31" s="54" t="n"/>
      <c r="H31" s="53" t="n"/>
      <c r="I31" s="53" t="n"/>
      <c r="J31" s="53" t="n"/>
      <c r="K31" s="52" t="n"/>
      <c r="L31" s="55" t="n"/>
      <c r="M31" s="52" t="n"/>
      <c r="N31" s="55" t="n"/>
      <c r="O31" s="52" t="n"/>
      <c r="P31" s="55" t="n"/>
      <c r="Q31" s="56">
        <f>IF(SUM(L31,N31,P31)=0,"",SUM(L31,N31,P31))</f>
        <v/>
      </c>
      <c r="R31" s="57">
        <f>IF(L31&gt;0,"영 ","")&amp;IF(N31&gt;0,"이 ","")&amp;IF(P31&gt;0,"기 ","")</f>
        <v/>
      </c>
      <c r="S31" s="34">
        <f>IF(F31="","","W"&amp;ROUNDUP(DAY(F31)/7,0))</f>
        <v/>
      </c>
      <c r="T31" s="53" t="n"/>
      <c r="U31" s="34">
        <f>IF(Q31="",0,ROUNDUP(MAX(L31,N31,P31)/'마스터'!$J$5,0))</f>
        <v/>
      </c>
      <c r="V31" s="58">
        <f>IF(OR(F31="",U31=0),"",WORKDAY(F31,U31-1))</f>
        <v/>
      </c>
      <c r="W31" s="57">
        <f>IF(OR(G31="",V31=""),"",G31-V31)</f>
        <v/>
      </c>
      <c r="X31" s="52" t="n"/>
      <c r="Z31" s="59">
        <f>IF(AND($F31&lt;&gt;"",$V31&lt;&gt;"",Z$2&gt;=$F31,Z$2&lt;=$V31,WEEKDAY(Z$2,2)&lt;6),$Q31/$U31,"")</f>
        <v/>
      </c>
      <c r="AA31" s="59">
        <f>IF(AND($F31&lt;&gt;"",$V31&lt;&gt;"",AA$2&gt;=$F31,AA$2&lt;=$V31,WEEKDAY(AA$2,2)&lt;6),$Q31/$U31,"")</f>
        <v/>
      </c>
      <c r="AB31" s="59">
        <f>IF(AND($F31&lt;&gt;"",$V31&lt;&gt;"",AB$2&gt;=$F31,AB$2&lt;=$V31,WEEKDAY(AB$2,2)&lt;6),$Q31/$U31,"")</f>
        <v/>
      </c>
      <c r="AC31" s="59">
        <f>IF(AND($F31&lt;&gt;"",$V31&lt;&gt;"",AC$2&gt;=$F31,AC$2&lt;=$V31,WEEKDAY(AC$2,2)&lt;6),$Q31/$U31,"")</f>
        <v/>
      </c>
      <c r="AD31" s="59">
        <f>IF(AND($F31&lt;&gt;"",$V31&lt;&gt;"",AD$2&gt;=$F31,AD$2&lt;=$V31,WEEKDAY(AD$2,2)&lt;6),$Q31/$U31,"")</f>
        <v/>
      </c>
      <c r="AE31" s="59">
        <f>IF(AND($F31&lt;&gt;"",$V31&lt;&gt;"",AE$2&gt;=$F31,AE$2&lt;=$V31,WEEKDAY(AE$2,2)&lt;6),$Q31/$U31,"")</f>
        <v/>
      </c>
      <c r="AF31" s="59">
        <f>IF(AND($F31&lt;&gt;"",$V31&lt;&gt;"",AF$2&gt;=$F31,AF$2&lt;=$V31,WEEKDAY(AF$2,2)&lt;6),$Q31/$U31,"")</f>
        <v/>
      </c>
      <c r="AG31" s="59">
        <f>IF(AND($F31&lt;&gt;"",$V31&lt;&gt;"",AG$2&gt;=$F31,AG$2&lt;=$V31,WEEKDAY(AG$2,2)&lt;6),$Q31/$U31,"")</f>
        <v/>
      </c>
      <c r="AH31" s="59">
        <f>IF(AND($F31&lt;&gt;"",$V31&lt;&gt;"",AH$2&gt;=$F31,AH$2&lt;=$V31,WEEKDAY(AH$2,2)&lt;6),$Q31/$U31,"")</f>
        <v/>
      </c>
      <c r="AI31" s="59">
        <f>IF(AND($F31&lt;&gt;"",$V31&lt;&gt;"",AI$2&gt;=$F31,AI$2&lt;=$V31,WEEKDAY(AI$2,2)&lt;6),$Q31/$U31,"")</f>
        <v/>
      </c>
      <c r="AJ31" s="59">
        <f>IF(AND($F31&lt;&gt;"",$V31&lt;&gt;"",AJ$2&gt;=$F31,AJ$2&lt;=$V31,WEEKDAY(AJ$2,2)&lt;6),$Q31/$U31,"")</f>
        <v/>
      </c>
      <c r="AK31" s="59">
        <f>IF(AND($F31&lt;&gt;"",$V31&lt;&gt;"",AK$2&gt;=$F31,AK$2&lt;=$V31,WEEKDAY(AK$2,2)&lt;6),$Q31/$U31,"")</f>
        <v/>
      </c>
      <c r="AL31" s="59">
        <f>IF(AND($F31&lt;&gt;"",$V31&lt;&gt;"",AL$2&gt;=$F31,AL$2&lt;=$V31,WEEKDAY(AL$2,2)&lt;6),$Q31/$U31,"")</f>
        <v/>
      </c>
      <c r="AM31" s="59">
        <f>IF(AND($F31&lt;&gt;"",$V31&lt;&gt;"",AM$2&gt;=$F31,AM$2&lt;=$V31,WEEKDAY(AM$2,2)&lt;6),$Q31/$U31,"")</f>
        <v/>
      </c>
      <c r="AN31" s="59">
        <f>IF(AND($F31&lt;&gt;"",$V31&lt;&gt;"",AN$2&gt;=$F31,AN$2&lt;=$V31,WEEKDAY(AN$2,2)&lt;6),$Q31/$U31,"")</f>
        <v/>
      </c>
      <c r="AO31" s="59">
        <f>IF(AND($F31&lt;&gt;"",$V31&lt;&gt;"",AO$2&gt;=$F31,AO$2&lt;=$V31,WEEKDAY(AO$2,2)&lt;6),$Q31/$U31,"")</f>
        <v/>
      </c>
      <c r="AP31" s="59">
        <f>IF(AND($F31&lt;&gt;"",$V31&lt;&gt;"",AP$2&gt;=$F31,AP$2&lt;=$V31,WEEKDAY(AP$2,2)&lt;6),$Q31/$U31,"")</f>
        <v/>
      </c>
      <c r="AQ31" s="59">
        <f>IF(AND($F31&lt;&gt;"",$V31&lt;&gt;"",AQ$2&gt;=$F31,AQ$2&lt;=$V31,WEEKDAY(AQ$2,2)&lt;6),$Q31/$U31,"")</f>
        <v/>
      </c>
      <c r="AR31" s="59">
        <f>IF(AND($F31&lt;&gt;"",$V31&lt;&gt;"",AR$2&gt;=$F31,AR$2&lt;=$V31,WEEKDAY(AR$2,2)&lt;6),$Q31/$U31,"")</f>
        <v/>
      </c>
      <c r="AS31" s="59">
        <f>IF(AND($F31&lt;&gt;"",$V31&lt;&gt;"",AS$2&gt;=$F31,AS$2&lt;=$V31,WEEKDAY(AS$2,2)&lt;6),$Q31/$U31,"")</f>
        <v/>
      </c>
      <c r="AT31" s="59">
        <f>IF(AND($F31&lt;&gt;"",$V31&lt;&gt;"",AT$2&gt;=$F31,AT$2&lt;=$V31,WEEKDAY(AT$2,2)&lt;6),$Q31/$U31,"")</f>
        <v/>
      </c>
      <c r="AU31" s="59">
        <f>IF(AND($F31&lt;&gt;"",$V31&lt;&gt;"",AU$2&gt;=$F31,AU$2&lt;=$V31,WEEKDAY(AU$2,2)&lt;6),$Q31/$U31,"")</f>
        <v/>
      </c>
      <c r="AV31" s="59">
        <f>IF(AND($F31&lt;&gt;"",$V31&lt;&gt;"",AV$2&gt;=$F31,AV$2&lt;=$V31,WEEKDAY(AV$2,2)&lt;6),$Q31/$U31,"")</f>
        <v/>
      </c>
      <c r="AW31" s="59">
        <f>IF(AND($F31&lt;&gt;"",$V31&lt;&gt;"",AW$2&gt;=$F31,AW$2&lt;=$V31,WEEKDAY(AW$2,2)&lt;6),$Q31/$U31,"")</f>
        <v/>
      </c>
      <c r="AX31" s="59">
        <f>IF(AND($F31&lt;&gt;"",$V31&lt;&gt;"",AX$2&gt;=$F31,AX$2&lt;=$V31,WEEKDAY(AX$2,2)&lt;6),$Q31/$U31,"")</f>
        <v/>
      </c>
      <c r="AY31" s="59">
        <f>IF(AND($F31&lt;&gt;"",$V31&lt;&gt;"",AY$2&gt;=$F31,AY$2&lt;=$V31,WEEKDAY(AY$2,2)&lt;6),$Q31/$U31,"")</f>
        <v/>
      </c>
      <c r="AZ31" s="59">
        <f>IF(AND($F31&lt;&gt;"",$V31&lt;&gt;"",AZ$2&gt;=$F31,AZ$2&lt;=$V31,WEEKDAY(AZ$2,2)&lt;6),$Q31/$U31,"")</f>
        <v/>
      </c>
      <c r="BA31" s="59">
        <f>IF(AND($F31&lt;&gt;"",$V31&lt;&gt;"",BA$2&gt;=$F31,BA$2&lt;=$V31,WEEKDAY(BA$2,2)&lt;6),$Q31/$U31,"")</f>
        <v/>
      </c>
      <c r="BB31" s="59">
        <f>IF(AND($F31&lt;&gt;"",$V31&lt;&gt;"",BB$2&gt;=$F31,BB$2&lt;=$V31,WEEKDAY(BB$2,2)&lt;6),$Q31/$U31,"")</f>
        <v/>
      </c>
      <c r="BC31" s="59">
        <f>IF(AND($F31&lt;&gt;"",$V31&lt;&gt;"",BC$2&gt;=$F31,BC$2&lt;=$V31,WEEKDAY(BC$2,2)&lt;6),$Q31/$U31,"")</f>
        <v/>
      </c>
      <c r="BD31" s="59">
        <f>IF(AND($F31&lt;&gt;"",$V31&lt;&gt;"",BD$2&gt;=$F31,BD$2&lt;=$V31,WEEKDAY(BD$2,2)&lt;6),$Q31/$U31,"")</f>
        <v/>
      </c>
    </row>
    <row r="32">
      <c r="A32" s="34">
        <f>IF(E32="","",COUNTA($E$8:E32))</f>
        <v/>
      </c>
      <c r="B32" s="52" t="n"/>
      <c r="C32" s="53" t="n"/>
      <c r="D32" s="53" t="n"/>
      <c r="E32" s="52" t="n"/>
      <c r="F32" s="54" t="n"/>
      <c r="G32" s="54" t="n"/>
      <c r="H32" s="53" t="n"/>
      <c r="I32" s="53" t="n"/>
      <c r="J32" s="53" t="n"/>
      <c r="K32" s="52" t="n"/>
      <c r="L32" s="55" t="n"/>
      <c r="M32" s="52" t="n"/>
      <c r="N32" s="55" t="n"/>
      <c r="O32" s="52" t="n"/>
      <c r="P32" s="55" t="n"/>
      <c r="Q32" s="56">
        <f>IF(SUM(L32,N32,P32)=0,"",SUM(L32,N32,P32))</f>
        <v/>
      </c>
      <c r="R32" s="57">
        <f>IF(L32&gt;0,"영 ","")&amp;IF(N32&gt;0,"이 ","")&amp;IF(P32&gt;0,"기 ","")</f>
        <v/>
      </c>
      <c r="S32" s="34">
        <f>IF(F32="","","W"&amp;ROUNDUP(DAY(F32)/7,0))</f>
        <v/>
      </c>
      <c r="T32" s="53" t="n"/>
      <c r="U32" s="34">
        <f>IF(Q32="",0,ROUNDUP(MAX(L32,N32,P32)/'마스터'!$J$5,0))</f>
        <v/>
      </c>
      <c r="V32" s="58">
        <f>IF(OR(F32="",U32=0),"",WORKDAY(F32,U32-1))</f>
        <v/>
      </c>
      <c r="W32" s="57">
        <f>IF(OR(G32="",V32=""),"",G32-V32)</f>
        <v/>
      </c>
      <c r="X32" s="52" t="n"/>
      <c r="Z32" s="59">
        <f>IF(AND($F32&lt;&gt;"",$V32&lt;&gt;"",Z$2&gt;=$F32,Z$2&lt;=$V32,WEEKDAY(Z$2,2)&lt;6),$Q32/$U32,"")</f>
        <v/>
      </c>
      <c r="AA32" s="59">
        <f>IF(AND($F32&lt;&gt;"",$V32&lt;&gt;"",AA$2&gt;=$F32,AA$2&lt;=$V32,WEEKDAY(AA$2,2)&lt;6),$Q32/$U32,"")</f>
        <v/>
      </c>
      <c r="AB32" s="59">
        <f>IF(AND($F32&lt;&gt;"",$V32&lt;&gt;"",AB$2&gt;=$F32,AB$2&lt;=$V32,WEEKDAY(AB$2,2)&lt;6),$Q32/$U32,"")</f>
        <v/>
      </c>
      <c r="AC32" s="59">
        <f>IF(AND($F32&lt;&gt;"",$V32&lt;&gt;"",AC$2&gt;=$F32,AC$2&lt;=$V32,WEEKDAY(AC$2,2)&lt;6),$Q32/$U32,"")</f>
        <v/>
      </c>
      <c r="AD32" s="59">
        <f>IF(AND($F32&lt;&gt;"",$V32&lt;&gt;"",AD$2&gt;=$F32,AD$2&lt;=$V32,WEEKDAY(AD$2,2)&lt;6),$Q32/$U32,"")</f>
        <v/>
      </c>
      <c r="AE32" s="59">
        <f>IF(AND($F32&lt;&gt;"",$V32&lt;&gt;"",AE$2&gt;=$F32,AE$2&lt;=$V32,WEEKDAY(AE$2,2)&lt;6),$Q32/$U32,"")</f>
        <v/>
      </c>
      <c r="AF32" s="59">
        <f>IF(AND($F32&lt;&gt;"",$V32&lt;&gt;"",AF$2&gt;=$F32,AF$2&lt;=$V32,WEEKDAY(AF$2,2)&lt;6),$Q32/$U32,"")</f>
        <v/>
      </c>
      <c r="AG32" s="59">
        <f>IF(AND($F32&lt;&gt;"",$V32&lt;&gt;"",AG$2&gt;=$F32,AG$2&lt;=$V32,WEEKDAY(AG$2,2)&lt;6),$Q32/$U32,"")</f>
        <v/>
      </c>
      <c r="AH32" s="59">
        <f>IF(AND($F32&lt;&gt;"",$V32&lt;&gt;"",AH$2&gt;=$F32,AH$2&lt;=$V32,WEEKDAY(AH$2,2)&lt;6),$Q32/$U32,"")</f>
        <v/>
      </c>
      <c r="AI32" s="59">
        <f>IF(AND($F32&lt;&gt;"",$V32&lt;&gt;"",AI$2&gt;=$F32,AI$2&lt;=$V32,WEEKDAY(AI$2,2)&lt;6),$Q32/$U32,"")</f>
        <v/>
      </c>
      <c r="AJ32" s="59">
        <f>IF(AND($F32&lt;&gt;"",$V32&lt;&gt;"",AJ$2&gt;=$F32,AJ$2&lt;=$V32,WEEKDAY(AJ$2,2)&lt;6),$Q32/$U32,"")</f>
        <v/>
      </c>
      <c r="AK32" s="59">
        <f>IF(AND($F32&lt;&gt;"",$V32&lt;&gt;"",AK$2&gt;=$F32,AK$2&lt;=$V32,WEEKDAY(AK$2,2)&lt;6),$Q32/$U32,"")</f>
        <v/>
      </c>
      <c r="AL32" s="59">
        <f>IF(AND($F32&lt;&gt;"",$V32&lt;&gt;"",AL$2&gt;=$F32,AL$2&lt;=$V32,WEEKDAY(AL$2,2)&lt;6),$Q32/$U32,"")</f>
        <v/>
      </c>
      <c r="AM32" s="59">
        <f>IF(AND($F32&lt;&gt;"",$V32&lt;&gt;"",AM$2&gt;=$F32,AM$2&lt;=$V32,WEEKDAY(AM$2,2)&lt;6),$Q32/$U32,"")</f>
        <v/>
      </c>
      <c r="AN32" s="59">
        <f>IF(AND($F32&lt;&gt;"",$V32&lt;&gt;"",AN$2&gt;=$F32,AN$2&lt;=$V32,WEEKDAY(AN$2,2)&lt;6),$Q32/$U32,"")</f>
        <v/>
      </c>
      <c r="AO32" s="59">
        <f>IF(AND($F32&lt;&gt;"",$V32&lt;&gt;"",AO$2&gt;=$F32,AO$2&lt;=$V32,WEEKDAY(AO$2,2)&lt;6),$Q32/$U32,"")</f>
        <v/>
      </c>
      <c r="AP32" s="59">
        <f>IF(AND($F32&lt;&gt;"",$V32&lt;&gt;"",AP$2&gt;=$F32,AP$2&lt;=$V32,WEEKDAY(AP$2,2)&lt;6),$Q32/$U32,"")</f>
        <v/>
      </c>
      <c r="AQ32" s="59">
        <f>IF(AND($F32&lt;&gt;"",$V32&lt;&gt;"",AQ$2&gt;=$F32,AQ$2&lt;=$V32,WEEKDAY(AQ$2,2)&lt;6),$Q32/$U32,"")</f>
        <v/>
      </c>
      <c r="AR32" s="59">
        <f>IF(AND($F32&lt;&gt;"",$V32&lt;&gt;"",AR$2&gt;=$F32,AR$2&lt;=$V32,WEEKDAY(AR$2,2)&lt;6),$Q32/$U32,"")</f>
        <v/>
      </c>
      <c r="AS32" s="59">
        <f>IF(AND($F32&lt;&gt;"",$V32&lt;&gt;"",AS$2&gt;=$F32,AS$2&lt;=$V32,WEEKDAY(AS$2,2)&lt;6),$Q32/$U32,"")</f>
        <v/>
      </c>
      <c r="AT32" s="59">
        <f>IF(AND($F32&lt;&gt;"",$V32&lt;&gt;"",AT$2&gt;=$F32,AT$2&lt;=$V32,WEEKDAY(AT$2,2)&lt;6),$Q32/$U32,"")</f>
        <v/>
      </c>
      <c r="AU32" s="59">
        <f>IF(AND($F32&lt;&gt;"",$V32&lt;&gt;"",AU$2&gt;=$F32,AU$2&lt;=$V32,WEEKDAY(AU$2,2)&lt;6),$Q32/$U32,"")</f>
        <v/>
      </c>
      <c r="AV32" s="59">
        <f>IF(AND($F32&lt;&gt;"",$V32&lt;&gt;"",AV$2&gt;=$F32,AV$2&lt;=$V32,WEEKDAY(AV$2,2)&lt;6),$Q32/$U32,"")</f>
        <v/>
      </c>
      <c r="AW32" s="59">
        <f>IF(AND($F32&lt;&gt;"",$V32&lt;&gt;"",AW$2&gt;=$F32,AW$2&lt;=$V32,WEEKDAY(AW$2,2)&lt;6),$Q32/$U32,"")</f>
        <v/>
      </c>
      <c r="AX32" s="59">
        <f>IF(AND($F32&lt;&gt;"",$V32&lt;&gt;"",AX$2&gt;=$F32,AX$2&lt;=$V32,WEEKDAY(AX$2,2)&lt;6),$Q32/$U32,"")</f>
        <v/>
      </c>
      <c r="AY32" s="59">
        <f>IF(AND($F32&lt;&gt;"",$V32&lt;&gt;"",AY$2&gt;=$F32,AY$2&lt;=$V32,WEEKDAY(AY$2,2)&lt;6),$Q32/$U32,"")</f>
        <v/>
      </c>
      <c r="AZ32" s="59">
        <f>IF(AND($F32&lt;&gt;"",$V32&lt;&gt;"",AZ$2&gt;=$F32,AZ$2&lt;=$V32,WEEKDAY(AZ$2,2)&lt;6),$Q32/$U32,"")</f>
        <v/>
      </c>
      <c r="BA32" s="59">
        <f>IF(AND($F32&lt;&gt;"",$V32&lt;&gt;"",BA$2&gt;=$F32,BA$2&lt;=$V32,WEEKDAY(BA$2,2)&lt;6),$Q32/$U32,"")</f>
        <v/>
      </c>
      <c r="BB32" s="59">
        <f>IF(AND($F32&lt;&gt;"",$V32&lt;&gt;"",BB$2&gt;=$F32,BB$2&lt;=$V32,WEEKDAY(BB$2,2)&lt;6),$Q32/$U32,"")</f>
        <v/>
      </c>
      <c r="BC32" s="59">
        <f>IF(AND($F32&lt;&gt;"",$V32&lt;&gt;"",BC$2&gt;=$F32,BC$2&lt;=$V32,WEEKDAY(BC$2,2)&lt;6),$Q32/$U32,"")</f>
        <v/>
      </c>
      <c r="BD32" s="59">
        <f>IF(AND($F32&lt;&gt;"",$V32&lt;&gt;"",BD$2&gt;=$F32,BD$2&lt;=$V32,WEEKDAY(BD$2,2)&lt;6),$Q32/$U32,"")</f>
        <v/>
      </c>
    </row>
    <row r="33">
      <c r="A33" s="34">
        <f>IF(E33="","",COUNTA($E$8:E33))</f>
        <v/>
      </c>
      <c r="B33" s="52" t="n"/>
      <c r="C33" s="53" t="n"/>
      <c r="D33" s="53" t="n"/>
      <c r="E33" s="52" t="n"/>
      <c r="F33" s="54" t="n"/>
      <c r="G33" s="54" t="n"/>
      <c r="H33" s="53" t="n"/>
      <c r="I33" s="53" t="n"/>
      <c r="J33" s="53" t="n"/>
      <c r="K33" s="52" t="n"/>
      <c r="L33" s="55" t="n"/>
      <c r="M33" s="52" t="n"/>
      <c r="N33" s="55" t="n"/>
      <c r="O33" s="52" t="n"/>
      <c r="P33" s="55" t="n"/>
      <c r="Q33" s="56">
        <f>IF(SUM(L33,N33,P33)=0,"",SUM(L33,N33,P33))</f>
        <v/>
      </c>
      <c r="R33" s="57">
        <f>IF(L33&gt;0,"영 ","")&amp;IF(N33&gt;0,"이 ","")&amp;IF(P33&gt;0,"기 ","")</f>
        <v/>
      </c>
      <c r="S33" s="34">
        <f>IF(F33="","","W"&amp;ROUNDUP(DAY(F33)/7,0))</f>
        <v/>
      </c>
      <c r="T33" s="53" t="n"/>
      <c r="U33" s="34">
        <f>IF(Q33="",0,ROUNDUP(MAX(L33,N33,P33)/'마스터'!$J$5,0))</f>
        <v/>
      </c>
      <c r="V33" s="58">
        <f>IF(OR(F33="",U33=0),"",WORKDAY(F33,U33-1))</f>
        <v/>
      </c>
      <c r="W33" s="57">
        <f>IF(OR(G33="",V33=""),"",G33-V33)</f>
        <v/>
      </c>
      <c r="X33" s="52" t="n"/>
      <c r="Z33" s="59">
        <f>IF(AND($F33&lt;&gt;"",$V33&lt;&gt;"",Z$2&gt;=$F33,Z$2&lt;=$V33,WEEKDAY(Z$2,2)&lt;6),$Q33/$U33,"")</f>
        <v/>
      </c>
      <c r="AA33" s="59">
        <f>IF(AND($F33&lt;&gt;"",$V33&lt;&gt;"",AA$2&gt;=$F33,AA$2&lt;=$V33,WEEKDAY(AA$2,2)&lt;6),$Q33/$U33,"")</f>
        <v/>
      </c>
      <c r="AB33" s="59">
        <f>IF(AND($F33&lt;&gt;"",$V33&lt;&gt;"",AB$2&gt;=$F33,AB$2&lt;=$V33,WEEKDAY(AB$2,2)&lt;6),$Q33/$U33,"")</f>
        <v/>
      </c>
      <c r="AC33" s="59">
        <f>IF(AND($F33&lt;&gt;"",$V33&lt;&gt;"",AC$2&gt;=$F33,AC$2&lt;=$V33,WEEKDAY(AC$2,2)&lt;6),$Q33/$U33,"")</f>
        <v/>
      </c>
      <c r="AD33" s="59">
        <f>IF(AND($F33&lt;&gt;"",$V33&lt;&gt;"",AD$2&gt;=$F33,AD$2&lt;=$V33,WEEKDAY(AD$2,2)&lt;6),$Q33/$U33,"")</f>
        <v/>
      </c>
      <c r="AE33" s="59">
        <f>IF(AND($F33&lt;&gt;"",$V33&lt;&gt;"",AE$2&gt;=$F33,AE$2&lt;=$V33,WEEKDAY(AE$2,2)&lt;6),$Q33/$U33,"")</f>
        <v/>
      </c>
      <c r="AF33" s="59">
        <f>IF(AND($F33&lt;&gt;"",$V33&lt;&gt;"",AF$2&gt;=$F33,AF$2&lt;=$V33,WEEKDAY(AF$2,2)&lt;6),$Q33/$U33,"")</f>
        <v/>
      </c>
      <c r="AG33" s="59">
        <f>IF(AND($F33&lt;&gt;"",$V33&lt;&gt;"",AG$2&gt;=$F33,AG$2&lt;=$V33,WEEKDAY(AG$2,2)&lt;6),$Q33/$U33,"")</f>
        <v/>
      </c>
      <c r="AH33" s="59">
        <f>IF(AND($F33&lt;&gt;"",$V33&lt;&gt;"",AH$2&gt;=$F33,AH$2&lt;=$V33,WEEKDAY(AH$2,2)&lt;6),$Q33/$U33,"")</f>
        <v/>
      </c>
      <c r="AI33" s="59">
        <f>IF(AND($F33&lt;&gt;"",$V33&lt;&gt;"",AI$2&gt;=$F33,AI$2&lt;=$V33,WEEKDAY(AI$2,2)&lt;6),$Q33/$U33,"")</f>
        <v/>
      </c>
      <c r="AJ33" s="59">
        <f>IF(AND($F33&lt;&gt;"",$V33&lt;&gt;"",AJ$2&gt;=$F33,AJ$2&lt;=$V33,WEEKDAY(AJ$2,2)&lt;6),$Q33/$U33,"")</f>
        <v/>
      </c>
      <c r="AK33" s="59">
        <f>IF(AND($F33&lt;&gt;"",$V33&lt;&gt;"",AK$2&gt;=$F33,AK$2&lt;=$V33,WEEKDAY(AK$2,2)&lt;6),$Q33/$U33,"")</f>
        <v/>
      </c>
      <c r="AL33" s="59">
        <f>IF(AND($F33&lt;&gt;"",$V33&lt;&gt;"",AL$2&gt;=$F33,AL$2&lt;=$V33,WEEKDAY(AL$2,2)&lt;6),$Q33/$U33,"")</f>
        <v/>
      </c>
      <c r="AM33" s="59">
        <f>IF(AND($F33&lt;&gt;"",$V33&lt;&gt;"",AM$2&gt;=$F33,AM$2&lt;=$V33,WEEKDAY(AM$2,2)&lt;6),$Q33/$U33,"")</f>
        <v/>
      </c>
      <c r="AN33" s="59">
        <f>IF(AND($F33&lt;&gt;"",$V33&lt;&gt;"",AN$2&gt;=$F33,AN$2&lt;=$V33,WEEKDAY(AN$2,2)&lt;6),$Q33/$U33,"")</f>
        <v/>
      </c>
      <c r="AO33" s="59">
        <f>IF(AND($F33&lt;&gt;"",$V33&lt;&gt;"",AO$2&gt;=$F33,AO$2&lt;=$V33,WEEKDAY(AO$2,2)&lt;6),$Q33/$U33,"")</f>
        <v/>
      </c>
      <c r="AP33" s="59">
        <f>IF(AND($F33&lt;&gt;"",$V33&lt;&gt;"",AP$2&gt;=$F33,AP$2&lt;=$V33,WEEKDAY(AP$2,2)&lt;6),$Q33/$U33,"")</f>
        <v/>
      </c>
      <c r="AQ33" s="59">
        <f>IF(AND($F33&lt;&gt;"",$V33&lt;&gt;"",AQ$2&gt;=$F33,AQ$2&lt;=$V33,WEEKDAY(AQ$2,2)&lt;6),$Q33/$U33,"")</f>
        <v/>
      </c>
      <c r="AR33" s="59">
        <f>IF(AND($F33&lt;&gt;"",$V33&lt;&gt;"",AR$2&gt;=$F33,AR$2&lt;=$V33,WEEKDAY(AR$2,2)&lt;6),$Q33/$U33,"")</f>
        <v/>
      </c>
      <c r="AS33" s="59">
        <f>IF(AND($F33&lt;&gt;"",$V33&lt;&gt;"",AS$2&gt;=$F33,AS$2&lt;=$V33,WEEKDAY(AS$2,2)&lt;6),$Q33/$U33,"")</f>
        <v/>
      </c>
      <c r="AT33" s="59">
        <f>IF(AND($F33&lt;&gt;"",$V33&lt;&gt;"",AT$2&gt;=$F33,AT$2&lt;=$V33,WEEKDAY(AT$2,2)&lt;6),$Q33/$U33,"")</f>
        <v/>
      </c>
      <c r="AU33" s="59">
        <f>IF(AND($F33&lt;&gt;"",$V33&lt;&gt;"",AU$2&gt;=$F33,AU$2&lt;=$V33,WEEKDAY(AU$2,2)&lt;6),$Q33/$U33,"")</f>
        <v/>
      </c>
      <c r="AV33" s="59">
        <f>IF(AND($F33&lt;&gt;"",$V33&lt;&gt;"",AV$2&gt;=$F33,AV$2&lt;=$V33,WEEKDAY(AV$2,2)&lt;6),$Q33/$U33,"")</f>
        <v/>
      </c>
      <c r="AW33" s="59">
        <f>IF(AND($F33&lt;&gt;"",$V33&lt;&gt;"",AW$2&gt;=$F33,AW$2&lt;=$V33,WEEKDAY(AW$2,2)&lt;6),$Q33/$U33,"")</f>
        <v/>
      </c>
      <c r="AX33" s="59">
        <f>IF(AND($F33&lt;&gt;"",$V33&lt;&gt;"",AX$2&gt;=$F33,AX$2&lt;=$V33,WEEKDAY(AX$2,2)&lt;6),$Q33/$U33,"")</f>
        <v/>
      </c>
      <c r="AY33" s="59">
        <f>IF(AND($F33&lt;&gt;"",$V33&lt;&gt;"",AY$2&gt;=$F33,AY$2&lt;=$V33,WEEKDAY(AY$2,2)&lt;6),$Q33/$U33,"")</f>
        <v/>
      </c>
      <c r="AZ33" s="59">
        <f>IF(AND($F33&lt;&gt;"",$V33&lt;&gt;"",AZ$2&gt;=$F33,AZ$2&lt;=$V33,WEEKDAY(AZ$2,2)&lt;6),$Q33/$U33,"")</f>
        <v/>
      </c>
      <c r="BA33" s="59">
        <f>IF(AND($F33&lt;&gt;"",$V33&lt;&gt;"",BA$2&gt;=$F33,BA$2&lt;=$V33,WEEKDAY(BA$2,2)&lt;6),$Q33/$U33,"")</f>
        <v/>
      </c>
      <c r="BB33" s="59">
        <f>IF(AND($F33&lt;&gt;"",$V33&lt;&gt;"",BB$2&gt;=$F33,BB$2&lt;=$V33,WEEKDAY(BB$2,2)&lt;6),$Q33/$U33,"")</f>
        <v/>
      </c>
      <c r="BC33" s="59">
        <f>IF(AND($F33&lt;&gt;"",$V33&lt;&gt;"",BC$2&gt;=$F33,BC$2&lt;=$V33,WEEKDAY(BC$2,2)&lt;6),$Q33/$U33,"")</f>
        <v/>
      </c>
      <c r="BD33" s="59">
        <f>IF(AND($F33&lt;&gt;"",$V33&lt;&gt;"",BD$2&gt;=$F33,BD$2&lt;=$V33,WEEKDAY(BD$2,2)&lt;6),$Q33/$U33,"")</f>
        <v/>
      </c>
    </row>
    <row r="34">
      <c r="A34" s="34">
        <f>IF(E34="","",COUNTA($E$8:E34))</f>
        <v/>
      </c>
      <c r="B34" s="52" t="n"/>
      <c r="C34" s="53" t="n"/>
      <c r="D34" s="53" t="n"/>
      <c r="E34" s="52" t="n"/>
      <c r="F34" s="54" t="n"/>
      <c r="G34" s="54" t="n"/>
      <c r="H34" s="53" t="n"/>
      <c r="I34" s="53" t="n"/>
      <c r="J34" s="53" t="n"/>
      <c r="K34" s="52" t="n"/>
      <c r="L34" s="55" t="n"/>
      <c r="M34" s="52" t="n"/>
      <c r="N34" s="55" t="n"/>
      <c r="O34" s="52" t="n"/>
      <c r="P34" s="55" t="n"/>
      <c r="Q34" s="56">
        <f>IF(SUM(L34,N34,P34)=0,"",SUM(L34,N34,P34))</f>
        <v/>
      </c>
      <c r="R34" s="57">
        <f>IF(L34&gt;0,"영 ","")&amp;IF(N34&gt;0,"이 ","")&amp;IF(P34&gt;0,"기 ","")</f>
        <v/>
      </c>
      <c r="S34" s="34">
        <f>IF(F34="","","W"&amp;ROUNDUP(DAY(F34)/7,0))</f>
        <v/>
      </c>
      <c r="T34" s="53" t="n"/>
      <c r="U34" s="34">
        <f>IF(Q34="",0,ROUNDUP(MAX(L34,N34,P34)/'마스터'!$J$5,0))</f>
        <v/>
      </c>
      <c r="V34" s="58">
        <f>IF(OR(F34="",U34=0),"",WORKDAY(F34,U34-1))</f>
        <v/>
      </c>
      <c r="W34" s="57">
        <f>IF(OR(G34="",V34=""),"",G34-V34)</f>
        <v/>
      </c>
      <c r="X34" s="52" t="n"/>
      <c r="Z34" s="59">
        <f>IF(AND($F34&lt;&gt;"",$V34&lt;&gt;"",Z$2&gt;=$F34,Z$2&lt;=$V34,WEEKDAY(Z$2,2)&lt;6),$Q34/$U34,"")</f>
        <v/>
      </c>
      <c r="AA34" s="59">
        <f>IF(AND($F34&lt;&gt;"",$V34&lt;&gt;"",AA$2&gt;=$F34,AA$2&lt;=$V34,WEEKDAY(AA$2,2)&lt;6),$Q34/$U34,"")</f>
        <v/>
      </c>
      <c r="AB34" s="59">
        <f>IF(AND($F34&lt;&gt;"",$V34&lt;&gt;"",AB$2&gt;=$F34,AB$2&lt;=$V34,WEEKDAY(AB$2,2)&lt;6),$Q34/$U34,"")</f>
        <v/>
      </c>
      <c r="AC34" s="59">
        <f>IF(AND($F34&lt;&gt;"",$V34&lt;&gt;"",AC$2&gt;=$F34,AC$2&lt;=$V34,WEEKDAY(AC$2,2)&lt;6),$Q34/$U34,"")</f>
        <v/>
      </c>
      <c r="AD34" s="59">
        <f>IF(AND($F34&lt;&gt;"",$V34&lt;&gt;"",AD$2&gt;=$F34,AD$2&lt;=$V34,WEEKDAY(AD$2,2)&lt;6),$Q34/$U34,"")</f>
        <v/>
      </c>
      <c r="AE34" s="59">
        <f>IF(AND($F34&lt;&gt;"",$V34&lt;&gt;"",AE$2&gt;=$F34,AE$2&lt;=$V34,WEEKDAY(AE$2,2)&lt;6),$Q34/$U34,"")</f>
        <v/>
      </c>
      <c r="AF34" s="59">
        <f>IF(AND($F34&lt;&gt;"",$V34&lt;&gt;"",AF$2&gt;=$F34,AF$2&lt;=$V34,WEEKDAY(AF$2,2)&lt;6),$Q34/$U34,"")</f>
        <v/>
      </c>
      <c r="AG34" s="59">
        <f>IF(AND($F34&lt;&gt;"",$V34&lt;&gt;"",AG$2&gt;=$F34,AG$2&lt;=$V34,WEEKDAY(AG$2,2)&lt;6),$Q34/$U34,"")</f>
        <v/>
      </c>
      <c r="AH34" s="59">
        <f>IF(AND($F34&lt;&gt;"",$V34&lt;&gt;"",AH$2&gt;=$F34,AH$2&lt;=$V34,WEEKDAY(AH$2,2)&lt;6),$Q34/$U34,"")</f>
        <v/>
      </c>
      <c r="AI34" s="59">
        <f>IF(AND($F34&lt;&gt;"",$V34&lt;&gt;"",AI$2&gt;=$F34,AI$2&lt;=$V34,WEEKDAY(AI$2,2)&lt;6),$Q34/$U34,"")</f>
        <v/>
      </c>
      <c r="AJ34" s="59">
        <f>IF(AND($F34&lt;&gt;"",$V34&lt;&gt;"",AJ$2&gt;=$F34,AJ$2&lt;=$V34,WEEKDAY(AJ$2,2)&lt;6),$Q34/$U34,"")</f>
        <v/>
      </c>
      <c r="AK34" s="59">
        <f>IF(AND($F34&lt;&gt;"",$V34&lt;&gt;"",AK$2&gt;=$F34,AK$2&lt;=$V34,WEEKDAY(AK$2,2)&lt;6),$Q34/$U34,"")</f>
        <v/>
      </c>
      <c r="AL34" s="59">
        <f>IF(AND($F34&lt;&gt;"",$V34&lt;&gt;"",AL$2&gt;=$F34,AL$2&lt;=$V34,WEEKDAY(AL$2,2)&lt;6),$Q34/$U34,"")</f>
        <v/>
      </c>
      <c r="AM34" s="59">
        <f>IF(AND($F34&lt;&gt;"",$V34&lt;&gt;"",AM$2&gt;=$F34,AM$2&lt;=$V34,WEEKDAY(AM$2,2)&lt;6),$Q34/$U34,"")</f>
        <v/>
      </c>
      <c r="AN34" s="59">
        <f>IF(AND($F34&lt;&gt;"",$V34&lt;&gt;"",AN$2&gt;=$F34,AN$2&lt;=$V34,WEEKDAY(AN$2,2)&lt;6),$Q34/$U34,"")</f>
        <v/>
      </c>
      <c r="AO34" s="59">
        <f>IF(AND($F34&lt;&gt;"",$V34&lt;&gt;"",AO$2&gt;=$F34,AO$2&lt;=$V34,WEEKDAY(AO$2,2)&lt;6),$Q34/$U34,"")</f>
        <v/>
      </c>
      <c r="AP34" s="59">
        <f>IF(AND($F34&lt;&gt;"",$V34&lt;&gt;"",AP$2&gt;=$F34,AP$2&lt;=$V34,WEEKDAY(AP$2,2)&lt;6),$Q34/$U34,"")</f>
        <v/>
      </c>
      <c r="AQ34" s="59">
        <f>IF(AND($F34&lt;&gt;"",$V34&lt;&gt;"",AQ$2&gt;=$F34,AQ$2&lt;=$V34,WEEKDAY(AQ$2,2)&lt;6),$Q34/$U34,"")</f>
        <v/>
      </c>
      <c r="AR34" s="59">
        <f>IF(AND($F34&lt;&gt;"",$V34&lt;&gt;"",AR$2&gt;=$F34,AR$2&lt;=$V34,WEEKDAY(AR$2,2)&lt;6),$Q34/$U34,"")</f>
        <v/>
      </c>
      <c r="AS34" s="59">
        <f>IF(AND($F34&lt;&gt;"",$V34&lt;&gt;"",AS$2&gt;=$F34,AS$2&lt;=$V34,WEEKDAY(AS$2,2)&lt;6),$Q34/$U34,"")</f>
        <v/>
      </c>
      <c r="AT34" s="59">
        <f>IF(AND($F34&lt;&gt;"",$V34&lt;&gt;"",AT$2&gt;=$F34,AT$2&lt;=$V34,WEEKDAY(AT$2,2)&lt;6),$Q34/$U34,"")</f>
        <v/>
      </c>
      <c r="AU34" s="59">
        <f>IF(AND($F34&lt;&gt;"",$V34&lt;&gt;"",AU$2&gt;=$F34,AU$2&lt;=$V34,WEEKDAY(AU$2,2)&lt;6),$Q34/$U34,"")</f>
        <v/>
      </c>
      <c r="AV34" s="59">
        <f>IF(AND($F34&lt;&gt;"",$V34&lt;&gt;"",AV$2&gt;=$F34,AV$2&lt;=$V34,WEEKDAY(AV$2,2)&lt;6),$Q34/$U34,"")</f>
        <v/>
      </c>
      <c r="AW34" s="59">
        <f>IF(AND($F34&lt;&gt;"",$V34&lt;&gt;"",AW$2&gt;=$F34,AW$2&lt;=$V34,WEEKDAY(AW$2,2)&lt;6),$Q34/$U34,"")</f>
        <v/>
      </c>
      <c r="AX34" s="59">
        <f>IF(AND($F34&lt;&gt;"",$V34&lt;&gt;"",AX$2&gt;=$F34,AX$2&lt;=$V34,WEEKDAY(AX$2,2)&lt;6),$Q34/$U34,"")</f>
        <v/>
      </c>
      <c r="AY34" s="59">
        <f>IF(AND($F34&lt;&gt;"",$V34&lt;&gt;"",AY$2&gt;=$F34,AY$2&lt;=$V34,WEEKDAY(AY$2,2)&lt;6),$Q34/$U34,"")</f>
        <v/>
      </c>
      <c r="AZ34" s="59">
        <f>IF(AND($F34&lt;&gt;"",$V34&lt;&gt;"",AZ$2&gt;=$F34,AZ$2&lt;=$V34,WEEKDAY(AZ$2,2)&lt;6),$Q34/$U34,"")</f>
        <v/>
      </c>
      <c r="BA34" s="59">
        <f>IF(AND($F34&lt;&gt;"",$V34&lt;&gt;"",BA$2&gt;=$F34,BA$2&lt;=$V34,WEEKDAY(BA$2,2)&lt;6),$Q34/$U34,"")</f>
        <v/>
      </c>
      <c r="BB34" s="59">
        <f>IF(AND($F34&lt;&gt;"",$V34&lt;&gt;"",BB$2&gt;=$F34,BB$2&lt;=$V34,WEEKDAY(BB$2,2)&lt;6),$Q34/$U34,"")</f>
        <v/>
      </c>
      <c r="BC34" s="59">
        <f>IF(AND($F34&lt;&gt;"",$V34&lt;&gt;"",BC$2&gt;=$F34,BC$2&lt;=$V34,WEEKDAY(BC$2,2)&lt;6),$Q34/$U34,"")</f>
        <v/>
      </c>
      <c r="BD34" s="59">
        <f>IF(AND($F34&lt;&gt;"",$V34&lt;&gt;"",BD$2&gt;=$F34,BD$2&lt;=$V34,WEEKDAY(BD$2,2)&lt;6),$Q34/$U34,"")</f>
        <v/>
      </c>
    </row>
    <row r="35">
      <c r="A35" s="34">
        <f>IF(E35="","",COUNTA($E$8:E35))</f>
        <v/>
      </c>
      <c r="B35" s="52" t="n"/>
      <c r="C35" s="53" t="n"/>
      <c r="D35" s="53" t="n"/>
      <c r="E35" s="52" t="n"/>
      <c r="F35" s="54" t="n"/>
      <c r="G35" s="54" t="n"/>
      <c r="H35" s="53" t="n"/>
      <c r="I35" s="53" t="n"/>
      <c r="J35" s="53" t="n"/>
      <c r="K35" s="52" t="n"/>
      <c r="L35" s="55" t="n"/>
      <c r="M35" s="52" t="n"/>
      <c r="N35" s="55" t="n"/>
      <c r="O35" s="52" t="n"/>
      <c r="P35" s="55" t="n"/>
      <c r="Q35" s="56">
        <f>IF(SUM(L35,N35,P35)=0,"",SUM(L35,N35,P35))</f>
        <v/>
      </c>
      <c r="R35" s="57">
        <f>IF(L35&gt;0,"영 ","")&amp;IF(N35&gt;0,"이 ","")&amp;IF(P35&gt;0,"기 ","")</f>
        <v/>
      </c>
      <c r="S35" s="34">
        <f>IF(F35="","","W"&amp;ROUNDUP(DAY(F35)/7,0))</f>
        <v/>
      </c>
      <c r="T35" s="53" t="n"/>
      <c r="U35" s="34">
        <f>IF(Q35="",0,ROUNDUP(MAX(L35,N35,P35)/'마스터'!$J$5,0))</f>
        <v/>
      </c>
      <c r="V35" s="58">
        <f>IF(OR(F35="",U35=0),"",WORKDAY(F35,U35-1))</f>
        <v/>
      </c>
      <c r="W35" s="57">
        <f>IF(OR(G35="",V35=""),"",G35-V35)</f>
        <v/>
      </c>
      <c r="X35" s="52" t="n"/>
      <c r="Z35" s="59">
        <f>IF(AND($F35&lt;&gt;"",$V35&lt;&gt;"",Z$2&gt;=$F35,Z$2&lt;=$V35,WEEKDAY(Z$2,2)&lt;6),$Q35/$U35,"")</f>
        <v/>
      </c>
      <c r="AA35" s="59">
        <f>IF(AND($F35&lt;&gt;"",$V35&lt;&gt;"",AA$2&gt;=$F35,AA$2&lt;=$V35,WEEKDAY(AA$2,2)&lt;6),$Q35/$U35,"")</f>
        <v/>
      </c>
      <c r="AB35" s="59">
        <f>IF(AND($F35&lt;&gt;"",$V35&lt;&gt;"",AB$2&gt;=$F35,AB$2&lt;=$V35,WEEKDAY(AB$2,2)&lt;6),$Q35/$U35,"")</f>
        <v/>
      </c>
      <c r="AC35" s="59">
        <f>IF(AND($F35&lt;&gt;"",$V35&lt;&gt;"",AC$2&gt;=$F35,AC$2&lt;=$V35,WEEKDAY(AC$2,2)&lt;6),$Q35/$U35,"")</f>
        <v/>
      </c>
      <c r="AD35" s="59">
        <f>IF(AND($F35&lt;&gt;"",$V35&lt;&gt;"",AD$2&gt;=$F35,AD$2&lt;=$V35,WEEKDAY(AD$2,2)&lt;6),$Q35/$U35,"")</f>
        <v/>
      </c>
      <c r="AE35" s="59">
        <f>IF(AND($F35&lt;&gt;"",$V35&lt;&gt;"",AE$2&gt;=$F35,AE$2&lt;=$V35,WEEKDAY(AE$2,2)&lt;6),$Q35/$U35,"")</f>
        <v/>
      </c>
      <c r="AF35" s="59">
        <f>IF(AND($F35&lt;&gt;"",$V35&lt;&gt;"",AF$2&gt;=$F35,AF$2&lt;=$V35,WEEKDAY(AF$2,2)&lt;6),$Q35/$U35,"")</f>
        <v/>
      </c>
      <c r="AG35" s="59">
        <f>IF(AND($F35&lt;&gt;"",$V35&lt;&gt;"",AG$2&gt;=$F35,AG$2&lt;=$V35,WEEKDAY(AG$2,2)&lt;6),$Q35/$U35,"")</f>
        <v/>
      </c>
      <c r="AH35" s="59">
        <f>IF(AND($F35&lt;&gt;"",$V35&lt;&gt;"",AH$2&gt;=$F35,AH$2&lt;=$V35,WEEKDAY(AH$2,2)&lt;6),$Q35/$U35,"")</f>
        <v/>
      </c>
      <c r="AI35" s="59">
        <f>IF(AND($F35&lt;&gt;"",$V35&lt;&gt;"",AI$2&gt;=$F35,AI$2&lt;=$V35,WEEKDAY(AI$2,2)&lt;6),$Q35/$U35,"")</f>
        <v/>
      </c>
      <c r="AJ35" s="59">
        <f>IF(AND($F35&lt;&gt;"",$V35&lt;&gt;"",AJ$2&gt;=$F35,AJ$2&lt;=$V35,WEEKDAY(AJ$2,2)&lt;6),$Q35/$U35,"")</f>
        <v/>
      </c>
      <c r="AK35" s="59">
        <f>IF(AND($F35&lt;&gt;"",$V35&lt;&gt;"",AK$2&gt;=$F35,AK$2&lt;=$V35,WEEKDAY(AK$2,2)&lt;6),$Q35/$U35,"")</f>
        <v/>
      </c>
      <c r="AL35" s="59">
        <f>IF(AND($F35&lt;&gt;"",$V35&lt;&gt;"",AL$2&gt;=$F35,AL$2&lt;=$V35,WEEKDAY(AL$2,2)&lt;6),$Q35/$U35,"")</f>
        <v/>
      </c>
      <c r="AM35" s="59">
        <f>IF(AND($F35&lt;&gt;"",$V35&lt;&gt;"",AM$2&gt;=$F35,AM$2&lt;=$V35,WEEKDAY(AM$2,2)&lt;6),$Q35/$U35,"")</f>
        <v/>
      </c>
      <c r="AN35" s="59">
        <f>IF(AND($F35&lt;&gt;"",$V35&lt;&gt;"",AN$2&gt;=$F35,AN$2&lt;=$V35,WEEKDAY(AN$2,2)&lt;6),$Q35/$U35,"")</f>
        <v/>
      </c>
      <c r="AO35" s="59">
        <f>IF(AND($F35&lt;&gt;"",$V35&lt;&gt;"",AO$2&gt;=$F35,AO$2&lt;=$V35,WEEKDAY(AO$2,2)&lt;6),$Q35/$U35,"")</f>
        <v/>
      </c>
      <c r="AP35" s="59">
        <f>IF(AND($F35&lt;&gt;"",$V35&lt;&gt;"",AP$2&gt;=$F35,AP$2&lt;=$V35,WEEKDAY(AP$2,2)&lt;6),$Q35/$U35,"")</f>
        <v/>
      </c>
      <c r="AQ35" s="59">
        <f>IF(AND($F35&lt;&gt;"",$V35&lt;&gt;"",AQ$2&gt;=$F35,AQ$2&lt;=$V35,WEEKDAY(AQ$2,2)&lt;6),$Q35/$U35,"")</f>
        <v/>
      </c>
      <c r="AR35" s="59">
        <f>IF(AND($F35&lt;&gt;"",$V35&lt;&gt;"",AR$2&gt;=$F35,AR$2&lt;=$V35,WEEKDAY(AR$2,2)&lt;6),$Q35/$U35,"")</f>
        <v/>
      </c>
      <c r="AS35" s="59">
        <f>IF(AND($F35&lt;&gt;"",$V35&lt;&gt;"",AS$2&gt;=$F35,AS$2&lt;=$V35,WEEKDAY(AS$2,2)&lt;6),$Q35/$U35,"")</f>
        <v/>
      </c>
      <c r="AT35" s="59">
        <f>IF(AND($F35&lt;&gt;"",$V35&lt;&gt;"",AT$2&gt;=$F35,AT$2&lt;=$V35,WEEKDAY(AT$2,2)&lt;6),$Q35/$U35,"")</f>
        <v/>
      </c>
      <c r="AU35" s="59">
        <f>IF(AND($F35&lt;&gt;"",$V35&lt;&gt;"",AU$2&gt;=$F35,AU$2&lt;=$V35,WEEKDAY(AU$2,2)&lt;6),$Q35/$U35,"")</f>
        <v/>
      </c>
      <c r="AV35" s="59">
        <f>IF(AND($F35&lt;&gt;"",$V35&lt;&gt;"",AV$2&gt;=$F35,AV$2&lt;=$V35,WEEKDAY(AV$2,2)&lt;6),$Q35/$U35,"")</f>
        <v/>
      </c>
      <c r="AW35" s="59">
        <f>IF(AND($F35&lt;&gt;"",$V35&lt;&gt;"",AW$2&gt;=$F35,AW$2&lt;=$V35,WEEKDAY(AW$2,2)&lt;6),$Q35/$U35,"")</f>
        <v/>
      </c>
      <c r="AX35" s="59">
        <f>IF(AND($F35&lt;&gt;"",$V35&lt;&gt;"",AX$2&gt;=$F35,AX$2&lt;=$V35,WEEKDAY(AX$2,2)&lt;6),$Q35/$U35,"")</f>
        <v/>
      </c>
      <c r="AY35" s="59">
        <f>IF(AND($F35&lt;&gt;"",$V35&lt;&gt;"",AY$2&gt;=$F35,AY$2&lt;=$V35,WEEKDAY(AY$2,2)&lt;6),$Q35/$U35,"")</f>
        <v/>
      </c>
      <c r="AZ35" s="59">
        <f>IF(AND($F35&lt;&gt;"",$V35&lt;&gt;"",AZ$2&gt;=$F35,AZ$2&lt;=$V35,WEEKDAY(AZ$2,2)&lt;6),$Q35/$U35,"")</f>
        <v/>
      </c>
      <c r="BA35" s="59">
        <f>IF(AND($F35&lt;&gt;"",$V35&lt;&gt;"",BA$2&gt;=$F35,BA$2&lt;=$V35,WEEKDAY(BA$2,2)&lt;6),$Q35/$U35,"")</f>
        <v/>
      </c>
      <c r="BB35" s="59">
        <f>IF(AND($F35&lt;&gt;"",$V35&lt;&gt;"",BB$2&gt;=$F35,BB$2&lt;=$V35,WEEKDAY(BB$2,2)&lt;6),$Q35/$U35,"")</f>
        <v/>
      </c>
      <c r="BC35" s="59">
        <f>IF(AND($F35&lt;&gt;"",$V35&lt;&gt;"",BC$2&gt;=$F35,BC$2&lt;=$V35,WEEKDAY(BC$2,2)&lt;6),$Q35/$U35,"")</f>
        <v/>
      </c>
      <c r="BD35" s="59">
        <f>IF(AND($F35&lt;&gt;"",$V35&lt;&gt;"",BD$2&gt;=$F35,BD$2&lt;=$V35,WEEKDAY(BD$2,2)&lt;6),$Q35/$U35,"")</f>
        <v/>
      </c>
    </row>
    <row r="36">
      <c r="A36" s="34">
        <f>IF(E36="","",COUNTA($E$8:E36))</f>
        <v/>
      </c>
      <c r="B36" s="52" t="n"/>
      <c r="C36" s="53" t="n"/>
      <c r="D36" s="53" t="n"/>
      <c r="E36" s="52" t="n"/>
      <c r="F36" s="54" t="n"/>
      <c r="G36" s="54" t="n"/>
      <c r="H36" s="53" t="n"/>
      <c r="I36" s="53" t="n"/>
      <c r="J36" s="53" t="n"/>
      <c r="K36" s="52" t="n"/>
      <c r="L36" s="55" t="n"/>
      <c r="M36" s="52" t="n"/>
      <c r="N36" s="55" t="n"/>
      <c r="O36" s="52" t="n"/>
      <c r="P36" s="55" t="n"/>
      <c r="Q36" s="56">
        <f>IF(SUM(L36,N36,P36)=0,"",SUM(L36,N36,P36))</f>
        <v/>
      </c>
      <c r="R36" s="57">
        <f>IF(L36&gt;0,"영 ","")&amp;IF(N36&gt;0,"이 ","")&amp;IF(P36&gt;0,"기 ","")</f>
        <v/>
      </c>
      <c r="S36" s="34">
        <f>IF(F36="","","W"&amp;ROUNDUP(DAY(F36)/7,0))</f>
        <v/>
      </c>
      <c r="T36" s="53" t="n"/>
      <c r="U36" s="34">
        <f>IF(Q36="",0,ROUNDUP(MAX(L36,N36,P36)/'마스터'!$J$5,0))</f>
        <v/>
      </c>
      <c r="V36" s="58">
        <f>IF(OR(F36="",U36=0),"",WORKDAY(F36,U36-1))</f>
        <v/>
      </c>
      <c r="W36" s="57">
        <f>IF(OR(G36="",V36=""),"",G36-V36)</f>
        <v/>
      </c>
      <c r="X36" s="52" t="n"/>
      <c r="Z36" s="59">
        <f>IF(AND($F36&lt;&gt;"",$V36&lt;&gt;"",Z$2&gt;=$F36,Z$2&lt;=$V36,WEEKDAY(Z$2,2)&lt;6),$Q36/$U36,"")</f>
        <v/>
      </c>
      <c r="AA36" s="59">
        <f>IF(AND($F36&lt;&gt;"",$V36&lt;&gt;"",AA$2&gt;=$F36,AA$2&lt;=$V36,WEEKDAY(AA$2,2)&lt;6),$Q36/$U36,"")</f>
        <v/>
      </c>
      <c r="AB36" s="59">
        <f>IF(AND($F36&lt;&gt;"",$V36&lt;&gt;"",AB$2&gt;=$F36,AB$2&lt;=$V36,WEEKDAY(AB$2,2)&lt;6),$Q36/$U36,"")</f>
        <v/>
      </c>
      <c r="AC36" s="59">
        <f>IF(AND($F36&lt;&gt;"",$V36&lt;&gt;"",AC$2&gt;=$F36,AC$2&lt;=$V36,WEEKDAY(AC$2,2)&lt;6),$Q36/$U36,"")</f>
        <v/>
      </c>
      <c r="AD36" s="59">
        <f>IF(AND($F36&lt;&gt;"",$V36&lt;&gt;"",AD$2&gt;=$F36,AD$2&lt;=$V36,WEEKDAY(AD$2,2)&lt;6),$Q36/$U36,"")</f>
        <v/>
      </c>
      <c r="AE36" s="59">
        <f>IF(AND($F36&lt;&gt;"",$V36&lt;&gt;"",AE$2&gt;=$F36,AE$2&lt;=$V36,WEEKDAY(AE$2,2)&lt;6),$Q36/$U36,"")</f>
        <v/>
      </c>
      <c r="AF36" s="59">
        <f>IF(AND($F36&lt;&gt;"",$V36&lt;&gt;"",AF$2&gt;=$F36,AF$2&lt;=$V36,WEEKDAY(AF$2,2)&lt;6),$Q36/$U36,"")</f>
        <v/>
      </c>
      <c r="AG36" s="59">
        <f>IF(AND($F36&lt;&gt;"",$V36&lt;&gt;"",AG$2&gt;=$F36,AG$2&lt;=$V36,WEEKDAY(AG$2,2)&lt;6),$Q36/$U36,"")</f>
        <v/>
      </c>
      <c r="AH36" s="59">
        <f>IF(AND($F36&lt;&gt;"",$V36&lt;&gt;"",AH$2&gt;=$F36,AH$2&lt;=$V36,WEEKDAY(AH$2,2)&lt;6),$Q36/$U36,"")</f>
        <v/>
      </c>
      <c r="AI36" s="59">
        <f>IF(AND($F36&lt;&gt;"",$V36&lt;&gt;"",AI$2&gt;=$F36,AI$2&lt;=$V36,WEEKDAY(AI$2,2)&lt;6),$Q36/$U36,"")</f>
        <v/>
      </c>
      <c r="AJ36" s="59">
        <f>IF(AND($F36&lt;&gt;"",$V36&lt;&gt;"",AJ$2&gt;=$F36,AJ$2&lt;=$V36,WEEKDAY(AJ$2,2)&lt;6),$Q36/$U36,"")</f>
        <v/>
      </c>
      <c r="AK36" s="59">
        <f>IF(AND($F36&lt;&gt;"",$V36&lt;&gt;"",AK$2&gt;=$F36,AK$2&lt;=$V36,WEEKDAY(AK$2,2)&lt;6),$Q36/$U36,"")</f>
        <v/>
      </c>
      <c r="AL36" s="59">
        <f>IF(AND($F36&lt;&gt;"",$V36&lt;&gt;"",AL$2&gt;=$F36,AL$2&lt;=$V36,WEEKDAY(AL$2,2)&lt;6),$Q36/$U36,"")</f>
        <v/>
      </c>
      <c r="AM36" s="59">
        <f>IF(AND($F36&lt;&gt;"",$V36&lt;&gt;"",AM$2&gt;=$F36,AM$2&lt;=$V36,WEEKDAY(AM$2,2)&lt;6),$Q36/$U36,"")</f>
        <v/>
      </c>
      <c r="AN36" s="59">
        <f>IF(AND($F36&lt;&gt;"",$V36&lt;&gt;"",AN$2&gt;=$F36,AN$2&lt;=$V36,WEEKDAY(AN$2,2)&lt;6),$Q36/$U36,"")</f>
        <v/>
      </c>
      <c r="AO36" s="59">
        <f>IF(AND($F36&lt;&gt;"",$V36&lt;&gt;"",AO$2&gt;=$F36,AO$2&lt;=$V36,WEEKDAY(AO$2,2)&lt;6),$Q36/$U36,"")</f>
        <v/>
      </c>
      <c r="AP36" s="59">
        <f>IF(AND($F36&lt;&gt;"",$V36&lt;&gt;"",AP$2&gt;=$F36,AP$2&lt;=$V36,WEEKDAY(AP$2,2)&lt;6),$Q36/$U36,"")</f>
        <v/>
      </c>
      <c r="AQ36" s="59">
        <f>IF(AND($F36&lt;&gt;"",$V36&lt;&gt;"",AQ$2&gt;=$F36,AQ$2&lt;=$V36,WEEKDAY(AQ$2,2)&lt;6),$Q36/$U36,"")</f>
        <v/>
      </c>
      <c r="AR36" s="59">
        <f>IF(AND($F36&lt;&gt;"",$V36&lt;&gt;"",AR$2&gt;=$F36,AR$2&lt;=$V36,WEEKDAY(AR$2,2)&lt;6),$Q36/$U36,"")</f>
        <v/>
      </c>
      <c r="AS36" s="59">
        <f>IF(AND($F36&lt;&gt;"",$V36&lt;&gt;"",AS$2&gt;=$F36,AS$2&lt;=$V36,WEEKDAY(AS$2,2)&lt;6),$Q36/$U36,"")</f>
        <v/>
      </c>
      <c r="AT36" s="59">
        <f>IF(AND($F36&lt;&gt;"",$V36&lt;&gt;"",AT$2&gt;=$F36,AT$2&lt;=$V36,WEEKDAY(AT$2,2)&lt;6),$Q36/$U36,"")</f>
        <v/>
      </c>
      <c r="AU36" s="59">
        <f>IF(AND($F36&lt;&gt;"",$V36&lt;&gt;"",AU$2&gt;=$F36,AU$2&lt;=$V36,WEEKDAY(AU$2,2)&lt;6),$Q36/$U36,"")</f>
        <v/>
      </c>
      <c r="AV36" s="59">
        <f>IF(AND($F36&lt;&gt;"",$V36&lt;&gt;"",AV$2&gt;=$F36,AV$2&lt;=$V36,WEEKDAY(AV$2,2)&lt;6),$Q36/$U36,"")</f>
        <v/>
      </c>
      <c r="AW36" s="59">
        <f>IF(AND($F36&lt;&gt;"",$V36&lt;&gt;"",AW$2&gt;=$F36,AW$2&lt;=$V36,WEEKDAY(AW$2,2)&lt;6),$Q36/$U36,"")</f>
        <v/>
      </c>
      <c r="AX36" s="59">
        <f>IF(AND($F36&lt;&gt;"",$V36&lt;&gt;"",AX$2&gt;=$F36,AX$2&lt;=$V36,WEEKDAY(AX$2,2)&lt;6),$Q36/$U36,"")</f>
        <v/>
      </c>
      <c r="AY36" s="59">
        <f>IF(AND($F36&lt;&gt;"",$V36&lt;&gt;"",AY$2&gt;=$F36,AY$2&lt;=$V36,WEEKDAY(AY$2,2)&lt;6),$Q36/$U36,"")</f>
        <v/>
      </c>
      <c r="AZ36" s="59">
        <f>IF(AND($F36&lt;&gt;"",$V36&lt;&gt;"",AZ$2&gt;=$F36,AZ$2&lt;=$V36,WEEKDAY(AZ$2,2)&lt;6),$Q36/$U36,"")</f>
        <v/>
      </c>
      <c r="BA36" s="59">
        <f>IF(AND($F36&lt;&gt;"",$V36&lt;&gt;"",BA$2&gt;=$F36,BA$2&lt;=$V36,WEEKDAY(BA$2,2)&lt;6),$Q36/$U36,"")</f>
        <v/>
      </c>
      <c r="BB36" s="59">
        <f>IF(AND($F36&lt;&gt;"",$V36&lt;&gt;"",BB$2&gt;=$F36,BB$2&lt;=$V36,WEEKDAY(BB$2,2)&lt;6),$Q36/$U36,"")</f>
        <v/>
      </c>
      <c r="BC36" s="59">
        <f>IF(AND($F36&lt;&gt;"",$V36&lt;&gt;"",BC$2&gt;=$F36,BC$2&lt;=$V36,WEEKDAY(BC$2,2)&lt;6),$Q36/$U36,"")</f>
        <v/>
      </c>
      <c r="BD36" s="59">
        <f>IF(AND($F36&lt;&gt;"",$V36&lt;&gt;"",BD$2&gt;=$F36,BD$2&lt;=$V36,WEEKDAY(BD$2,2)&lt;6),$Q36/$U36,"")</f>
        <v/>
      </c>
    </row>
    <row r="37">
      <c r="A37" s="34">
        <f>IF(E37="","",COUNTA($E$8:E37))</f>
        <v/>
      </c>
      <c r="B37" s="52" t="n"/>
      <c r="C37" s="53" t="n"/>
      <c r="D37" s="53" t="n"/>
      <c r="E37" s="52" t="n"/>
      <c r="F37" s="54" t="n"/>
      <c r="G37" s="54" t="n"/>
      <c r="H37" s="53" t="n"/>
      <c r="I37" s="53" t="n"/>
      <c r="J37" s="53" t="n"/>
      <c r="K37" s="52" t="n"/>
      <c r="L37" s="55" t="n"/>
      <c r="M37" s="52" t="n"/>
      <c r="N37" s="55" t="n"/>
      <c r="O37" s="52" t="n"/>
      <c r="P37" s="55" t="n"/>
      <c r="Q37" s="56">
        <f>IF(SUM(L37,N37,P37)=0,"",SUM(L37,N37,P37))</f>
        <v/>
      </c>
      <c r="R37" s="57">
        <f>IF(L37&gt;0,"영 ","")&amp;IF(N37&gt;0,"이 ","")&amp;IF(P37&gt;0,"기 ","")</f>
        <v/>
      </c>
      <c r="S37" s="34">
        <f>IF(F37="","","W"&amp;ROUNDUP(DAY(F37)/7,0))</f>
        <v/>
      </c>
      <c r="T37" s="53" t="n"/>
      <c r="U37" s="34">
        <f>IF(Q37="",0,ROUNDUP(MAX(L37,N37,P37)/'마스터'!$J$5,0))</f>
        <v/>
      </c>
      <c r="V37" s="58">
        <f>IF(OR(F37="",U37=0),"",WORKDAY(F37,U37-1))</f>
        <v/>
      </c>
      <c r="W37" s="57">
        <f>IF(OR(G37="",V37=""),"",G37-V37)</f>
        <v/>
      </c>
      <c r="X37" s="52" t="n"/>
      <c r="Z37" s="59">
        <f>IF(AND($F37&lt;&gt;"",$V37&lt;&gt;"",Z$2&gt;=$F37,Z$2&lt;=$V37,WEEKDAY(Z$2,2)&lt;6),$Q37/$U37,"")</f>
        <v/>
      </c>
      <c r="AA37" s="59">
        <f>IF(AND($F37&lt;&gt;"",$V37&lt;&gt;"",AA$2&gt;=$F37,AA$2&lt;=$V37,WEEKDAY(AA$2,2)&lt;6),$Q37/$U37,"")</f>
        <v/>
      </c>
      <c r="AB37" s="59">
        <f>IF(AND($F37&lt;&gt;"",$V37&lt;&gt;"",AB$2&gt;=$F37,AB$2&lt;=$V37,WEEKDAY(AB$2,2)&lt;6),$Q37/$U37,"")</f>
        <v/>
      </c>
      <c r="AC37" s="59">
        <f>IF(AND($F37&lt;&gt;"",$V37&lt;&gt;"",AC$2&gt;=$F37,AC$2&lt;=$V37,WEEKDAY(AC$2,2)&lt;6),$Q37/$U37,"")</f>
        <v/>
      </c>
      <c r="AD37" s="59">
        <f>IF(AND($F37&lt;&gt;"",$V37&lt;&gt;"",AD$2&gt;=$F37,AD$2&lt;=$V37,WEEKDAY(AD$2,2)&lt;6),$Q37/$U37,"")</f>
        <v/>
      </c>
      <c r="AE37" s="59">
        <f>IF(AND($F37&lt;&gt;"",$V37&lt;&gt;"",AE$2&gt;=$F37,AE$2&lt;=$V37,WEEKDAY(AE$2,2)&lt;6),$Q37/$U37,"")</f>
        <v/>
      </c>
      <c r="AF37" s="59">
        <f>IF(AND($F37&lt;&gt;"",$V37&lt;&gt;"",AF$2&gt;=$F37,AF$2&lt;=$V37,WEEKDAY(AF$2,2)&lt;6),$Q37/$U37,"")</f>
        <v/>
      </c>
      <c r="AG37" s="59">
        <f>IF(AND($F37&lt;&gt;"",$V37&lt;&gt;"",AG$2&gt;=$F37,AG$2&lt;=$V37,WEEKDAY(AG$2,2)&lt;6),$Q37/$U37,"")</f>
        <v/>
      </c>
      <c r="AH37" s="59">
        <f>IF(AND($F37&lt;&gt;"",$V37&lt;&gt;"",AH$2&gt;=$F37,AH$2&lt;=$V37,WEEKDAY(AH$2,2)&lt;6),$Q37/$U37,"")</f>
        <v/>
      </c>
      <c r="AI37" s="59">
        <f>IF(AND($F37&lt;&gt;"",$V37&lt;&gt;"",AI$2&gt;=$F37,AI$2&lt;=$V37,WEEKDAY(AI$2,2)&lt;6),$Q37/$U37,"")</f>
        <v/>
      </c>
      <c r="AJ37" s="59">
        <f>IF(AND($F37&lt;&gt;"",$V37&lt;&gt;"",AJ$2&gt;=$F37,AJ$2&lt;=$V37,WEEKDAY(AJ$2,2)&lt;6),$Q37/$U37,"")</f>
        <v/>
      </c>
      <c r="AK37" s="59">
        <f>IF(AND($F37&lt;&gt;"",$V37&lt;&gt;"",AK$2&gt;=$F37,AK$2&lt;=$V37,WEEKDAY(AK$2,2)&lt;6),$Q37/$U37,"")</f>
        <v/>
      </c>
      <c r="AL37" s="59">
        <f>IF(AND($F37&lt;&gt;"",$V37&lt;&gt;"",AL$2&gt;=$F37,AL$2&lt;=$V37,WEEKDAY(AL$2,2)&lt;6),$Q37/$U37,"")</f>
        <v/>
      </c>
      <c r="AM37" s="59">
        <f>IF(AND($F37&lt;&gt;"",$V37&lt;&gt;"",AM$2&gt;=$F37,AM$2&lt;=$V37,WEEKDAY(AM$2,2)&lt;6),$Q37/$U37,"")</f>
        <v/>
      </c>
      <c r="AN37" s="59">
        <f>IF(AND($F37&lt;&gt;"",$V37&lt;&gt;"",AN$2&gt;=$F37,AN$2&lt;=$V37,WEEKDAY(AN$2,2)&lt;6),$Q37/$U37,"")</f>
        <v/>
      </c>
      <c r="AO37" s="59">
        <f>IF(AND($F37&lt;&gt;"",$V37&lt;&gt;"",AO$2&gt;=$F37,AO$2&lt;=$V37,WEEKDAY(AO$2,2)&lt;6),$Q37/$U37,"")</f>
        <v/>
      </c>
      <c r="AP37" s="59">
        <f>IF(AND($F37&lt;&gt;"",$V37&lt;&gt;"",AP$2&gt;=$F37,AP$2&lt;=$V37,WEEKDAY(AP$2,2)&lt;6),$Q37/$U37,"")</f>
        <v/>
      </c>
      <c r="AQ37" s="59">
        <f>IF(AND($F37&lt;&gt;"",$V37&lt;&gt;"",AQ$2&gt;=$F37,AQ$2&lt;=$V37,WEEKDAY(AQ$2,2)&lt;6),$Q37/$U37,"")</f>
        <v/>
      </c>
      <c r="AR37" s="59">
        <f>IF(AND($F37&lt;&gt;"",$V37&lt;&gt;"",AR$2&gt;=$F37,AR$2&lt;=$V37,WEEKDAY(AR$2,2)&lt;6),$Q37/$U37,"")</f>
        <v/>
      </c>
      <c r="AS37" s="59">
        <f>IF(AND($F37&lt;&gt;"",$V37&lt;&gt;"",AS$2&gt;=$F37,AS$2&lt;=$V37,WEEKDAY(AS$2,2)&lt;6),$Q37/$U37,"")</f>
        <v/>
      </c>
      <c r="AT37" s="59">
        <f>IF(AND($F37&lt;&gt;"",$V37&lt;&gt;"",AT$2&gt;=$F37,AT$2&lt;=$V37,WEEKDAY(AT$2,2)&lt;6),$Q37/$U37,"")</f>
        <v/>
      </c>
      <c r="AU37" s="59">
        <f>IF(AND($F37&lt;&gt;"",$V37&lt;&gt;"",AU$2&gt;=$F37,AU$2&lt;=$V37,WEEKDAY(AU$2,2)&lt;6),$Q37/$U37,"")</f>
        <v/>
      </c>
      <c r="AV37" s="59">
        <f>IF(AND($F37&lt;&gt;"",$V37&lt;&gt;"",AV$2&gt;=$F37,AV$2&lt;=$V37,WEEKDAY(AV$2,2)&lt;6),$Q37/$U37,"")</f>
        <v/>
      </c>
      <c r="AW37" s="59">
        <f>IF(AND($F37&lt;&gt;"",$V37&lt;&gt;"",AW$2&gt;=$F37,AW$2&lt;=$V37,WEEKDAY(AW$2,2)&lt;6),$Q37/$U37,"")</f>
        <v/>
      </c>
      <c r="AX37" s="59">
        <f>IF(AND($F37&lt;&gt;"",$V37&lt;&gt;"",AX$2&gt;=$F37,AX$2&lt;=$V37,WEEKDAY(AX$2,2)&lt;6),$Q37/$U37,"")</f>
        <v/>
      </c>
      <c r="AY37" s="59">
        <f>IF(AND($F37&lt;&gt;"",$V37&lt;&gt;"",AY$2&gt;=$F37,AY$2&lt;=$V37,WEEKDAY(AY$2,2)&lt;6),$Q37/$U37,"")</f>
        <v/>
      </c>
      <c r="AZ37" s="59">
        <f>IF(AND($F37&lt;&gt;"",$V37&lt;&gt;"",AZ$2&gt;=$F37,AZ$2&lt;=$V37,WEEKDAY(AZ$2,2)&lt;6),$Q37/$U37,"")</f>
        <v/>
      </c>
      <c r="BA37" s="59">
        <f>IF(AND($F37&lt;&gt;"",$V37&lt;&gt;"",BA$2&gt;=$F37,BA$2&lt;=$V37,WEEKDAY(BA$2,2)&lt;6),$Q37/$U37,"")</f>
        <v/>
      </c>
      <c r="BB37" s="59">
        <f>IF(AND($F37&lt;&gt;"",$V37&lt;&gt;"",BB$2&gt;=$F37,BB$2&lt;=$V37,WEEKDAY(BB$2,2)&lt;6),$Q37/$U37,"")</f>
        <v/>
      </c>
      <c r="BC37" s="59">
        <f>IF(AND($F37&lt;&gt;"",$V37&lt;&gt;"",BC$2&gt;=$F37,BC$2&lt;=$V37,WEEKDAY(BC$2,2)&lt;6),$Q37/$U37,"")</f>
        <v/>
      </c>
      <c r="BD37" s="59">
        <f>IF(AND($F37&lt;&gt;"",$V37&lt;&gt;"",BD$2&gt;=$F37,BD$2&lt;=$V37,WEEKDAY(BD$2,2)&lt;6),$Q37/$U37,"")</f>
        <v/>
      </c>
    </row>
    <row r="38">
      <c r="A38" s="34">
        <f>IF(E38="","",COUNTA($E$8:E38))</f>
        <v/>
      </c>
      <c r="B38" s="52" t="n"/>
      <c r="C38" s="53" t="n"/>
      <c r="D38" s="53" t="n"/>
      <c r="E38" s="52" t="n"/>
      <c r="F38" s="54" t="n"/>
      <c r="G38" s="54" t="n"/>
      <c r="H38" s="53" t="n"/>
      <c r="I38" s="53" t="n"/>
      <c r="J38" s="53" t="n"/>
      <c r="K38" s="52" t="n"/>
      <c r="L38" s="55" t="n"/>
      <c r="M38" s="52" t="n"/>
      <c r="N38" s="55" t="n"/>
      <c r="O38" s="52" t="n"/>
      <c r="P38" s="55" t="n"/>
      <c r="Q38" s="56">
        <f>IF(SUM(L38,N38,P38)=0,"",SUM(L38,N38,P38))</f>
        <v/>
      </c>
      <c r="R38" s="57">
        <f>IF(L38&gt;0,"영 ","")&amp;IF(N38&gt;0,"이 ","")&amp;IF(P38&gt;0,"기 ","")</f>
        <v/>
      </c>
      <c r="S38" s="34">
        <f>IF(F38="","","W"&amp;ROUNDUP(DAY(F38)/7,0))</f>
        <v/>
      </c>
      <c r="T38" s="53" t="n"/>
      <c r="U38" s="34">
        <f>IF(Q38="",0,ROUNDUP(MAX(L38,N38,P38)/'마스터'!$J$5,0))</f>
        <v/>
      </c>
      <c r="V38" s="58">
        <f>IF(OR(F38="",U38=0),"",WORKDAY(F38,U38-1))</f>
        <v/>
      </c>
      <c r="W38" s="57">
        <f>IF(OR(G38="",V38=""),"",G38-V38)</f>
        <v/>
      </c>
      <c r="X38" s="52" t="n"/>
      <c r="Z38" s="59">
        <f>IF(AND($F38&lt;&gt;"",$V38&lt;&gt;"",Z$2&gt;=$F38,Z$2&lt;=$V38,WEEKDAY(Z$2,2)&lt;6),$Q38/$U38,"")</f>
        <v/>
      </c>
      <c r="AA38" s="59">
        <f>IF(AND($F38&lt;&gt;"",$V38&lt;&gt;"",AA$2&gt;=$F38,AA$2&lt;=$V38,WEEKDAY(AA$2,2)&lt;6),$Q38/$U38,"")</f>
        <v/>
      </c>
      <c r="AB38" s="59">
        <f>IF(AND($F38&lt;&gt;"",$V38&lt;&gt;"",AB$2&gt;=$F38,AB$2&lt;=$V38,WEEKDAY(AB$2,2)&lt;6),$Q38/$U38,"")</f>
        <v/>
      </c>
      <c r="AC38" s="59">
        <f>IF(AND($F38&lt;&gt;"",$V38&lt;&gt;"",AC$2&gt;=$F38,AC$2&lt;=$V38,WEEKDAY(AC$2,2)&lt;6),$Q38/$U38,"")</f>
        <v/>
      </c>
      <c r="AD38" s="59">
        <f>IF(AND($F38&lt;&gt;"",$V38&lt;&gt;"",AD$2&gt;=$F38,AD$2&lt;=$V38,WEEKDAY(AD$2,2)&lt;6),$Q38/$U38,"")</f>
        <v/>
      </c>
      <c r="AE38" s="59">
        <f>IF(AND($F38&lt;&gt;"",$V38&lt;&gt;"",AE$2&gt;=$F38,AE$2&lt;=$V38,WEEKDAY(AE$2,2)&lt;6),$Q38/$U38,"")</f>
        <v/>
      </c>
      <c r="AF38" s="59">
        <f>IF(AND($F38&lt;&gt;"",$V38&lt;&gt;"",AF$2&gt;=$F38,AF$2&lt;=$V38,WEEKDAY(AF$2,2)&lt;6),$Q38/$U38,"")</f>
        <v/>
      </c>
      <c r="AG38" s="59">
        <f>IF(AND($F38&lt;&gt;"",$V38&lt;&gt;"",AG$2&gt;=$F38,AG$2&lt;=$V38,WEEKDAY(AG$2,2)&lt;6),$Q38/$U38,"")</f>
        <v/>
      </c>
      <c r="AH38" s="59">
        <f>IF(AND($F38&lt;&gt;"",$V38&lt;&gt;"",AH$2&gt;=$F38,AH$2&lt;=$V38,WEEKDAY(AH$2,2)&lt;6),$Q38/$U38,"")</f>
        <v/>
      </c>
      <c r="AI38" s="59">
        <f>IF(AND($F38&lt;&gt;"",$V38&lt;&gt;"",AI$2&gt;=$F38,AI$2&lt;=$V38,WEEKDAY(AI$2,2)&lt;6),$Q38/$U38,"")</f>
        <v/>
      </c>
      <c r="AJ38" s="59">
        <f>IF(AND($F38&lt;&gt;"",$V38&lt;&gt;"",AJ$2&gt;=$F38,AJ$2&lt;=$V38,WEEKDAY(AJ$2,2)&lt;6),$Q38/$U38,"")</f>
        <v/>
      </c>
      <c r="AK38" s="59">
        <f>IF(AND($F38&lt;&gt;"",$V38&lt;&gt;"",AK$2&gt;=$F38,AK$2&lt;=$V38,WEEKDAY(AK$2,2)&lt;6),$Q38/$U38,"")</f>
        <v/>
      </c>
      <c r="AL38" s="59">
        <f>IF(AND($F38&lt;&gt;"",$V38&lt;&gt;"",AL$2&gt;=$F38,AL$2&lt;=$V38,WEEKDAY(AL$2,2)&lt;6),$Q38/$U38,"")</f>
        <v/>
      </c>
      <c r="AM38" s="59">
        <f>IF(AND($F38&lt;&gt;"",$V38&lt;&gt;"",AM$2&gt;=$F38,AM$2&lt;=$V38,WEEKDAY(AM$2,2)&lt;6),$Q38/$U38,"")</f>
        <v/>
      </c>
      <c r="AN38" s="59">
        <f>IF(AND($F38&lt;&gt;"",$V38&lt;&gt;"",AN$2&gt;=$F38,AN$2&lt;=$V38,WEEKDAY(AN$2,2)&lt;6),$Q38/$U38,"")</f>
        <v/>
      </c>
      <c r="AO38" s="59">
        <f>IF(AND($F38&lt;&gt;"",$V38&lt;&gt;"",AO$2&gt;=$F38,AO$2&lt;=$V38,WEEKDAY(AO$2,2)&lt;6),$Q38/$U38,"")</f>
        <v/>
      </c>
      <c r="AP38" s="59">
        <f>IF(AND($F38&lt;&gt;"",$V38&lt;&gt;"",AP$2&gt;=$F38,AP$2&lt;=$V38,WEEKDAY(AP$2,2)&lt;6),$Q38/$U38,"")</f>
        <v/>
      </c>
      <c r="AQ38" s="59">
        <f>IF(AND($F38&lt;&gt;"",$V38&lt;&gt;"",AQ$2&gt;=$F38,AQ$2&lt;=$V38,WEEKDAY(AQ$2,2)&lt;6),$Q38/$U38,"")</f>
        <v/>
      </c>
      <c r="AR38" s="59">
        <f>IF(AND($F38&lt;&gt;"",$V38&lt;&gt;"",AR$2&gt;=$F38,AR$2&lt;=$V38,WEEKDAY(AR$2,2)&lt;6),$Q38/$U38,"")</f>
        <v/>
      </c>
      <c r="AS38" s="59">
        <f>IF(AND($F38&lt;&gt;"",$V38&lt;&gt;"",AS$2&gt;=$F38,AS$2&lt;=$V38,WEEKDAY(AS$2,2)&lt;6),$Q38/$U38,"")</f>
        <v/>
      </c>
      <c r="AT38" s="59">
        <f>IF(AND($F38&lt;&gt;"",$V38&lt;&gt;"",AT$2&gt;=$F38,AT$2&lt;=$V38,WEEKDAY(AT$2,2)&lt;6),$Q38/$U38,"")</f>
        <v/>
      </c>
      <c r="AU38" s="59">
        <f>IF(AND($F38&lt;&gt;"",$V38&lt;&gt;"",AU$2&gt;=$F38,AU$2&lt;=$V38,WEEKDAY(AU$2,2)&lt;6),$Q38/$U38,"")</f>
        <v/>
      </c>
      <c r="AV38" s="59">
        <f>IF(AND($F38&lt;&gt;"",$V38&lt;&gt;"",AV$2&gt;=$F38,AV$2&lt;=$V38,WEEKDAY(AV$2,2)&lt;6),$Q38/$U38,"")</f>
        <v/>
      </c>
      <c r="AW38" s="59">
        <f>IF(AND($F38&lt;&gt;"",$V38&lt;&gt;"",AW$2&gt;=$F38,AW$2&lt;=$V38,WEEKDAY(AW$2,2)&lt;6),$Q38/$U38,"")</f>
        <v/>
      </c>
      <c r="AX38" s="59">
        <f>IF(AND($F38&lt;&gt;"",$V38&lt;&gt;"",AX$2&gt;=$F38,AX$2&lt;=$V38,WEEKDAY(AX$2,2)&lt;6),$Q38/$U38,"")</f>
        <v/>
      </c>
      <c r="AY38" s="59">
        <f>IF(AND($F38&lt;&gt;"",$V38&lt;&gt;"",AY$2&gt;=$F38,AY$2&lt;=$V38,WEEKDAY(AY$2,2)&lt;6),$Q38/$U38,"")</f>
        <v/>
      </c>
      <c r="AZ38" s="59">
        <f>IF(AND($F38&lt;&gt;"",$V38&lt;&gt;"",AZ$2&gt;=$F38,AZ$2&lt;=$V38,WEEKDAY(AZ$2,2)&lt;6),$Q38/$U38,"")</f>
        <v/>
      </c>
      <c r="BA38" s="59">
        <f>IF(AND($F38&lt;&gt;"",$V38&lt;&gt;"",BA$2&gt;=$F38,BA$2&lt;=$V38,WEEKDAY(BA$2,2)&lt;6),$Q38/$U38,"")</f>
        <v/>
      </c>
      <c r="BB38" s="59">
        <f>IF(AND($F38&lt;&gt;"",$V38&lt;&gt;"",BB$2&gt;=$F38,BB$2&lt;=$V38,WEEKDAY(BB$2,2)&lt;6),$Q38/$U38,"")</f>
        <v/>
      </c>
      <c r="BC38" s="59">
        <f>IF(AND($F38&lt;&gt;"",$V38&lt;&gt;"",BC$2&gt;=$F38,BC$2&lt;=$V38,WEEKDAY(BC$2,2)&lt;6),$Q38/$U38,"")</f>
        <v/>
      </c>
      <c r="BD38" s="59">
        <f>IF(AND($F38&lt;&gt;"",$V38&lt;&gt;"",BD$2&gt;=$F38,BD$2&lt;=$V38,WEEKDAY(BD$2,2)&lt;6),$Q38/$U38,"")</f>
        <v/>
      </c>
    </row>
    <row r="39">
      <c r="A39" s="34">
        <f>IF(E39="","",COUNTA($E$8:E39))</f>
        <v/>
      </c>
      <c r="B39" s="52" t="n"/>
      <c r="C39" s="53" t="n"/>
      <c r="D39" s="53" t="n"/>
      <c r="E39" s="52" t="n"/>
      <c r="F39" s="54" t="n"/>
      <c r="G39" s="54" t="n"/>
      <c r="H39" s="53" t="n"/>
      <c r="I39" s="53" t="n"/>
      <c r="J39" s="53" t="n"/>
      <c r="K39" s="52" t="n"/>
      <c r="L39" s="55" t="n"/>
      <c r="M39" s="52" t="n"/>
      <c r="N39" s="55" t="n"/>
      <c r="O39" s="52" t="n"/>
      <c r="P39" s="55" t="n"/>
      <c r="Q39" s="56">
        <f>IF(SUM(L39,N39,P39)=0,"",SUM(L39,N39,P39))</f>
        <v/>
      </c>
      <c r="R39" s="57">
        <f>IF(L39&gt;0,"영 ","")&amp;IF(N39&gt;0,"이 ","")&amp;IF(P39&gt;0,"기 ","")</f>
        <v/>
      </c>
      <c r="S39" s="34">
        <f>IF(F39="","","W"&amp;ROUNDUP(DAY(F39)/7,0))</f>
        <v/>
      </c>
      <c r="T39" s="53" t="n"/>
      <c r="U39" s="34">
        <f>IF(Q39="",0,ROUNDUP(MAX(L39,N39,P39)/'마스터'!$J$5,0))</f>
        <v/>
      </c>
      <c r="V39" s="58">
        <f>IF(OR(F39="",U39=0),"",WORKDAY(F39,U39-1))</f>
        <v/>
      </c>
      <c r="W39" s="57">
        <f>IF(OR(G39="",V39=""),"",G39-V39)</f>
        <v/>
      </c>
      <c r="X39" s="52" t="n"/>
      <c r="Z39" s="59">
        <f>IF(AND($F39&lt;&gt;"",$V39&lt;&gt;"",Z$2&gt;=$F39,Z$2&lt;=$V39,WEEKDAY(Z$2,2)&lt;6),$Q39/$U39,"")</f>
        <v/>
      </c>
      <c r="AA39" s="59">
        <f>IF(AND($F39&lt;&gt;"",$V39&lt;&gt;"",AA$2&gt;=$F39,AA$2&lt;=$V39,WEEKDAY(AA$2,2)&lt;6),$Q39/$U39,"")</f>
        <v/>
      </c>
      <c r="AB39" s="59">
        <f>IF(AND($F39&lt;&gt;"",$V39&lt;&gt;"",AB$2&gt;=$F39,AB$2&lt;=$V39,WEEKDAY(AB$2,2)&lt;6),$Q39/$U39,"")</f>
        <v/>
      </c>
      <c r="AC39" s="59">
        <f>IF(AND($F39&lt;&gt;"",$V39&lt;&gt;"",AC$2&gt;=$F39,AC$2&lt;=$V39,WEEKDAY(AC$2,2)&lt;6),$Q39/$U39,"")</f>
        <v/>
      </c>
      <c r="AD39" s="59">
        <f>IF(AND($F39&lt;&gt;"",$V39&lt;&gt;"",AD$2&gt;=$F39,AD$2&lt;=$V39,WEEKDAY(AD$2,2)&lt;6),$Q39/$U39,"")</f>
        <v/>
      </c>
      <c r="AE39" s="59">
        <f>IF(AND($F39&lt;&gt;"",$V39&lt;&gt;"",AE$2&gt;=$F39,AE$2&lt;=$V39,WEEKDAY(AE$2,2)&lt;6),$Q39/$U39,"")</f>
        <v/>
      </c>
      <c r="AF39" s="59">
        <f>IF(AND($F39&lt;&gt;"",$V39&lt;&gt;"",AF$2&gt;=$F39,AF$2&lt;=$V39,WEEKDAY(AF$2,2)&lt;6),$Q39/$U39,"")</f>
        <v/>
      </c>
      <c r="AG39" s="59">
        <f>IF(AND($F39&lt;&gt;"",$V39&lt;&gt;"",AG$2&gt;=$F39,AG$2&lt;=$V39,WEEKDAY(AG$2,2)&lt;6),$Q39/$U39,"")</f>
        <v/>
      </c>
      <c r="AH39" s="59">
        <f>IF(AND($F39&lt;&gt;"",$V39&lt;&gt;"",AH$2&gt;=$F39,AH$2&lt;=$V39,WEEKDAY(AH$2,2)&lt;6),$Q39/$U39,"")</f>
        <v/>
      </c>
      <c r="AI39" s="59">
        <f>IF(AND($F39&lt;&gt;"",$V39&lt;&gt;"",AI$2&gt;=$F39,AI$2&lt;=$V39,WEEKDAY(AI$2,2)&lt;6),$Q39/$U39,"")</f>
        <v/>
      </c>
      <c r="AJ39" s="59">
        <f>IF(AND($F39&lt;&gt;"",$V39&lt;&gt;"",AJ$2&gt;=$F39,AJ$2&lt;=$V39,WEEKDAY(AJ$2,2)&lt;6),$Q39/$U39,"")</f>
        <v/>
      </c>
      <c r="AK39" s="59">
        <f>IF(AND($F39&lt;&gt;"",$V39&lt;&gt;"",AK$2&gt;=$F39,AK$2&lt;=$V39,WEEKDAY(AK$2,2)&lt;6),$Q39/$U39,"")</f>
        <v/>
      </c>
      <c r="AL39" s="59">
        <f>IF(AND($F39&lt;&gt;"",$V39&lt;&gt;"",AL$2&gt;=$F39,AL$2&lt;=$V39,WEEKDAY(AL$2,2)&lt;6),$Q39/$U39,"")</f>
        <v/>
      </c>
      <c r="AM39" s="59">
        <f>IF(AND($F39&lt;&gt;"",$V39&lt;&gt;"",AM$2&gt;=$F39,AM$2&lt;=$V39,WEEKDAY(AM$2,2)&lt;6),$Q39/$U39,"")</f>
        <v/>
      </c>
      <c r="AN39" s="59">
        <f>IF(AND($F39&lt;&gt;"",$V39&lt;&gt;"",AN$2&gt;=$F39,AN$2&lt;=$V39,WEEKDAY(AN$2,2)&lt;6),$Q39/$U39,"")</f>
        <v/>
      </c>
      <c r="AO39" s="59">
        <f>IF(AND($F39&lt;&gt;"",$V39&lt;&gt;"",AO$2&gt;=$F39,AO$2&lt;=$V39,WEEKDAY(AO$2,2)&lt;6),$Q39/$U39,"")</f>
        <v/>
      </c>
      <c r="AP39" s="59">
        <f>IF(AND($F39&lt;&gt;"",$V39&lt;&gt;"",AP$2&gt;=$F39,AP$2&lt;=$V39,WEEKDAY(AP$2,2)&lt;6),$Q39/$U39,"")</f>
        <v/>
      </c>
      <c r="AQ39" s="59">
        <f>IF(AND($F39&lt;&gt;"",$V39&lt;&gt;"",AQ$2&gt;=$F39,AQ$2&lt;=$V39,WEEKDAY(AQ$2,2)&lt;6),$Q39/$U39,"")</f>
        <v/>
      </c>
      <c r="AR39" s="59">
        <f>IF(AND($F39&lt;&gt;"",$V39&lt;&gt;"",AR$2&gt;=$F39,AR$2&lt;=$V39,WEEKDAY(AR$2,2)&lt;6),$Q39/$U39,"")</f>
        <v/>
      </c>
      <c r="AS39" s="59">
        <f>IF(AND($F39&lt;&gt;"",$V39&lt;&gt;"",AS$2&gt;=$F39,AS$2&lt;=$V39,WEEKDAY(AS$2,2)&lt;6),$Q39/$U39,"")</f>
        <v/>
      </c>
      <c r="AT39" s="59">
        <f>IF(AND($F39&lt;&gt;"",$V39&lt;&gt;"",AT$2&gt;=$F39,AT$2&lt;=$V39,WEEKDAY(AT$2,2)&lt;6),$Q39/$U39,"")</f>
        <v/>
      </c>
      <c r="AU39" s="59">
        <f>IF(AND($F39&lt;&gt;"",$V39&lt;&gt;"",AU$2&gt;=$F39,AU$2&lt;=$V39,WEEKDAY(AU$2,2)&lt;6),$Q39/$U39,"")</f>
        <v/>
      </c>
      <c r="AV39" s="59">
        <f>IF(AND($F39&lt;&gt;"",$V39&lt;&gt;"",AV$2&gt;=$F39,AV$2&lt;=$V39,WEEKDAY(AV$2,2)&lt;6),$Q39/$U39,"")</f>
        <v/>
      </c>
      <c r="AW39" s="59">
        <f>IF(AND($F39&lt;&gt;"",$V39&lt;&gt;"",AW$2&gt;=$F39,AW$2&lt;=$V39,WEEKDAY(AW$2,2)&lt;6),$Q39/$U39,"")</f>
        <v/>
      </c>
      <c r="AX39" s="59">
        <f>IF(AND($F39&lt;&gt;"",$V39&lt;&gt;"",AX$2&gt;=$F39,AX$2&lt;=$V39,WEEKDAY(AX$2,2)&lt;6),$Q39/$U39,"")</f>
        <v/>
      </c>
      <c r="AY39" s="59">
        <f>IF(AND($F39&lt;&gt;"",$V39&lt;&gt;"",AY$2&gt;=$F39,AY$2&lt;=$V39,WEEKDAY(AY$2,2)&lt;6),$Q39/$U39,"")</f>
        <v/>
      </c>
      <c r="AZ39" s="59">
        <f>IF(AND($F39&lt;&gt;"",$V39&lt;&gt;"",AZ$2&gt;=$F39,AZ$2&lt;=$V39,WEEKDAY(AZ$2,2)&lt;6),$Q39/$U39,"")</f>
        <v/>
      </c>
      <c r="BA39" s="59">
        <f>IF(AND($F39&lt;&gt;"",$V39&lt;&gt;"",BA$2&gt;=$F39,BA$2&lt;=$V39,WEEKDAY(BA$2,2)&lt;6),$Q39/$U39,"")</f>
        <v/>
      </c>
      <c r="BB39" s="59">
        <f>IF(AND($F39&lt;&gt;"",$V39&lt;&gt;"",BB$2&gt;=$F39,BB$2&lt;=$V39,WEEKDAY(BB$2,2)&lt;6),$Q39/$U39,"")</f>
        <v/>
      </c>
      <c r="BC39" s="59">
        <f>IF(AND($F39&lt;&gt;"",$V39&lt;&gt;"",BC$2&gt;=$F39,BC$2&lt;=$V39,WEEKDAY(BC$2,2)&lt;6),$Q39/$U39,"")</f>
        <v/>
      </c>
      <c r="BD39" s="59">
        <f>IF(AND($F39&lt;&gt;"",$V39&lt;&gt;"",BD$2&gt;=$F39,BD$2&lt;=$V39,WEEKDAY(BD$2,2)&lt;6),$Q39/$U39,"")</f>
        <v/>
      </c>
    </row>
    <row r="40">
      <c r="A40" s="34">
        <f>IF(E40="","",COUNTA($E$8:E40))</f>
        <v/>
      </c>
      <c r="B40" s="52" t="n"/>
      <c r="C40" s="53" t="n"/>
      <c r="D40" s="53" t="n"/>
      <c r="E40" s="52" t="n"/>
      <c r="F40" s="54" t="n"/>
      <c r="G40" s="54" t="n"/>
      <c r="H40" s="53" t="n"/>
      <c r="I40" s="53" t="n"/>
      <c r="J40" s="53" t="n"/>
      <c r="K40" s="52" t="n"/>
      <c r="L40" s="55" t="n"/>
      <c r="M40" s="52" t="n"/>
      <c r="N40" s="55" t="n"/>
      <c r="O40" s="52" t="n"/>
      <c r="P40" s="55" t="n"/>
      <c r="Q40" s="56">
        <f>IF(SUM(L40,N40,P40)=0,"",SUM(L40,N40,P40))</f>
        <v/>
      </c>
      <c r="R40" s="57">
        <f>IF(L40&gt;0,"영 ","")&amp;IF(N40&gt;0,"이 ","")&amp;IF(P40&gt;0,"기 ","")</f>
        <v/>
      </c>
      <c r="S40" s="34">
        <f>IF(F40="","","W"&amp;ROUNDUP(DAY(F40)/7,0))</f>
        <v/>
      </c>
      <c r="T40" s="53" t="n"/>
      <c r="U40" s="34">
        <f>IF(Q40="",0,ROUNDUP(MAX(L40,N40,P40)/'마스터'!$J$5,0))</f>
        <v/>
      </c>
      <c r="V40" s="58">
        <f>IF(OR(F40="",U40=0),"",WORKDAY(F40,U40-1))</f>
        <v/>
      </c>
      <c r="W40" s="57">
        <f>IF(OR(G40="",V40=""),"",G40-V40)</f>
        <v/>
      </c>
      <c r="X40" s="52" t="n"/>
      <c r="Z40" s="59">
        <f>IF(AND($F40&lt;&gt;"",$V40&lt;&gt;"",Z$2&gt;=$F40,Z$2&lt;=$V40,WEEKDAY(Z$2,2)&lt;6),$Q40/$U40,"")</f>
        <v/>
      </c>
      <c r="AA40" s="59">
        <f>IF(AND($F40&lt;&gt;"",$V40&lt;&gt;"",AA$2&gt;=$F40,AA$2&lt;=$V40,WEEKDAY(AA$2,2)&lt;6),$Q40/$U40,"")</f>
        <v/>
      </c>
      <c r="AB40" s="59">
        <f>IF(AND($F40&lt;&gt;"",$V40&lt;&gt;"",AB$2&gt;=$F40,AB$2&lt;=$V40,WEEKDAY(AB$2,2)&lt;6),$Q40/$U40,"")</f>
        <v/>
      </c>
      <c r="AC40" s="59">
        <f>IF(AND($F40&lt;&gt;"",$V40&lt;&gt;"",AC$2&gt;=$F40,AC$2&lt;=$V40,WEEKDAY(AC$2,2)&lt;6),$Q40/$U40,"")</f>
        <v/>
      </c>
      <c r="AD40" s="59">
        <f>IF(AND($F40&lt;&gt;"",$V40&lt;&gt;"",AD$2&gt;=$F40,AD$2&lt;=$V40,WEEKDAY(AD$2,2)&lt;6),$Q40/$U40,"")</f>
        <v/>
      </c>
      <c r="AE40" s="59">
        <f>IF(AND($F40&lt;&gt;"",$V40&lt;&gt;"",AE$2&gt;=$F40,AE$2&lt;=$V40,WEEKDAY(AE$2,2)&lt;6),$Q40/$U40,"")</f>
        <v/>
      </c>
      <c r="AF40" s="59">
        <f>IF(AND($F40&lt;&gt;"",$V40&lt;&gt;"",AF$2&gt;=$F40,AF$2&lt;=$V40,WEEKDAY(AF$2,2)&lt;6),$Q40/$U40,"")</f>
        <v/>
      </c>
      <c r="AG40" s="59">
        <f>IF(AND($F40&lt;&gt;"",$V40&lt;&gt;"",AG$2&gt;=$F40,AG$2&lt;=$V40,WEEKDAY(AG$2,2)&lt;6),$Q40/$U40,"")</f>
        <v/>
      </c>
      <c r="AH40" s="59">
        <f>IF(AND($F40&lt;&gt;"",$V40&lt;&gt;"",AH$2&gt;=$F40,AH$2&lt;=$V40,WEEKDAY(AH$2,2)&lt;6),$Q40/$U40,"")</f>
        <v/>
      </c>
      <c r="AI40" s="59">
        <f>IF(AND($F40&lt;&gt;"",$V40&lt;&gt;"",AI$2&gt;=$F40,AI$2&lt;=$V40,WEEKDAY(AI$2,2)&lt;6),$Q40/$U40,"")</f>
        <v/>
      </c>
      <c r="AJ40" s="59">
        <f>IF(AND($F40&lt;&gt;"",$V40&lt;&gt;"",AJ$2&gt;=$F40,AJ$2&lt;=$V40,WEEKDAY(AJ$2,2)&lt;6),$Q40/$U40,"")</f>
        <v/>
      </c>
      <c r="AK40" s="59">
        <f>IF(AND($F40&lt;&gt;"",$V40&lt;&gt;"",AK$2&gt;=$F40,AK$2&lt;=$V40,WEEKDAY(AK$2,2)&lt;6),$Q40/$U40,"")</f>
        <v/>
      </c>
      <c r="AL40" s="59">
        <f>IF(AND($F40&lt;&gt;"",$V40&lt;&gt;"",AL$2&gt;=$F40,AL$2&lt;=$V40,WEEKDAY(AL$2,2)&lt;6),$Q40/$U40,"")</f>
        <v/>
      </c>
      <c r="AM40" s="59">
        <f>IF(AND($F40&lt;&gt;"",$V40&lt;&gt;"",AM$2&gt;=$F40,AM$2&lt;=$V40,WEEKDAY(AM$2,2)&lt;6),$Q40/$U40,"")</f>
        <v/>
      </c>
      <c r="AN40" s="59">
        <f>IF(AND($F40&lt;&gt;"",$V40&lt;&gt;"",AN$2&gt;=$F40,AN$2&lt;=$V40,WEEKDAY(AN$2,2)&lt;6),$Q40/$U40,"")</f>
        <v/>
      </c>
      <c r="AO40" s="59">
        <f>IF(AND($F40&lt;&gt;"",$V40&lt;&gt;"",AO$2&gt;=$F40,AO$2&lt;=$V40,WEEKDAY(AO$2,2)&lt;6),$Q40/$U40,"")</f>
        <v/>
      </c>
      <c r="AP40" s="59">
        <f>IF(AND($F40&lt;&gt;"",$V40&lt;&gt;"",AP$2&gt;=$F40,AP$2&lt;=$V40,WEEKDAY(AP$2,2)&lt;6),$Q40/$U40,"")</f>
        <v/>
      </c>
      <c r="AQ40" s="59">
        <f>IF(AND($F40&lt;&gt;"",$V40&lt;&gt;"",AQ$2&gt;=$F40,AQ$2&lt;=$V40,WEEKDAY(AQ$2,2)&lt;6),$Q40/$U40,"")</f>
        <v/>
      </c>
      <c r="AR40" s="59">
        <f>IF(AND($F40&lt;&gt;"",$V40&lt;&gt;"",AR$2&gt;=$F40,AR$2&lt;=$V40,WEEKDAY(AR$2,2)&lt;6),$Q40/$U40,"")</f>
        <v/>
      </c>
      <c r="AS40" s="59">
        <f>IF(AND($F40&lt;&gt;"",$V40&lt;&gt;"",AS$2&gt;=$F40,AS$2&lt;=$V40,WEEKDAY(AS$2,2)&lt;6),$Q40/$U40,"")</f>
        <v/>
      </c>
      <c r="AT40" s="59">
        <f>IF(AND($F40&lt;&gt;"",$V40&lt;&gt;"",AT$2&gt;=$F40,AT$2&lt;=$V40,WEEKDAY(AT$2,2)&lt;6),$Q40/$U40,"")</f>
        <v/>
      </c>
      <c r="AU40" s="59">
        <f>IF(AND($F40&lt;&gt;"",$V40&lt;&gt;"",AU$2&gt;=$F40,AU$2&lt;=$V40,WEEKDAY(AU$2,2)&lt;6),$Q40/$U40,"")</f>
        <v/>
      </c>
      <c r="AV40" s="59">
        <f>IF(AND($F40&lt;&gt;"",$V40&lt;&gt;"",AV$2&gt;=$F40,AV$2&lt;=$V40,WEEKDAY(AV$2,2)&lt;6),$Q40/$U40,"")</f>
        <v/>
      </c>
      <c r="AW40" s="59">
        <f>IF(AND($F40&lt;&gt;"",$V40&lt;&gt;"",AW$2&gt;=$F40,AW$2&lt;=$V40,WEEKDAY(AW$2,2)&lt;6),$Q40/$U40,"")</f>
        <v/>
      </c>
      <c r="AX40" s="59">
        <f>IF(AND($F40&lt;&gt;"",$V40&lt;&gt;"",AX$2&gt;=$F40,AX$2&lt;=$V40,WEEKDAY(AX$2,2)&lt;6),$Q40/$U40,"")</f>
        <v/>
      </c>
      <c r="AY40" s="59">
        <f>IF(AND($F40&lt;&gt;"",$V40&lt;&gt;"",AY$2&gt;=$F40,AY$2&lt;=$V40,WEEKDAY(AY$2,2)&lt;6),$Q40/$U40,"")</f>
        <v/>
      </c>
      <c r="AZ40" s="59">
        <f>IF(AND($F40&lt;&gt;"",$V40&lt;&gt;"",AZ$2&gt;=$F40,AZ$2&lt;=$V40,WEEKDAY(AZ$2,2)&lt;6),$Q40/$U40,"")</f>
        <v/>
      </c>
      <c r="BA40" s="59">
        <f>IF(AND($F40&lt;&gt;"",$V40&lt;&gt;"",BA$2&gt;=$F40,BA$2&lt;=$V40,WEEKDAY(BA$2,2)&lt;6),$Q40/$U40,"")</f>
        <v/>
      </c>
      <c r="BB40" s="59">
        <f>IF(AND($F40&lt;&gt;"",$V40&lt;&gt;"",BB$2&gt;=$F40,BB$2&lt;=$V40,WEEKDAY(BB$2,2)&lt;6),$Q40/$U40,"")</f>
        <v/>
      </c>
      <c r="BC40" s="59">
        <f>IF(AND($F40&lt;&gt;"",$V40&lt;&gt;"",BC$2&gt;=$F40,BC$2&lt;=$V40,WEEKDAY(BC$2,2)&lt;6),$Q40/$U40,"")</f>
        <v/>
      </c>
      <c r="BD40" s="59">
        <f>IF(AND($F40&lt;&gt;"",$V40&lt;&gt;"",BD$2&gt;=$F40,BD$2&lt;=$V40,WEEKDAY(BD$2,2)&lt;6),$Q40/$U40,"")</f>
        <v/>
      </c>
    </row>
    <row r="41">
      <c r="A41" s="34">
        <f>IF(E41="","",COUNTA($E$8:E41))</f>
        <v/>
      </c>
      <c r="B41" s="52" t="n"/>
      <c r="C41" s="53" t="n"/>
      <c r="D41" s="53" t="n"/>
      <c r="E41" s="52" t="n"/>
      <c r="F41" s="54" t="n"/>
      <c r="G41" s="54" t="n"/>
      <c r="H41" s="53" t="n"/>
      <c r="I41" s="53" t="n"/>
      <c r="J41" s="53" t="n"/>
      <c r="K41" s="52" t="n"/>
      <c r="L41" s="55" t="n"/>
      <c r="M41" s="52" t="n"/>
      <c r="N41" s="55" t="n"/>
      <c r="O41" s="52" t="n"/>
      <c r="P41" s="55" t="n"/>
      <c r="Q41" s="56">
        <f>IF(SUM(L41,N41,P41)=0,"",SUM(L41,N41,P41))</f>
        <v/>
      </c>
      <c r="R41" s="57">
        <f>IF(L41&gt;0,"영 ","")&amp;IF(N41&gt;0,"이 ","")&amp;IF(P41&gt;0,"기 ","")</f>
        <v/>
      </c>
      <c r="S41" s="34">
        <f>IF(F41="","","W"&amp;ROUNDUP(DAY(F41)/7,0))</f>
        <v/>
      </c>
      <c r="T41" s="53" t="n"/>
      <c r="U41" s="34">
        <f>IF(Q41="",0,ROUNDUP(MAX(L41,N41,P41)/'마스터'!$J$5,0))</f>
        <v/>
      </c>
      <c r="V41" s="58">
        <f>IF(OR(F41="",U41=0),"",WORKDAY(F41,U41-1))</f>
        <v/>
      </c>
      <c r="W41" s="57">
        <f>IF(OR(G41="",V41=""),"",G41-V41)</f>
        <v/>
      </c>
      <c r="X41" s="52" t="n"/>
      <c r="Z41" s="59">
        <f>IF(AND($F41&lt;&gt;"",$V41&lt;&gt;"",Z$2&gt;=$F41,Z$2&lt;=$V41,WEEKDAY(Z$2,2)&lt;6),$Q41/$U41,"")</f>
        <v/>
      </c>
      <c r="AA41" s="59">
        <f>IF(AND($F41&lt;&gt;"",$V41&lt;&gt;"",AA$2&gt;=$F41,AA$2&lt;=$V41,WEEKDAY(AA$2,2)&lt;6),$Q41/$U41,"")</f>
        <v/>
      </c>
      <c r="AB41" s="59">
        <f>IF(AND($F41&lt;&gt;"",$V41&lt;&gt;"",AB$2&gt;=$F41,AB$2&lt;=$V41,WEEKDAY(AB$2,2)&lt;6),$Q41/$U41,"")</f>
        <v/>
      </c>
      <c r="AC41" s="59">
        <f>IF(AND($F41&lt;&gt;"",$V41&lt;&gt;"",AC$2&gt;=$F41,AC$2&lt;=$V41,WEEKDAY(AC$2,2)&lt;6),$Q41/$U41,"")</f>
        <v/>
      </c>
      <c r="AD41" s="59">
        <f>IF(AND($F41&lt;&gt;"",$V41&lt;&gt;"",AD$2&gt;=$F41,AD$2&lt;=$V41,WEEKDAY(AD$2,2)&lt;6),$Q41/$U41,"")</f>
        <v/>
      </c>
      <c r="AE41" s="59">
        <f>IF(AND($F41&lt;&gt;"",$V41&lt;&gt;"",AE$2&gt;=$F41,AE$2&lt;=$V41,WEEKDAY(AE$2,2)&lt;6),$Q41/$U41,"")</f>
        <v/>
      </c>
      <c r="AF41" s="59">
        <f>IF(AND($F41&lt;&gt;"",$V41&lt;&gt;"",AF$2&gt;=$F41,AF$2&lt;=$V41,WEEKDAY(AF$2,2)&lt;6),$Q41/$U41,"")</f>
        <v/>
      </c>
      <c r="AG41" s="59">
        <f>IF(AND($F41&lt;&gt;"",$V41&lt;&gt;"",AG$2&gt;=$F41,AG$2&lt;=$V41,WEEKDAY(AG$2,2)&lt;6),$Q41/$U41,"")</f>
        <v/>
      </c>
      <c r="AH41" s="59">
        <f>IF(AND($F41&lt;&gt;"",$V41&lt;&gt;"",AH$2&gt;=$F41,AH$2&lt;=$V41,WEEKDAY(AH$2,2)&lt;6),$Q41/$U41,"")</f>
        <v/>
      </c>
      <c r="AI41" s="59">
        <f>IF(AND($F41&lt;&gt;"",$V41&lt;&gt;"",AI$2&gt;=$F41,AI$2&lt;=$V41,WEEKDAY(AI$2,2)&lt;6),$Q41/$U41,"")</f>
        <v/>
      </c>
      <c r="AJ41" s="59">
        <f>IF(AND($F41&lt;&gt;"",$V41&lt;&gt;"",AJ$2&gt;=$F41,AJ$2&lt;=$V41,WEEKDAY(AJ$2,2)&lt;6),$Q41/$U41,"")</f>
        <v/>
      </c>
      <c r="AK41" s="59">
        <f>IF(AND($F41&lt;&gt;"",$V41&lt;&gt;"",AK$2&gt;=$F41,AK$2&lt;=$V41,WEEKDAY(AK$2,2)&lt;6),$Q41/$U41,"")</f>
        <v/>
      </c>
      <c r="AL41" s="59">
        <f>IF(AND($F41&lt;&gt;"",$V41&lt;&gt;"",AL$2&gt;=$F41,AL$2&lt;=$V41,WEEKDAY(AL$2,2)&lt;6),$Q41/$U41,"")</f>
        <v/>
      </c>
      <c r="AM41" s="59">
        <f>IF(AND($F41&lt;&gt;"",$V41&lt;&gt;"",AM$2&gt;=$F41,AM$2&lt;=$V41,WEEKDAY(AM$2,2)&lt;6),$Q41/$U41,"")</f>
        <v/>
      </c>
      <c r="AN41" s="59">
        <f>IF(AND($F41&lt;&gt;"",$V41&lt;&gt;"",AN$2&gt;=$F41,AN$2&lt;=$V41,WEEKDAY(AN$2,2)&lt;6),$Q41/$U41,"")</f>
        <v/>
      </c>
      <c r="AO41" s="59">
        <f>IF(AND($F41&lt;&gt;"",$V41&lt;&gt;"",AO$2&gt;=$F41,AO$2&lt;=$V41,WEEKDAY(AO$2,2)&lt;6),$Q41/$U41,"")</f>
        <v/>
      </c>
      <c r="AP41" s="59">
        <f>IF(AND($F41&lt;&gt;"",$V41&lt;&gt;"",AP$2&gt;=$F41,AP$2&lt;=$V41,WEEKDAY(AP$2,2)&lt;6),$Q41/$U41,"")</f>
        <v/>
      </c>
      <c r="AQ41" s="59">
        <f>IF(AND($F41&lt;&gt;"",$V41&lt;&gt;"",AQ$2&gt;=$F41,AQ$2&lt;=$V41,WEEKDAY(AQ$2,2)&lt;6),$Q41/$U41,"")</f>
        <v/>
      </c>
      <c r="AR41" s="59">
        <f>IF(AND($F41&lt;&gt;"",$V41&lt;&gt;"",AR$2&gt;=$F41,AR$2&lt;=$V41,WEEKDAY(AR$2,2)&lt;6),$Q41/$U41,"")</f>
        <v/>
      </c>
      <c r="AS41" s="59">
        <f>IF(AND($F41&lt;&gt;"",$V41&lt;&gt;"",AS$2&gt;=$F41,AS$2&lt;=$V41,WEEKDAY(AS$2,2)&lt;6),$Q41/$U41,"")</f>
        <v/>
      </c>
      <c r="AT41" s="59">
        <f>IF(AND($F41&lt;&gt;"",$V41&lt;&gt;"",AT$2&gt;=$F41,AT$2&lt;=$V41,WEEKDAY(AT$2,2)&lt;6),$Q41/$U41,"")</f>
        <v/>
      </c>
      <c r="AU41" s="59">
        <f>IF(AND($F41&lt;&gt;"",$V41&lt;&gt;"",AU$2&gt;=$F41,AU$2&lt;=$V41,WEEKDAY(AU$2,2)&lt;6),$Q41/$U41,"")</f>
        <v/>
      </c>
      <c r="AV41" s="59">
        <f>IF(AND($F41&lt;&gt;"",$V41&lt;&gt;"",AV$2&gt;=$F41,AV$2&lt;=$V41,WEEKDAY(AV$2,2)&lt;6),$Q41/$U41,"")</f>
        <v/>
      </c>
      <c r="AW41" s="59">
        <f>IF(AND($F41&lt;&gt;"",$V41&lt;&gt;"",AW$2&gt;=$F41,AW$2&lt;=$V41,WEEKDAY(AW$2,2)&lt;6),$Q41/$U41,"")</f>
        <v/>
      </c>
      <c r="AX41" s="59">
        <f>IF(AND($F41&lt;&gt;"",$V41&lt;&gt;"",AX$2&gt;=$F41,AX$2&lt;=$V41,WEEKDAY(AX$2,2)&lt;6),$Q41/$U41,"")</f>
        <v/>
      </c>
      <c r="AY41" s="59">
        <f>IF(AND($F41&lt;&gt;"",$V41&lt;&gt;"",AY$2&gt;=$F41,AY$2&lt;=$V41,WEEKDAY(AY$2,2)&lt;6),$Q41/$U41,"")</f>
        <v/>
      </c>
      <c r="AZ41" s="59">
        <f>IF(AND($F41&lt;&gt;"",$V41&lt;&gt;"",AZ$2&gt;=$F41,AZ$2&lt;=$V41,WEEKDAY(AZ$2,2)&lt;6),$Q41/$U41,"")</f>
        <v/>
      </c>
      <c r="BA41" s="59">
        <f>IF(AND($F41&lt;&gt;"",$V41&lt;&gt;"",BA$2&gt;=$F41,BA$2&lt;=$V41,WEEKDAY(BA$2,2)&lt;6),$Q41/$U41,"")</f>
        <v/>
      </c>
      <c r="BB41" s="59">
        <f>IF(AND($F41&lt;&gt;"",$V41&lt;&gt;"",BB$2&gt;=$F41,BB$2&lt;=$V41,WEEKDAY(BB$2,2)&lt;6),$Q41/$U41,"")</f>
        <v/>
      </c>
      <c r="BC41" s="59">
        <f>IF(AND($F41&lt;&gt;"",$V41&lt;&gt;"",BC$2&gt;=$F41,BC$2&lt;=$V41,WEEKDAY(BC$2,2)&lt;6),$Q41/$U41,"")</f>
        <v/>
      </c>
      <c r="BD41" s="59">
        <f>IF(AND($F41&lt;&gt;"",$V41&lt;&gt;"",BD$2&gt;=$F41,BD$2&lt;=$V41,WEEKDAY(BD$2,2)&lt;6),$Q41/$U41,"")</f>
        <v/>
      </c>
    </row>
    <row r="42">
      <c r="A42" s="34">
        <f>IF(E42="","",COUNTA($E$8:E42))</f>
        <v/>
      </c>
      <c r="B42" s="52" t="n"/>
      <c r="C42" s="53" t="n"/>
      <c r="D42" s="53" t="n"/>
      <c r="E42" s="52" t="n"/>
      <c r="F42" s="54" t="n"/>
      <c r="G42" s="54" t="n"/>
      <c r="H42" s="53" t="n"/>
      <c r="I42" s="53" t="n"/>
      <c r="J42" s="53" t="n"/>
      <c r="K42" s="52" t="n"/>
      <c r="L42" s="55" t="n"/>
      <c r="M42" s="52" t="n"/>
      <c r="N42" s="55" t="n"/>
      <c r="O42" s="52" t="n"/>
      <c r="P42" s="55" t="n"/>
      <c r="Q42" s="56">
        <f>IF(SUM(L42,N42,P42)=0,"",SUM(L42,N42,P42))</f>
        <v/>
      </c>
      <c r="R42" s="57">
        <f>IF(L42&gt;0,"영 ","")&amp;IF(N42&gt;0,"이 ","")&amp;IF(P42&gt;0,"기 ","")</f>
        <v/>
      </c>
      <c r="S42" s="34">
        <f>IF(F42="","","W"&amp;ROUNDUP(DAY(F42)/7,0))</f>
        <v/>
      </c>
      <c r="T42" s="53" t="n"/>
      <c r="U42" s="34">
        <f>IF(Q42="",0,ROUNDUP(MAX(L42,N42,P42)/'마스터'!$J$5,0))</f>
        <v/>
      </c>
      <c r="V42" s="58">
        <f>IF(OR(F42="",U42=0),"",WORKDAY(F42,U42-1))</f>
        <v/>
      </c>
      <c r="W42" s="57">
        <f>IF(OR(G42="",V42=""),"",G42-V42)</f>
        <v/>
      </c>
      <c r="X42" s="52" t="n"/>
      <c r="Z42" s="59">
        <f>IF(AND($F42&lt;&gt;"",$V42&lt;&gt;"",Z$2&gt;=$F42,Z$2&lt;=$V42,WEEKDAY(Z$2,2)&lt;6),$Q42/$U42,"")</f>
        <v/>
      </c>
      <c r="AA42" s="59">
        <f>IF(AND($F42&lt;&gt;"",$V42&lt;&gt;"",AA$2&gt;=$F42,AA$2&lt;=$V42,WEEKDAY(AA$2,2)&lt;6),$Q42/$U42,"")</f>
        <v/>
      </c>
      <c r="AB42" s="59">
        <f>IF(AND($F42&lt;&gt;"",$V42&lt;&gt;"",AB$2&gt;=$F42,AB$2&lt;=$V42,WEEKDAY(AB$2,2)&lt;6),$Q42/$U42,"")</f>
        <v/>
      </c>
      <c r="AC42" s="59">
        <f>IF(AND($F42&lt;&gt;"",$V42&lt;&gt;"",AC$2&gt;=$F42,AC$2&lt;=$V42,WEEKDAY(AC$2,2)&lt;6),$Q42/$U42,"")</f>
        <v/>
      </c>
      <c r="AD42" s="59">
        <f>IF(AND($F42&lt;&gt;"",$V42&lt;&gt;"",AD$2&gt;=$F42,AD$2&lt;=$V42,WEEKDAY(AD$2,2)&lt;6),$Q42/$U42,"")</f>
        <v/>
      </c>
      <c r="AE42" s="59">
        <f>IF(AND($F42&lt;&gt;"",$V42&lt;&gt;"",AE$2&gt;=$F42,AE$2&lt;=$V42,WEEKDAY(AE$2,2)&lt;6),$Q42/$U42,"")</f>
        <v/>
      </c>
      <c r="AF42" s="59">
        <f>IF(AND($F42&lt;&gt;"",$V42&lt;&gt;"",AF$2&gt;=$F42,AF$2&lt;=$V42,WEEKDAY(AF$2,2)&lt;6),$Q42/$U42,"")</f>
        <v/>
      </c>
      <c r="AG42" s="59">
        <f>IF(AND($F42&lt;&gt;"",$V42&lt;&gt;"",AG$2&gt;=$F42,AG$2&lt;=$V42,WEEKDAY(AG$2,2)&lt;6),$Q42/$U42,"")</f>
        <v/>
      </c>
      <c r="AH42" s="59">
        <f>IF(AND($F42&lt;&gt;"",$V42&lt;&gt;"",AH$2&gt;=$F42,AH$2&lt;=$V42,WEEKDAY(AH$2,2)&lt;6),$Q42/$U42,"")</f>
        <v/>
      </c>
      <c r="AI42" s="59">
        <f>IF(AND($F42&lt;&gt;"",$V42&lt;&gt;"",AI$2&gt;=$F42,AI$2&lt;=$V42,WEEKDAY(AI$2,2)&lt;6),$Q42/$U42,"")</f>
        <v/>
      </c>
      <c r="AJ42" s="59">
        <f>IF(AND($F42&lt;&gt;"",$V42&lt;&gt;"",AJ$2&gt;=$F42,AJ$2&lt;=$V42,WEEKDAY(AJ$2,2)&lt;6),$Q42/$U42,"")</f>
        <v/>
      </c>
      <c r="AK42" s="59">
        <f>IF(AND($F42&lt;&gt;"",$V42&lt;&gt;"",AK$2&gt;=$F42,AK$2&lt;=$V42,WEEKDAY(AK$2,2)&lt;6),$Q42/$U42,"")</f>
        <v/>
      </c>
      <c r="AL42" s="59">
        <f>IF(AND($F42&lt;&gt;"",$V42&lt;&gt;"",AL$2&gt;=$F42,AL$2&lt;=$V42,WEEKDAY(AL$2,2)&lt;6),$Q42/$U42,"")</f>
        <v/>
      </c>
      <c r="AM42" s="59">
        <f>IF(AND($F42&lt;&gt;"",$V42&lt;&gt;"",AM$2&gt;=$F42,AM$2&lt;=$V42,WEEKDAY(AM$2,2)&lt;6),$Q42/$U42,"")</f>
        <v/>
      </c>
      <c r="AN42" s="59">
        <f>IF(AND($F42&lt;&gt;"",$V42&lt;&gt;"",AN$2&gt;=$F42,AN$2&lt;=$V42,WEEKDAY(AN$2,2)&lt;6),$Q42/$U42,"")</f>
        <v/>
      </c>
      <c r="AO42" s="59">
        <f>IF(AND($F42&lt;&gt;"",$V42&lt;&gt;"",AO$2&gt;=$F42,AO$2&lt;=$V42,WEEKDAY(AO$2,2)&lt;6),$Q42/$U42,"")</f>
        <v/>
      </c>
      <c r="AP42" s="59">
        <f>IF(AND($F42&lt;&gt;"",$V42&lt;&gt;"",AP$2&gt;=$F42,AP$2&lt;=$V42,WEEKDAY(AP$2,2)&lt;6),$Q42/$U42,"")</f>
        <v/>
      </c>
      <c r="AQ42" s="59">
        <f>IF(AND($F42&lt;&gt;"",$V42&lt;&gt;"",AQ$2&gt;=$F42,AQ$2&lt;=$V42,WEEKDAY(AQ$2,2)&lt;6),$Q42/$U42,"")</f>
        <v/>
      </c>
      <c r="AR42" s="59">
        <f>IF(AND($F42&lt;&gt;"",$V42&lt;&gt;"",AR$2&gt;=$F42,AR$2&lt;=$V42,WEEKDAY(AR$2,2)&lt;6),$Q42/$U42,"")</f>
        <v/>
      </c>
      <c r="AS42" s="59">
        <f>IF(AND($F42&lt;&gt;"",$V42&lt;&gt;"",AS$2&gt;=$F42,AS$2&lt;=$V42,WEEKDAY(AS$2,2)&lt;6),$Q42/$U42,"")</f>
        <v/>
      </c>
      <c r="AT42" s="59">
        <f>IF(AND($F42&lt;&gt;"",$V42&lt;&gt;"",AT$2&gt;=$F42,AT$2&lt;=$V42,WEEKDAY(AT$2,2)&lt;6),$Q42/$U42,"")</f>
        <v/>
      </c>
      <c r="AU42" s="59">
        <f>IF(AND($F42&lt;&gt;"",$V42&lt;&gt;"",AU$2&gt;=$F42,AU$2&lt;=$V42,WEEKDAY(AU$2,2)&lt;6),$Q42/$U42,"")</f>
        <v/>
      </c>
      <c r="AV42" s="59">
        <f>IF(AND($F42&lt;&gt;"",$V42&lt;&gt;"",AV$2&gt;=$F42,AV$2&lt;=$V42,WEEKDAY(AV$2,2)&lt;6),$Q42/$U42,"")</f>
        <v/>
      </c>
      <c r="AW42" s="59">
        <f>IF(AND($F42&lt;&gt;"",$V42&lt;&gt;"",AW$2&gt;=$F42,AW$2&lt;=$V42,WEEKDAY(AW$2,2)&lt;6),$Q42/$U42,"")</f>
        <v/>
      </c>
      <c r="AX42" s="59">
        <f>IF(AND($F42&lt;&gt;"",$V42&lt;&gt;"",AX$2&gt;=$F42,AX$2&lt;=$V42,WEEKDAY(AX$2,2)&lt;6),$Q42/$U42,"")</f>
        <v/>
      </c>
      <c r="AY42" s="59">
        <f>IF(AND($F42&lt;&gt;"",$V42&lt;&gt;"",AY$2&gt;=$F42,AY$2&lt;=$V42,WEEKDAY(AY$2,2)&lt;6),$Q42/$U42,"")</f>
        <v/>
      </c>
      <c r="AZ42" s="59">
        <f>IF(AND($F42&lt;&gt;"",$V42&lt;&gt;"",AZ$2&gt;=$F42,AZ$2&lt;=$V42,WEEKDAY(AZ$2,2)&lt;6),$Q42/$U42,"")</f>
        <v/>
      </c>
      <c r="BA42" s="59">
        <f>IF(AND($F42&lt;&gt;"",$V42&lt;&gt;"",BA$2&gt;=$F42,BA$2&lt;=$V42,WEEKDAY(BA$2,2)&lt;6),$Q42/$U42,"")</f>
        <v/>
      </c>
      <c r="BB42" s="59">
        <f>IF(AND($F42&lt;&gt;"",$V42&lt;&gt;"",BB$2&gt;=$F42,BB$2&lt;=$V42,WEEKDAY(BB$2,2)&lt;6),$Q42/$U42,"")</f>
        <v/>
      </c>
      <c r="BC42" s="59">
        <f>IF(AND($F42&lt;&gt;"",$V42&lt;&gt;"",BC$2&gt;=$F42,BC$2&lt;=$V42,WEEKDAY(BC$2,2)&lt;6),$Q42/$U42,"")</f>
        <v/>
      </c>
      <c r="BD42" s="59">
        <f>IF(AND($F42&lt;&gt;"",$V42&lt;&gt;"",BD$2&gt;=$F42,BD$2&lt;=$V42,WEEKDAY(BD$2,2)&lt;6),$Q42/$U42,"")</f>
        <v/>
      </c>
    </row>
    <row r="43">
      <c r="A43" s="34">
        <f>IF(E43="","",COUNTA($E$8:E43))</f>
        <v/>
      </c>
      <c r="B43" s="52" t="n"/>
      <c r="C43" s="53" t="n"/>
      <c r="D43" s="53" t="n"/>
      <c r="E43" s="52" t="n"/>
      <c r="F43" s="54" t="n"/>
      <c r="G43" s="54" t="n"/>
      <c r="H43" s="53" t="n"/>
      <c r="I43" s="53" t="n"/>
      <c r="J43" s="53" t="n"/>
      <c r="K43" s="52" t="n"/>
      <c r="L43" s="55" t="n"/>
      <c r="M43" s="52" t="n"/>
      <c r="N43" s="55" t="n"/>
      <c r="O43" s="52" t="n"/>
      <c r="P43" s="55" t="n"/>
      <c r="Q43" s="56">
        <f>IF(SUM(L43,N43,P43)=0,"",SUM(L43,N43,P43))</f>
        <v/>
      </c>
      <c r="R43" s="57">
        <f>IF(L43&gt;0,"영 ","")&amp;IF(N43&gt;0,"이 ","")&amp;IF(P43&gt;0,"기 ","")</f>
        <v/>
      </c>
      <c r="S43" s="34">
        <f>IF(F43="","","W"&amp;ROUNDUP(DAY(F43)/7,0))</f>
        <v/>
      </c>
      <c r="T43" s="53" t="n"/>
      <c r="U43" s="34">
        <f>IF(Q43="",0,ROUNDUP(MAX(L43,N43,P43)/'마스터'!$J$5,0))</f>
        <v/>
      </c>
      <c r="V43" s="58">
        <f>IF(OR(F43="",U43=0),"",WORKDAY(F43,U43-1))</f>
        <v/>
      </c>
      <c r="W43" s="57">
        <f>IF(OR(G43="",V43=""),"",G43-V43)</f>
        <v/>
      </c>
      <c r="X43" s="52" t="n"/>
      <c r="Z43" s="59">
        <f>IF(AND($F43&lt;&gt;"",$V43&lt;&gt;"",Z$2&gt;=$F43,Z$2&lt;=$V43,WEEKDAY(Z$2,2)&lt;6),$Q43/$U43,"")</f>
        <v/>
      </c>
      <c r="AA43" s="59">
        <f>IF(AND($F43&lt;&gt;"",$V43&lt;&gt;"",AA$2&gt;=$F43,AA$2&lt;=$V43,WEEKDAY(AA$2,2)&lt;6),$Q43/$U43,"")</f>
        <v/>
      </c>
      <c r="AB43" s="59">
        <f>IF(AND($F43&lt;&gt;"",$V43&lt;&gt;"",AB$2&gt;=$F43,AB$2&lt;=$V43,WEEKDAY(AB$2,2)&lt;6),$Q43/$U43,"")</f>
        <v/>
      </c>
      <c r="AC43" s="59">
        <f>IF(AND($F43&lt;&gt;"",$V43&lt;&gt;"",AC$2&gt;=$F43,AC$2&lt;=$V43,WEEKDAY(AC$2,2)&lt;6),$Q43/$U43,"")</f>
        <v/>
      </c>
      <c r="AD43" s="59">
        <f>IF(AND($F43&lt;&gt;"",$V43&lt;&gt;"",AD$2&gt;=$F43,AD$2&lt;=$V43,WEEKDAY(AD$2,2)&lt;6),$Q43/$U43,"")</f>
        <v/>
      </c>
      <c r="AE43" s="59">
        <f>IF(AND($F43&lt;&gt;"",$V43&lt;&gt;"",AE$2&gt;=$F43,AE$2&lt;=$V43,WEEKDAY(AE$2,2)&lt;6),$Q43/$U43,"")</f>
        <v/>
      </c>
      <c r="AF43" s="59">
        <f>IF(AND($F43&lt;&gt;"",$V43&lt;&gt;"",AF$2&gt;=$F43,AF$2&lt;=$V43,WEEKDAY(AF$2,2)&lt;6),$Q43/$U43,"")</f>
        <v/>
      </c>
      <c r="AG43" s="59">
        <f>IF(AND($F43&lt;&gt;"",$V43&lt;&gt;"",AG$2&gt;=$F43,AG$2&lt;=$V43,WEEKDAY(AG$2,2)&lt;6),$Q43/$U43,"")</f>
        <v/>
      </c>
      <c r="AH43" s="59">
        <f>IF(AND($F43&lt;&gt;"",$V43&lt;&gt;"",AH$2&gt;=$F43,AH$2&lt;=$V43,WEEKDAY(AH$2,2)&lt;6),$Q43/$U43,"")</f>
        <v/>
      </c>
      <c r="AI43" s="59">
        <f>IF(AND($F43&lt;&gt;"",$V43&lt;&gt;"",AI$2&gt;=$F43,AI$2&lt;=$V43,WEEKDAY(AI$2,2)&lt;6),$Q43/$U43,"")</f>
        <v/>
      </c>
      <c r="AJ43" s="59">
        <f>IF(AND($F43&lt;&gt;"",$V43&lt;&gt;"",AJ$2&gt;=$F43,AJ$2&lt;=$V43,WEEKDAY(AJ$2,2)&lt;6),$Q43/$U43,"")</f>
        <v/>
      </c>
      <c r="AK43" s="59">
        <f>IF(AND($F43&lt;&gt;"",$V43&lt;&gt;"",AK$2&gt;=$F43,AK$2&lt;=$V43,WEEKDAY(AK$2,2)&lt;6),$Q43/$U43,"")</f>
        <v/>
      </c>
      <c r="AL43" s="59">
        <f>IF(AND($F43&lt;&gt;"",$V43&lt;&gt;"",AL$2&gt;=$F43,AL$2&lt;=$V43,WEEKDAY(AL$2,2)&lt;6),$Q43/$U43,"")</f>
        <v/>
      </c>
      <c r="AM43" s="59">
        <f>IF(AND($F43&lt;&gt;"",$V43&lt;&gt;"",AM$2&gt;=$F43,AM$2&lt;=$V43,WEEKDAY(AM$2,2)&lt;6),$Q43/$U43,"")</f>
        <v/>
      </c>
      <c r="AN43" s="59">
        <f>IF(AND($F43&lt;&gt;"",$V43&lt;&gt;"",AN$2&gt;=$F43,AN$2&lt;=$V43,WEEKDAY(AN$2,2)&lt;6),$Q43/$U43,"")</f>
        <v/>
      </c>
      <c r="AO43" s="59">
        <f>IF(AND($F43&lt;&gt;"",$V43&lt;&gt;"",AO$2&gt;=$F43,AO$2&lt;=$V43,WEEKDAY(AO$2,2)&lt;6),$Q43/$U43,"")</f>
        <v/>
      </c>
      <c r="AP43" s="59">
        <f>IF(AND($F43&lt;&gt;"",$V43&lt;&gt;"",AP$2&gt;=$F43,AP$2&lt;=$V43,WEEKDAY(AP$2,2)&lt;6),$Q43/$U43,"")</f>
        <v/>
      </c>
      <c r="AQ43" s="59">
        <f>IF(AND($F43&lt;&gt;"",$V43&lt;&gt;"",AQ$2&gt;=$F43,AQ$2&lt;=$V43,WEEKDAY(AQ$2,2)&lt;6),$Q43/$U43,"")</f>
        <v/>
      </c>
      <c r="AR43" s="59">
        <f>IF(AND($F43&lt;&gt;"",$V43&lt;&gt;"",AR$2&gt;=$F43,AR$2&lt;=$V43,WEEKDAY(AR$2,2)&lt;6),$Q43/$U43,"")</f>
        <v/>
      </c>
      <c r="AS43" s="59">
        <f>IF(AND($F43&lt;&gt;"",$V43&lt;&gt;"",AS$2&gt;=$F43,AS$2&lt;=$V43,WEEKDAY(AS$2,2)&lt;6),$Q43/$U43,"")</f>
        <v/>
      </c>
      <c r="AT43" s="59">
        <f>IF(AND($F43&lt;&gt;"",$V43&lt;&gt;"",AT$2&gt;=$F43,AT$2&lt;=$V43,WEEKDAY(AT$2,2)&lt;6),$Q43/$U43,"")</f>
        <v/>
      </c>
      <c r="AU43" s="59">
        <f>IF(AND($F43&lt;&gt;"",$V43&lt;&gt;"",AU$2&gt;=$F43,AU$2&lt;=$V43,WEEKDAY(AU$2,2)&lt;6),$Q43/$U43,"")</f>
        <v/>
      </c>
      <c r="AV43" s="59">
        <f>IF(AND($F43&lt;&gt;"",$V43&lt;&gt;"",AV$2&gt;=$F43,AV$2&lt;=$V43,WEEKDAY(AV$2,2)&lt;6),$Q43/$U43,"")</f>
        <v/>
      </c>
      <c r="AW43" s="59">
        <f>IF(AND($F43&lt;&gt;"",$V43&lt;&gt;"",AW$2&gt;=$F43,AW$2&lt;=$V43,WEEKDAY(AW$2,2)&lt;6),$Q43/$U43,"")</f>
        <v/>
      </c>
      <c r="AX43" s="59">
        <f>IF(AND($F43&lt;&gt;"",$V43&lt;&gt;"",AX$2&gt;=$F43,AX$2&lt;=$V43,WEEKDAY(AX$2,2)&lt;6),$Q43/$U43,"")</f>
        <v/>
      </c>
      <c r="AY43" s="59">
        <f>IF(AND($F43&lt;&gt;"",$V43&lt;&gt;"",AY$2&gt;=$F43,AY$2&lt;=$V43,WEEKDAY(AY$2,2)&lt;6),$Q43/$U43,"")</f>
        <v/>
      </c>
      <c r="AZ43" s="59">
        <f>IF(AND($F43&lt;&gt;"",$V43&lt;&gt;"",AZ$2&gt;=$F43,AZ$2&lt;=$V43,WEEKDAY(AZ$2,2)&lt;6),$Q43/$U43,"")</f>
        <v/>
      </c>
      <c r="BA43" s="59">
        <f>IF(AND($F43&lt;&gt;"",$V43&lt;&gt;"",BA$2&gt;=$F43,BA$2&lt;=$V43,WEEKDAY(BA$2,2)&lt;6),$Q43/$U43,"")</f>
        <v/>
      </c>
      <c r="BB43" s="59">
        <f>IF(AND($F43&lt;&gt;"",$V43&lt;&gt;"",BB$2&gt;=$F43,BB$2&lt;=$V43,WEEKDAY(BB$2,2)&lt;6),$Q43/$U43,"")</f>
        <v/>
      </c>
      <c r="BC43" s="59">
        <f>IF(AND($F43&lt;&gt;"",$V43&lt;&gt;"",BC$2&gt;=$F43,BC$2&lt;=$V43,WEEKDAY(BC$2,2)&lt;6),$Q43/$U43,"")</f>
        <v/>
      </c>
      <c r="BD43" s="59">
        <f>IF(AND($F43&lt;&gt;"",$V43&lt;&gt;"",BD$2&gt;=$F43,BD$2&lt;=$V43,WEEKDAY(BD$2,2)&lt;6),$Q43/$U43,"")</f>
        <v/>
      </c>
    </row>
    <row r="44">
      <c r="A44" s="34">
        <f>IF(E44="","",COUNTA($E$8:E44))</f>
        <v/>
      </c>
      <c r="B44" s="52" t="n"/>
      <c r="C44" s="53" t="n"/>
      <c r="D44" s="53" t="n"/>
      <c r="E44" s="52" t="n"/>
      <c r="F44" s="54" t="n"/>
      <c r="G44" s="54" t="n"/>
      <c r="H44" s="53" t="n"/>
      <c r="I44" s="53" t="n"/>
      <c r="J44" s="53" t="n"/>
      <c r="K44" s="52" t="n"/>
      <c r="L44" s="55" t="n"/>
      <c r="M44" s="52" t="n"/>
      <c r="N44" s="55" t="n"/>
      <c r="O44" s="52" t="n"/>
      <c r="P44" s="55" t="n"/>
      <c r="Q44" s="56">
        <f>IF(SUM(L44,N44,P44)=0,"",SUM(L44,N44,P44))</f>
        <v/>
      </c>
      <c r="R44" s="57">
        <f>IF(L44&gt;0,"영 ","")&amp;IF(N44&gt;0,"이 ","")&amp;IF(P44&gt;0,"기 ","")</f>
        <v/>
      </c>
      <c r="S44" s="34">
        <f>IF(F44="","","W"&amp;ROUNDUP(DAY(F44)/7,0))</f>
        <v/>
      </c>
      <c r="T44" s="53" t="n"/>
      <c r="U44" s="34">
        <f>IF(Q44="",0,ROUNDUP(MAX(L44,N44,P44)/'마스터'!$J$5,0))</f>
        <v/>
      </c>
      <c r="V44" s="58">
        <f>IF(OR(F44="",U44=0),"",WORKDAY(F44,U44-1))</f>
        <v/>
      </c>
      <c r="W44" s="57">
        <f>IF(OR(G44="",V44=""),"",G44-V44)</f>
        <v/>
      </c>
      <c r="X44" s="52" t="n"/>
      <c r="Z44" s="59">
        <f>IF(AND($F44&lt;&gt;"",$V44&lt;&gt;"",Z$2&gt;=$F44,Z$2&lt;=$V44,WEEKDAY(Z$2,2)&lt;6),$Q44/$U44,"")</f>
        <v/>
      </c>
      <c r="AA44" s="59">
        <f>IF(AND($F44&lt;&gt;"",$V44&lt;&gt;"",AA$2&gt;=$F44,AA$2&lt;=$V44,WEEKDAY(AA$2,2)&lt;6),$Q44/$U44,"")</f>
        <v/>
      </c>
      <c r="AB44" s="59">
        <f>IF(AND($F44&lt;&gt;"",$V44&lt;&gt;"",AB$2&gt;=$F44,AB$2&lt;=$V44,WEEKDAY(AB$2,2)&lt;6),$Q44/$U44,"")</f>
        <v/>
      </c>
      <c r="AC44" s="59">
        <f>IF(AND($F44&lt;&gt;"",$V44&lt;&gt;"",AC$2&gt;=$F44,AC$2&lt;=$V44,WEEKDAY(AC$2,2)&lt;6),$Q44/$U44,"")</f>
        <v/>
      </c>
      <c r="AD44" s="59">
        <f>IF(AND($F44&lt;&gt;"",$V44&lt;&gt;"",AD$2&gt;=$F44,AD$2&lt;=$V44,WEEKDAY(AD$2,2)&lt;6),$Q44/$U44,"")</f>
        <v/>
      </c>
      <c r="AE44" s="59">
        <f>IF(AND($F44&lt;&gt;"",$V44&lt;&gt;"",AE$2&gt;=$F44,AE$2&lt;=$V44,WEEKDAY(AE$2,2)&lt;6),$Q44/$U44,"")</f>
        <v/>
      </c>
      <c r="AF44" s="59">
        <f>IF(AND($F44&lt;&gt;"",$V44&lt;&gt;"",AF$2&gt;=$F44,AF$2&lt;=$V44,WEEKDAY(AF$2,2)&lt;6),$Q44/$U44,"")</f>
        <v/>
      </c>
      <c r="AG44" s="59">
        <f>IF(AND($F44&lt;&gt;"",$V44&lt;&gt;"",AG$2&gt;=$F44,AG$2&lt;=$V44,WEEKDAY(AG$2,2)&lt;6),$Q44/$U44,"")</f>
        <v/>
      </c>
      <c r="AH44" s="59">
        <f>IF(AND($F44&lt;&gt;"",$V44&lt;&gt;"",AH$2&gt;=$F44,AH$2&lt;=$V44,WEEKDAY(AH$2,2)&lt;6),$Q44/$U44,"")</f>
        <v/>
      </c>
      <c r="AI44" s="59">
        <f>IF(AND($F44&lt;&gt;"",$V44&lt;&gt;"",AI$2&gt;=$F44,AI$2&lt;=$V44,WEEKDAY(AI$2,2)&lt;6),$Q44/$U44,"")</f>
        <v/>
      </c>
      <c r="AJ44" s="59">
        <f>IF(AND($F44&lt;&gt;"",$V44&lt;&gt;"",AJ$2&gt;=$F44,AJ$2&lt;=$V44,WEEKDAY(AJ$2,2)&lt;6),$Q44/$U44,"")</f>
        <v/>
      </c>
      <c r="AK44" s="59">
        <f>IF(AND($F44&lt;&gt;"",$V44&lt;&gt;"",AK$2&gt;=$F44,AK$2&lt;=$V44,WEEKDAY(AK$2,2)&lt;6),$Q44/$U44,"")</f>
        <v/>
      </c>
      <c r="AL44" s="59">
        <f>IF(AND($F44&lt;&gt;"",$V44&lt;&gt;"",AL$2&gt;=$F44,AL$2&lt;=$V44,WEEKDAY(AL$2,2)&lt;6),$Q44/$U44,"")</f>
        <v/>
      </c>
      <c r="AM44" s="59">
        <f>IF(AND($F44&lt;&gt;"",$V44&lt;&gt;"",AM$2&gt;=$F44,AM$2&lt;=$V44,WEEKDAY(AM$2,2)&lt;6),$Q44/$U44,"")</f>
        <v/>
      </c>
      <c r="AN44" s="59">
        <f>IF(AND($F44&lt;&gt;"",$V44&lt;&gt;"",AN$2&gt;=$F44,AN$2&lt;=$V44,WEEKDAY(AN$2,2)&lt;6),$Q44/$U44,"")</f>
        <v/>
      </c>
      <c r="AO44" s="59">
        <f>IF(AND($F44&lt;&gt;"",$V44&lt;&gt;"",AO$2&gt;=$F44,AO$2&lt;=$V44,WEEKDAY(AO$2,2)&lt;6),$Q44/$U44,"")</f>
        <v/>
      </c>
      <c r="AP44" s="59">
        <f>IF(AND($F44&lt;&gt;"",$V44&lt;&gt;"",AP$2&gt;=$F44,AP$2&lt;=$V44,WEEKDAY(AP$2,2)&lt;6),$Q44/$U44,"")</f>
        <v/>
      </c>
      <c r="AQ44" s="59">
        <f>IF(AND($F44&lt;&gt;"",$V44&lt;&gt;"",AQ$2&gt;=$F44,AQ$2&lt;=$V44,WEEKDAY(AQ$2,2)&lt;6),$Q44/$U44,"")</f>
        <v/>
      </c>
      <c r="AR44" s="59">
        <f>IF(AND($F44&lt;&gt;"",$V44&lt;&gt;"",AR$2&gt;=$F44,AR$2&lt;=$V44,WEEKDAY(AR$2,2)&lt;6),$Q44/$U44,"")</f>
        <v/>
      </c>
      <c r="AS44" s="59">
        <f>IF(AND($F44&lt;&gt;"",$V44&lt;&gt;"",AS$2&gt;=$F44,AS$2&lt;=$V44,WEEKDAY(AS$2,2)&lt;6),$Q44/$U44,"")</f>
        <v/>
      </c>
      <c r="AT44" s="59">
        <f>IF(AND($F44&lt;&gt;"",$V44&lt;&gt;"",AT$2&gt;=$F44,AT$2&lt;=$V44,WEEKDAY(AT$2,2)&lt;6),$Q44/$U44,"")</f>
        <v/>
      </c>
      <c r="AU44" s="59">
        <f>IF(AND($F44&lt;&gt;"",$V44&lt;&gt;"",AU$2&gt;=$F44,AU$2&lt;=$V44,WEEKDAY(AU$2,2)&lt;6),$Q44/$U44,"")</f>
        <v/>
      </c>
      <c r="AV44" s="59">
        <f>IF(AND($F44&lt;&gt;"",$V44&lt;&gt;"",AV$2&gt;=$F44,AV$2&lt;=$V44,WEEKDAY(AV$2,2)&lt;6),$Q44/$U44,"")</f>
        <v/>
      </c>
      <c r="AW44" s="59">
        <f>IF(AND($F44&lt;&gt;"",$V44&lt;&gt;"",AW$2&gt;=$F44,AW$2&lt;=$V44,WEEKDAY(AW$2,2)&lt;6),$Q44/$U44,"")</f>
        <v/>
      </c>
      <c r="AX44" s="59">
        <f>IF(AND($F44&lt;&gt;"",$V44&lt;&gt;"",AX$2&gt;=$F44,AX$2&lt;=$V44,WEEKDAY(AX$2,2)&lt;6),$Q44/$U44,"")</f>
        <v/>
      </c>
      <c r="AY44" s="59">
        <f>IF(AND($F44&lt;&gt;"",$V44&lt;&gt;"",AY$2&gt;=$F44,AY$2&lt;=$V44,WEEKDAY(AY$2,2)&lt;6),$Q44/$U44,"")</f>
        <v/>
      </c>
      <c r="AZ44" s="59">
        <f>IF(AND($F44&lt;&gt;"",$V44&lt;&gt;"",AZ$2&gt;=$F44,AZ$2&lt;=$V44,WEEKDAY(AZ$2,2)&lt;6),$Q44/$U44,"")</f>
        <v/>
      </c>
      <c r="BA44" s="59">
        <f>IF(AND($F44&lt;&gt;"",$V44&lt;&gt;"",BA$2&gt;=$F44,BA$2&lt;=$V44,WEEKDAY(BA$2,2)&lt;6),$Q44/$U44,"")</f>
        <v/>
      </c>
      <c r="BB44" s="59">
        <f>IF(AND($F44&lt;&gt;"",$V44&lt;&gt;"",BB$2&gt;=$F44,BB$2&lt;=$V44,WEEKDAY(BB$2,2)&lt;6),$Q44/$U44,"")</f>
        <v/>
      </c>
      <c r="BC44" s="59">
        <f>IF(AND($F44&lt;&gt;"",$V44&lt;&gt;"",BC$2&gt;=$F44,BC$2&lt;=$V44,WEEKDAY(BC$2,2)&lt;6),$Q44/$U44,"")</f>
        <v/>
      </c>
      <c r="BD44" s="59">
        <f>IF(AND($F44&lt;&gt;"",$V44&lt;&gt;"",BD$2&gt;=$F44,BD$2&lt;=$V44,WEEKDAY(BD$2,2)&lt;6),$Q44/$U44,"")</f>
        <v/>
      </c>
    </row>
    <row r="45">
      <c r="A45" s="34">
        <f>IF(E45="","",COUNTA($E$8:E45))</f>
        <v/>
      </c>
      <c r="B45" s="52" t="n"/>
      <c r="C45" s="53" t="n"/>
      <c r="D45" s="53" t="n"/>
      <c r="E45" s="52" t="n"/>
      <c r="F45" s="54" t="n"/>
      <c r="G45" s="54" t="n"/>
      <c r="H45" s="53" t="n"/>
      <c r="I45" s="53" t="n"/>
      <c r="J45" s="53" t="n"/>
      <c r="K45" s="52" t="n"/>
      <c r="L45" s="55" t="n"/>
      <c r="M45" s="52" t="n"/>
      <c r="N45" s="55" t="n"/>
      <c r="O45" s="52" t="n"/>
      <c r="P45" s="55" t="n"/>
      <c r="Q45" s="56">
        <f>IF(SUM(L45,N45,P45)=0,"",SUM(L45,N45,P45))</f>
        <v/>
      </c>
      <c r="R45" s="57">
        <f>IF(L45&gt;0,"영 ","")&amp;IF(N45&gt;0,"이 ","")&amp;IF(P45&gt;0,"기 ","")</f>
        <v/>
      </c>
      <c r="S45" s="34">
        <f>IF(F45="","","W"&amp;ROUNDUP(DAY(F45)/7,0))</f>
        <v/>
      </c>
      <c r="T45" s="53" t="n"/>
      <c r="U45" s="34">
        <f>IF(Q45="",0,ROUNDUP(MAX(L45,N45,P45)/'마스터'!$J$5,0))</f>
        <v/>
      </c>
      <c r="V45" s="58">
        <f>IF(OR(F45="",U45=0),"",WORKDAY(F45,U45-1))</f>
        <v/>
      </c>
      <c r="W45" s="57">
        <f>IF(OR(G45="",V45=""),"",G45-V45)</f>
        <v/>
      </c>
      <c r="X45" s="52" t="n"/>
      <c r="Z45" s="59">
        <f>IF(AND($F45&lt;&gt;"",$V45&lt;&gt;"",Z$2&gt;=$F45,Z$2&lt;=$V45,WEEKDAY(Z$2,2)&lt;6),$Q45/$U45,"")</f>
        <v/>
      </c>
      <c r="AA45" s="59">
        <f>IF(AND($F45&lt;&gt;"",$V45&lt;&gt;"",AA$2&gt;=$F45,AA$2&lt;=$V45,WEEKDAY(AA$2,2)&lt;6),$Q45/$U45,"")</f>
        <v/>
      </c>
      <c r="AB45" s="59">
        <f>IF(AND($F45&lt;&gt;"",$V45&lt;&gt;"",AB$2&gt;=$F45,AB$2&lt;=$V45,WEEKDAY(AB$2,2)&lt;6),$Q45/$U45,"")</f>
        <v/>
      </c>
      <c r="AC45" s="59">
        <f>IF(AND($F45&lt;&gt;"",$V45&lt;&gt;"",AC$2&gt;=$F45,AC$2&lt;=$V45,WEEKDAY(AC$2,2)&lt;6),$Q45/$U45,"")</f>
        <v/>
      </c>
      <c r="AD45" s="59">
        <f>IF(AND($F45&lt;&gt;"",$V45&lt;&gt;"",AD$2&gt;=$F45,AD$2&lt;=$V45,WEEKDAY(AD$2,2)&lt;6),$Q45/$U45,"")</f>
        <v/>
      </c>
      <c r="AE45" s="59">
        <f>IF(AND($F45&lt;&gt;"",$V45&lt;&gt;"",AE$2&gt;=$F45,AE$2&lt;=$V45,WEEKDAY(AE$2,2)&lt;6),$Q45/$U45,"")</f>
        <v/>
      </c>
      <c r="AF45" s="59">
        <f>IF(AND($F45&lt;&gt;"",$V45&lt;&gt;"",AF$2&gt;=$F45,AF$2&lt;=$V45,WEEKDAY(AF$2,2)&lt;6),$Q45/$U45,"")</f>
        <v/>
      </c>
      <c r="AG45" s="59">
        <f>IF(AND($F45&lt;&gt;"",$V45&lt;&gt;"",AG$2&gt;=$F45,AG$2&lt;=$V45,WEEKDAY(AG$2,2)&lt;6),$Q45/$U45,"")</f>
        <v/>
      </c>
      <c r="AH45" s="59">
        <f>IF(AND($F45&lt;&gt;"",$V45&lt;&gt;"",AH$2&gt;=$F45,AH$2&lt;=$V45,WEEKDAY(AH$2,2)&lt;6),$Q45/$U45,"")</f>
        <v/>
      </c>
      <c r="AI45" s="59">
        <f>IF(AND($F45&lt;&gt;"",$V45&lt;&gt;"",AI$2&gt;=$F45,AI$2&lt;=$V45,WEEKDAY(AI$2,2)&lt;6),$Q45/$U45,"")</f>
        <v/>
      </c>
      <c r="AJ45" s="59">
        <f>IF(AND($F45&lt;&gt;"",$V45&lt;&gt;"",AJ$2&gt;=$F45,AJ$2&lt;=$V45,WEEKDAY(AJ$2,2)&lt;6),$Q45/$U45,"")</f>
        <v/>
      </c>
      <c r="AK45" s="59">
        <f>IF(AND($F45&lt;&gt;"",$V45&lt;&gt;"",AK$2&gt;=$F45,AK$2&lt;=$V45,WEEKDAY(AK$2,2)&lt;6),$Q45/$U45,"")</f>
        <v/>
      </c>
      <c r="AL45" s="59">
        <f>IF(AND($F45&lt;&gt;"",$V45&lt;&gt;"",AL$2&gt;=$F45,AL$2&lt;=$V45,WEEKDAY(AL$2,2)&lt;6),$Q45/$U45,"")</f>
        <v/>
      </c>
      <c r="AM45" s="59">
        <f>IF(AND($F45&lt;&gt;"",$V45&lt;&gt;"",AM$2&gt;=$F45,AM$2&lt;=$V45,WEEKDAY(AM$2,2)&lt;6),$Q45/$U45,"")</f>
        <v/>
      </c>
      <c r="AN45" s="59">
        <f>IF(AND($F45&lt;&gt;"",$V45&lt;&gt;"",AN$2&gt;=$F45,AN$2&lt;=$V45,WEEKDAY(AN$2,2)&lt;6),$Q45/$U45,"")</f>
        <v/>
      </c>
      <c r="AO45" s="59">
        <f>IF(AND($F45&lt;&gt;"",$V45&lt;&gt;"",AO$2&gt;=$F45,AO$2&lt;=$V45,WEEKDAY(AO$2,2)&lt;6),$Q45/$U45,"")</f>
        <v/>
      </c>
      <c r="AP45" s="59">
        <f>IF(AND($F45&lt;&gt;"",$V45&lt;&gt;"",AP$2&gt;=$F45,AP$2&lt;=$V45,WEEKDAY(AP$2,2)&lt;6),$Q45/$U45,"")</f>
        <v/>
      </c>
      <c r="AQ45" s="59">
        <f>IF(AND($F45&lt;&gt;"",$V45&lt;&gt;"",AQ$2&gt;=$F45,AQ$2&lt;=$V45,WEEKDAY(AQ$2,2)&lt;6),$Q45/$U45,"")</f>
        <v/>
      </c>
      <c r="AR45" s="59">
        <f>IF(AND($F45&lt;&gt;"",$V45&lt;&gt;"",AR$2&gt;=$F45,AR$2&lt;=$V45,WEEKDAY(AR$2,2)&lt;6),$Q45/$U45,"")</f>
        <v/>
      </c>
      <c r="AS45" s="59">
        <f>IF(AND($F45&lt;&gt;"",$V45&lt;&gt;"",AS$2&gt;=$F45,AS$2&lt;=$V45,WEEKDAY(AS$2,2)&lt;6),$Q45/$U45,"")</f>
        <v/>
      </c>
      <c r="AT45" s="59">
        <f>IF(AND($F45&lt;&gt;"",$V45&lt;&gt;"",AT$2&gt;=$F45,AT$2&lt;=$V45,WEEKDAY(AT$2,2)&lt;6),$Q45/$U45,"")</f>
        <v/>
      </c>
      <c r="AU45" s="59">
        <f>IF(AND($F45&lt;&gt;"",$V45&lt;&gt;"",AU$2&gt;=$F45,AU$2&lt;=$V45,WEEKDAY(AU$2,2)&lt;6),$Q45/$U45,"")</f>
        <v/>
      </c>
      <c r="AV45" s="59">
        <f>IF(AND($F45&lt;&gt;"",$V45&lt;&gt;"",AV$2&gt;=$F45,AV$2&lt;=$V45,WEEKDAY(AV$2,2)&lt;6),$Q45/$U45,"")</f>
        <v/>
      </c>
      <c r="AW45" s="59">
        <f>IF(AND($F45&lt;&gt;"",$V45&lt;&gt;"",AW$2&gt;=$F45,AW$2&lt;=$V45,WEEKDAY(AW$2,2)&lt;6),$Q45/$U45,"")</f>
        <v/>
      </c>
      <c r="AX45" s="59">
        <f>IF(AND($F45&lt;&gt;"",$V45&lt;&gt;"",AX$2&gt;=$F45,AX$2&lt;=$V45,WEEKDAY(AX$2,2)&lt;6),$Q45/$U45,"")</f>
        <v/>
      </c>
      <c r="AY45" s="59">
        <f>IF(AND($F45&lt;&gt;"",$V45&lt;&gt;"",AY$2&gt;=$F45,AY$2&lt;=$V45,WEEKDAY(AY$2,2)&lt;6),$Q45/$U45,"")</f>
        <v/>
      </c>
      <c r="AZ45" s="59">
        <f>IF(AND($F45&lt;&gt;"",$V45&lt;&gt;"",AZ$2&gt;=$F45,AZ$2&lt;=$V45,WEEKDAY(AZ$2,2)&lt;6),$Q45/$U45,"")</f>
        <v/>
      </c>
      <c r="BA45" s="59">
        <f>IF(AND($F45&lt;&gt;"",$V45&lt;&gt;"",BA$2&gt;=$F45,BA$2&lt;=$V45,WEEKDAY(BA$2,2)&lt;6),$Q45/$U45,"")</f>
        <v/>
      </c>
      <c r="BB45" s="59">
        <f>IF(AND($F45&lt;&gt;"",$V45&lt;&gt;"",BB$2&gt;=$F45,BB$2&lt;=$V45,WEEKDAY(BB$2,2)&lt;6),$Q45/$U45,"")</f>
        <v/>
      </c>
      <c r="BC45" s="59">
        <f>IF(AND($F45&lt;&gt;"",$V45&lt;&gt;"",BC$2&gt;=$F45,BC$2&lt;=$V45,WEEKDAY(BC$2,2)&lt;6),$Q45/$U45,"")</f>
        <v/>
      </c>
      <c r="BD45" s="59">
        <f>IF(AND($F45&lt;&gt;"",$V45&lt;&gt;"",BD$2&gt;=$F45,BD$2&lt;=$V45,WEEKDAY(BD$2,2)&lt;6),$Q45/$U45,"")</f>
        <v/>
      </c>
    </row>
    <row r="46">
      <c r="A46" s="34">
        <f>IF(E46="","",COUNTA($E$8:E46))</f>
        <v/>
      </c>
      <c r="B46" s="52" t="n"/>
      <c r="C46" s="53" t="n"/>
      <c r="D46" s="53" t="n"/>
      <c r="E46" s="52" t="n"/>
      <c r="F46" s="54" t="n"/>
      <c r="G46" s="54" t="n"/>
      <c r="H46" s="53" t="n"/>
      <c r="I46" s="53" t="n"/>
      <c r="J46" s="53" t="n"/>
      <c r="K46" s="52" t="n"/>
      <c r="L46" s="55" t="n"/>
      <c r="M46" s="52" t="n"/>
      <c r="N46" s="55" t="n"/>
      <c r="O46" s="52" t="n"/>
      <c r="P46" s="55" t="n"/>
      <c r="Q46" s="56">
        <f>IF(SUM(L46,N46,P46)=0,"",SUM(L46,N46,P46))</f>
        <v/>
      </c>
      <c r="R46" s="57">
        <f>IF(L46&gt;0,"영 ","")&amp;IF(N46&gt;0,"이 ","")&amp;IF(P46&gt;0,"기 ","")</f>
        <v/>
      </c>
      <c r="S46" s="34">
        <f>IF(F46="","","W"&amp;ROUNDUP(DAY(F46)/7,0))</f>
        <v/>
      </c>
      <c r="T46" s="53" t="n"/>
      <c r="U46" s="34">
        <f>IF(Q46="",0,ROUNDUP(MAX(L46,N46,P46)/'마스터'!$J$5,0))</f>
        <v/>
      </c>
      <c r="V46" s="58">
        <f>IF(OR(F46="",U46=0),"",WORKDAY(F46,U46-1))</f>
        <v/>
      </c>
      <c r="W46" s="57">
        <f>IF(OR(G46="",V46=""),"",G46-V46)</f>
        <v/>
      </c>
      <c r="X46" s="52" t="n"/>
      <c r="Z46" s="59">
        <f>IF(AND($F46&lt;&gt;"",$V46&lt;&gt;"",Z$2&gt;=$F46,Z$2&lt;=$V46,WEEKDAY(Z$2,2)&lt;6),$Q46/$U46,"")</f>
        <v/>
      </c>
      <c r="AA46" s="59">
        <f>IF(AND($F46&lt;&gt;"",$V46&lt;&gt;"",AA$2&gt;=$F46,AA$2&lt;=$V46,WEEKDAY(AA$2,2)&lt;6),$Q46/$U46,"")</f>
        <v/>
      </c>
      <c r="AB46" s="59">
        <f>IF(AND($F46&lt;&gt;"",$V46&lt;&gt;"",AB$2&gt;=$F46,AB$2&lt;=$V46,WEEKDAY(AB$2,2)&lt;6),$Q46/$U46,"")</f>
        <v/>
      </c>
      <c r="AC46" s="59">
        <f>IF(AND($F46&lt;&gt;"",$V46&lt;&gt;"",AC$2&gt;=$F46,AC$2&lt;=$V46,WEEKDAY(AC$2,2)&lt;6),$Q46/$U46,"")</f>
        <v/>
      </c>
      <c r="AD46" s="59">
        <f>IF(AND($F46&lt;&gt;"",$V46&lt;&gt;"",AD$2&gt;=$F46,AD$2&lt;=$V46,WEEKDAY(AD$2,2)&lt;6),$Q46/$U46,"")</f>
        <v/>
      </c>
      <c r="AE46" s="59">
        <f>IF(AND($F46&lt;&gt;"",$V46&lt;&gt;"",AE$2&gt;=$F46,AE$2&lt;=$V46,WEEKDAY(AE$2,2)&lt;6),$Q46/$U46,"")</f>
        <v/>
      </c>
      <c r="AF46" s="59">
        <f>IF(AND($F46&lt;&gt;"",$V46&lt;&gt;"",AF$2&gt;=$F46,AF$2&lt;=$V46,WEEKDAY(AF$2,2)&lt;6),$Q46/$U46,"")</f>
        <v/>
      </c>
      <c r="AG46" s="59">
        <f>IF(AND($F46&lt;&gt;"",$V46&lt;&gt;"",AG$2&gt;=$F46,AG$2&lt;=$V46,WEEKDAY(AG$2,2)&lt;6),$Q46/$U46,"")</f>
        <v/>
      </c>
      <c r="AH46" s="59">
        <f>IF(AND($F46&lt;&gt;"",$V46&lt;&gt;"",AH$2&gt;=$F46,AH$2&lt;=$V46,WEEKDAY(AH$2,2)&lt;6),$Q46/$U46,"")</f>
        <v/>
      </c>
      <c r="AI46" s="59">
        <f>IF(AND($F46&lt;&gt;"",$V46&lt;&gt;"",AI$2&gt;=$F46,AI$2&lt;=$V46,WEEKDAY(AI$2,2)&lt;6),$Q46/$U46,"")</f>
        <v/>
      </c>
      <c r="AJ46" s="59">
        <f>IF(AND($F46&lt;&gt;"",$V46&lt;&gt;"",AJ$2&gt;=$F46,AJ$2&lt;=$V46,WEEKDAY(AJ$2,2)&lt;6),$Q46/$U46,"")</f>
        <v/>
      </c>
      <c r="AK46" s="59">
        <f>IF(AND($F46&lt;&gt;"",$V46&lt;&gt;"",AK$2&gt;=$F46,AK$2&lt;=$V46,WEEKDAY(AK$2,2)&lt;6),$Q46/$U46,"")</f>
        <v/>
      </c>
      <c r="AL46" s="59">
        <f>IF(AND($F46&lt;&gt;"",$V46&lt;&gt;"",AL$2&gt;=$F46,AL$2&lt;=$V46,WEEKDAY(AL$2,2)&lt;6),$Q46/$U46,"")</f>
        <v/>
      </c>
      <c r="AM46" s="59">
        <f>IF(AND($F46&lt;&gt;"",$V46&lt;&gt;"",AM$2&gt;=$F46,AM$2&lt;=$V46,WEEKDAY(AM$2,2)&lt;6),$Q46/$U46,"")</f>
        <v/>
      </c>
      <c r="AN46" s="59">
        <f>IF(AND($F46&lt;&gt;"",$V46&lt;&gt;"",AN$2&gt;=$F46,AN$2&lt;=$V46,WEEKDAY(AN$2,2)&lt;6),$Q46/$U46,"")</f>
        <v/>
      </c>
      <c r="AO46" s="59">
        <f>IF(AND($F46&lt;&gt;"",$V46&lt;&gt;"",AO$2&gt;=$F46,AO$2&lt;=$V46,WEEKDAY(AO$2,2)&lt;6),$Q46/$U46,"")</f>
        <v/>
      </c>
      <c r="AP46" s="59">
        <f>IF(AND($F46&lt;&gt;"",$V46&lt;&gt;"",AP$2&gt;=$F46,AP$2&lt;=$V46,WEEKDAY(AP$2,2)&lt;6),$Q46/$U46,"")</f>
        <v/>
      </c>
      <c r="AQ46" s="59">
        <f>IF(AND($F46&lt;&gt;"",$V46&lt;&gt;"",AQ$2&gt;=$F46,AQ$2&lt;=$V46,WEEKDAY(AQ$2,2)&lt;6),$Q46/$U46,"")</f>
        <v/>
      </c>
      <c r="AR46" s="59">
        <f>IF(AND($F46&lt;&gt;"",$V46&lt;&gt;"",AR$2&gt;=$F46,AR$2&lt;=$V46,WEEKDAY(AR$2,2)&lt;6),$Q46/$U46,"")</f>
        <v/>
      </c>
      <c r="AS46" s="59">
        <f>IF(AND($F46&lt;&gt;"",$V46&lt;&gt;"",AS$2&gt;=$F46,AS$2&lt;=$V46,WEEKDAY(AS$2,2)&lt;6),$Q46/$U46,"")</f>
        <v/>
      </c>
      <c r="AT46" s="59">
        <f>IF(AND($F46&lt;&gt;"",$V46&lt;&gt;"",AT$2&gt;=$F46,AT$2&lt;=$V46,WEEKDAY(AT$2,2)&lt;6),$Q46/$U46,"")</f>
        <v/>
      </c>
      <c r="AU46" s="59">
        <f>IF(AND($F46&lt;&gt;"",$V46&lt;&gt;"",AU$2&gt;=$F46,AU$2&lt;=$V46,WEEKDAY(AU$2,2)&lt;6),$Q46/$U46,"")</f>
        <v/>
      </c>
      <c r="AV46" s="59">
        <f>IF(AND($F46&lt;&gt;"",$V46&lt;&gt;"",AV$2&gt;=$F46,AV$2&lt;=$V46,WEEKDAY(AV$2,2)&lt;6),$Q46/$U46,"")</f>
        <v/>
      </c>
      <c r="AW46" s="59">
        <f>IF(AND($F46&lt;&gt;"",$V46&lt;&gt;"",AW$2&gt;=$F46,AW$2&lt;=$V46,WEEKDAY(AW$2,2)&lt;6),$Q46/$U46,"")</f>
        <v/>
      </c>
      <c r="AX46" s="59">
        <f>IF(AND($F46&lt;&gt;"",$V46&lt;&gt;"",AX$2&gt;=$F46,AX$2&lt;=$V46,WEEKDAY(AX$2,2)&lt;6),$Q46/$U46,"")</f>
        <v/>
      </c>
      <c r="AY46" s="59">
        <f>IF(AND($F46&lt;&gt;"",$V46&lt;&gt;"",AY$2&gt;=$F46,AY$2&lt;=$V46,WEEKDAY(AY$2,2)&lt;6),$Q46/$U46,"")</f>
        <v/>
      </c>
      <c r="AZ46" s="59">
        <f>IF(AND($F46&lt;&gt;"",$V46&lt;&gt;"",AZ$2&gt;=$F46,AZ$2&lt;=$V46,WEEKDAY(AZ$2,2)&lt;6),$Q46/$U46,"")</f>
        <v/>
      </c>
      <c r="BA46" s="59">
        <f>IF(AND($F46&lt;&gt;"",$V46&lt;&gt;"",BA$2&gt;=$F46,BA$2&lt;=$V46,WEEKDAY(BA$2,2)&lt;6),$Q46/$U46,"")</f>
        <v/>
      </c>
      <c r="BB46" s="59">
        <f>IF(AND($F46&lt;&gt;"",$V46&lt;&gt;"",BB$2&gt;=$F46,BB$2&lt;=$V46,WEEKDAY(BB$2,2)&lt;6),$Q46/$U46,"")</f>
        <v/>
      </c>
      <c r="BC46" s="59">
        <f>IF(AND($F46&lt;&gt;"",$V46&lt;&gt;"",BC$2&gt;=$F46,BC$2&lt;=$V46,WEEKDAY(BC$2,2)&lt;6),$Q46/$U46,"")</f>
        <v/>
      </c>
      <c r="BD46" s="59">
        <f>IF(AND($F46&lt;&gt;"",$V46&lt;&gt;"",BD$2&gt;=$F46,BD$2&lt;=$V46,WEEKDAY(BD$2,2)&lt;6),$Q46/$U46,"")</f>
        <v/>
      </c>
    </row>
    <row r="47">
      <c r="A47" s="34">
        <f>IF(E47="","",COUNTA($E$8:E47))</f>
        <v/>
      </c>
      <c r="B47" s="52" t="n"/>
      <c r="C47" s="53" t="n"/>
      <c r="D47" s="53" t="n"/>
      <c r="E47" s="52" t="n"/>
      <c r="F47" s="54" t="n"/>
      <c r="G47" s="54" t="n"/>
      <c r="H47" s="53" t="n"/>
      <c r="I47" s="53" t="n"/>
      <c r="J47" s="53" t="n"/>
      <c r="K47" s="52" t="n"/>
      <c r="L47" s="55" t="n"/>
      <c r="M47" s="52" t="n"/>
      <c r="N47" s="55" t="n"/>
      <c r="O47" s="52" t="n"/>
      <c r="P47" s="55" t="n"/>
      <c r="Q47" s="56">
        <f>IF(SUM(L47,N47,P47)=0,"",SUM(L47,N47,P47))</f>
        <v/>
      </c>
      <c r="R47" s="57">
        <f>IF(L47&gt;0,"영 ","")&amp;IF(N47&gt;0,"이 ","")&amp;IF(P47&gt;0,"기 ","")</f>
        <v/>
      </c>
      <c r="S47" s="34">
        <f>IF(F47="","","W"&amp;ROUNDUP(DAY(F47)/7,0))</f>
        <v/>
      </c>
      <c r="T47" s="53" t="n"/>
      <c r="U47" s="34">
        <f>IF(Q47="",0,ROUNDUP(MAX(L47,N47,P47)/'마스터'!$J$5,0))</f>
        <v/>
      </c>
      <c r="V47" s="58">
        <f>IF(OR(F47="",U47=0),"",WORKDAY(F47,U47-1))</f>
        <v/>
      </c>
      <c r="W47" s="57">
        <f>IF(OR(G47="",V47=""),"",G47-V47)</f>
        <v/>
      </c>
      <c r="X47" s="52" t="n"/>
      <c r="Z47" s="59">
        <f>IF(AND($F47&lt;&gt;"",$V47&lt;&gt;"",Z$2&gt;=$F47,Z$2&lt;=$V47,WEEKDAY(Z$2,2)&lt;6),$Q47/$U47,"")</f>
        <v/>
      </c>
      <c r="AA47" s="59">
        <f>IF(AND($F47&lt;&gt;"",$V47&lt;&gt;"",AA$2&gt;=$F47,AA$2&lt;=$V47,WEEKDAY(AA$2,2)&lt;6),$Q47/$U47,"")</f>
        <v/>
      </c>
      <c r="AB47" s="59">
        <f>IF(AND($F47&lt;&gt;"",$V47&lt;&gt;"",AB$2&gt;=$F47,AB$2&lt;=$V47,WEEKDAY(AB$2,2)&lt;6),$Q47/$U47,"")</f>
        <v/>
      </c>
      <c r="AC47" s="59">
        <f>IF(AND($F47&lt;&gt;"",$V47&lt;&gt;"",AC$2&gt;=$F47,AC$2&lt;=$V47,WEEKDAY(AC$2,2)&lt;6),$Q47/$U47,"")</f>
        <v/>
      </c>
      <c r="AD47" s="59">
        <f>IF(AND($F47&lt;&gt;"",$V47&lt;&gt;"",AD$2&gt;=$F47,AD$2&lt;=$V47,WEEKDAY(AD$2,2)&lt;6),$Q47/$U47,"")</f>
        <v/>
      </c>
      <c r="AE47" s="59">
        <f>IF(AND($F47&lt;&gt;"",$V47&lt;&gt;"",AE$2&gt;=$F47,AE$2&lt;=$V47,WEEKDAY(AE$2,2)&lt;6),$Q47/$U47,"")</f>
        <v/>
      </c>
      <c r="AF47" s="59">
        <f>IF(AND($F47&lt;&gt;"",$V47&lt;&gt;"",AF$2&gt;=$F47,AF$2&lt;=$V47,WEEKDAY(AF$2,2)&lt;6),$Q47/$U47,"")</f>
        <v/>
      </c>
      <c r="AG47" s="59">
        <f>IF(AND($F47&lt;&gt;"",$V47&lt;&gt;"",AG$2&gt;=$F47,AG$2&lt;=$V47,WEEKDAY(AG$2,2)&lt;6),$Q47/$U47,"")</f>
        <v/>
      </c>
      <c r="AH47" s="59">
        <f>IF(AND($F47&lt;&gt;"",$V47&lt;&gt;"",AH$2&gt;=$F47,AH$2&lt;=$V47,WEEKDAY(AH$2,2)&lt;6),$Q47/$U47,"")</f>
        <v/>
      </c>
      <c r="AI47" s="59">
        <f>IF(AND($F47&lt;&gt;"",$V47&lt;&gt;"",AI$2&gt;=$F47,AI$2&lt;=$V47,WEEKDAY(AI$2,2)&lt;6),$Q47/$U47,"")</f>
        <v/>
      </c>
      <c r="AJ47" s="59">
        <f>IF(AND($F47&lt;&gt;"",$V47&lt;&gt;"",AJ$2&gt;=$F47,AJ$2&lt;=$V47,WEEKDAY(AJ$2,2)&lt;6),$Q47/$U47,"")</f>
        <v/>
      </c>
      <c r="AK47" s="59">
        <f>IF(AND($F47&lt;&gt;"",$V47&lt;&gt;"",AK$2&gt;=$F47,AK$2&lt;=$V47,WEEKDAY(AK$2,2)&lt;6),$Q47/$U47,"")</f>
        <v/>
      </c>
      <c r="AL47" s="59">
        <f>IF(AND($F47&lt;&gt;"",$V47&lt;&gt;"",AL$2&gt;=$F47,AL$2&lt;=$V47,WEEKDAY(AL$2,2)&lt;6),$Q47/$U47,"")</f>
        <v/>
      </c>
      <c r="AM47" s="59">
        <f>IF(AND($F47&lt;&gt;"",$V47&lt;&gt;"",AM$2&gt;=$F47,AM$2&lt;=$V47,WEEKDAY(AM$2,2)&lt;6),$Q47/$U47,"")</f>
        <v/>
      </c>
      <c r="AN47" s="59">
        <f>IF(AND($F47&lt;&gt;"",$V47&lt;&gt;"",AN$2&gt;=$F47,AN$2&lt;=$V47,WEEKDAY(AN$2,2)&lt;6),$Q47/$U47,"")</f>
        <v/>
      </c>
      <c r="AO47" s="59">
        <f>IF(AND($F47&lt;&gt;"",$V47&lt;&gt;"",AO$2&gt;=$F47,AO$2&lt;=$V47,WEEKDAY(AO$2,2)&lt;6),$Q47/$U47,"")</f>
        <v/>
      </c>
      <c r="AP47" s="59">
        <f>IF(AND($F47&lt;&gt;"",$V47&lt;&gt;"",AP$2&gt;=$F47,AP$2&lt;=$V47,WEEKDAY(AP$2,2)&lt;6),$Q47/$U47,"")</f>
        <v/>
      </c>
      <c r="AQ47" s="59">
        <f>IF(AND($F47&lt;&gt;"",$V47&lt;&gt;"",AQ$2&gt;=$F47,AQ$2&lt;=$V47,WEEKDAY(AQ$2,2)&lt;6),$Q47/$U47,"")</f>
        <v/>
      </c>
      <c r="AR47" s="59">
        <f>IF(AND($F47&lt;&gt;"",$V47&lt;&gt;"",AR$2&gt;=$F47,AR$2&lt;=$V47,WEEKDAY(AR$2,2)&lt;6),$Q47/$U47,"")</f>
        <v/>
      </c>
      <c r="AS47" s="59">
        <f>IF(AND($F47&lt;&gt;"",$V47&lt;&gt;"",AS$2&gt;=$F47,AS$2&lt;=$V47,WEEKDAY(AS$2,2)&lt;6),$Q47/$U47,"")</f>
        <v/>
      </c>
      <c r="AT47" s="59">
        <f>IF(AND($F47&lt;&gt;"",$V47&lt;&gt;"",AT$2&gt;=$F47,AT$2&lt;=$V47,WEEKDAY(AT$2,2)&lt;6),$Q47/$U47,"")</f>
        <v/>
      </c>
      <c r="AU47" s="59">
        <f>IF(AND($F47&lt;&gt;"",$V47&lt;&gt;"",AU$2&gt;=$F47,AU$2&lt;=$V47,WEEKDAY(AU$2,2)&lt;6),$Q47/$U47,"")</f>
        <v/>
      </c>
      <c r="AV47" s="59">
        <f>IF(AND($F47&lt;&gt;"",$V47&lt;&gt;"",AV$2&gt;=$F47,AV$2&lt;=$V47,WEEKDAY(AV$2,2)&lt;6),$Q47/$U47,"")</f>
        <v/>
      </c>
      <c r="AW47" s="59">
        <f>IF(AND($F47&lt;&gt;"",$V47&lt;&gt;"",AW$2&gt;=$F47,AW$2&lt;=$V47,WEEKDAY(AW$2,2)&lt;6),$Q47/$U47,"")</f>
        <v/>
      </c>
      <c r="AX47" s="59">
        <f>IF(AND($F47&lt;&gt;"",$V47&lt;&gt;"",AX$2&gt;=$F47,AX$2&lt;=$V47,WEEKDAY(AX$2,2)&lt;6),$Q47/$U47,"")</f>
        <v/>
      </c>
      <c r="AY47" s="59">
        <f>IF(AND($F47&lt;&gt;"",$V47&lt;&gt;"",AY$2&gt;=$F47,AY$2&lt;=$V47,WEEKDAY(AY$2,2)&lt;6),$Q47/$U47,"")</f>
        <v/>
      </c>
      <c r="AZ47" s="59">
        <f>IF(AND($F47&lt;&gt;"",$V47&lt;&gt;"",AZ$2&gt;=$F47,AZ$2&lt;=$V47,WEEKDAY(AZ$2,2)&lt;6),$Q47/$U47,"")</f>
        <v/>
      </c>
      <c r="BA47" s="59">
        <f>IF(AND($F47&lt;&gt;"",$V47&lt;&gt;"",BA$2&gt;=$F47,BA$2&lt;=$V47,WEEKDAY(BA$2,2)&lt;6),$Q47/$U47,"")</f>
        <v/>
      </c>
      <c r="BB47" s="59">
        <f>IF(AND($F47&lt;&gt;"",$V47&lt;&gt;"",BB$2&gt;=$F47,BB$2&lt;=$V47,WEEKDAY(BB$2,2)&lt;6),$Q47/$U47,"")</f>
        <v/>
      </c>
      <c r="BC47" s="59">
        <f>IF(AND($F47&lt;&gt;"",$V47&lt;&gt;"",BC$2&gt;=$F47,BC$2&lt;=$V47,WEEKDAY(BC$2,2)&lt;6),$Q47/$U47,"")</f>
        <v/>
      </c>
      <c r="BD47" s="59">
        <f>IF(AND($F47&lt;&gt;"",$V47&lt;&gt;"",BD$2&gt;=$F47,BD$2&lt;=$V47,WEEKDAY(BD$2,2)&lt;6),$Q47/$U47,"")</f>
        <v/>
      </c>
    </row>
    <row r="48">
      <c r="A48" s="34">
        <f>IF(E48="","",COUNTA($E$8:E48))</f>
        <v/>
      </c>
      <c r="B48" s="52" t="n"/>
      <c r="C48" s="53" t="n"/>
      <c r="D48" s="53" t="n"/>
      <c r="E48" s="52" t="n"/>
      <c r="F48" s="54" t="n"/>
      <c r="G48" s="54" t="n"/>
      <c r="H48" s="53" t="n"/>
      <c r="I48" s="53" t="n"/>
      <c r="J48" s="53" t="n"/>
      <c r="K48" s="52" t="n"/>
      <c r="L48" s="55" t="n"/>
      <c r="M48" s="52" t="n"/>
      <c r="N48" s="55" t="n"/>
      <c r="O48" s="52" t="n"/>
      <c r="P48" s="55" t="n"/>
      <c r="Q48" s="56">
        <f>IF(SUM(L48,N48,P48)=0,"",SUM(L48,N48,P48))</f>
        <v/>
      </c>
      <c r="R48" s="57">
        <f>IF(L48&gt;0,"영 ","")&amp;IF(N48&gt;0,"이 ","")&amp;IF(P48&gt;0,"기 ","")</f>
        <v/>
      </c>
      <c r="S48" s="34">
        <f>IF(F48="","","W"&amp;ROUNDUP(DAY(F48)/7,0))</f>
        <v/>
      </c>
      <c r="T48" s="53" t="n"/>
      <c r="U48" s="34">
        <f>IF(Q48="",0,ROUNDUP(MAX(L48,N48,P48)/'마스터'!$J$5,0))</f>
        <v/>
      </c>
      <c r="V48" s="58">
        <f>IF(OR(F48="",U48=0),"",WORKDAY(F48,U48-1))</f>
        <v/>
      </c>
      <c r="W48" s="57">
        <f>IF(OR(G48="",V48=""),"",G48-V48)</f>
        <v/>
      </c>
      <c r="X48" s="52" t="n"/>
      <c r="Z48" s="59">
        <f>IF(AND($F48&lt;&gt;"",$V48&lt;&gt;"",Z$2&gt;=$F48,Z$2&lt;=$V48,WEEKDAY(Z$2,2)&lt;6),$Q48/$U48,"")</f>
        <v/>
      </c>
      <c r="AA48" s="59">
        <f>IF(AND($F48&lt;&gt;"",$V48&lt;&gt;"",AA$2&gt;=$F48,AA$2&lt;=$V48,WEEKDAY(AA$2,2)&lt;6),$Q48/$U48,"")</f>
        <v/>
      </c>
      <c r="AB48" s="59">
        <f>IF(AND($F48&lt;&gt;"",$V48&lt;&gt;"",AB$2&gt;=$F48,AB$2&lt;=$V48,WEEKDAY(AB$2,2)&lt;6),$Q48/$U48,"")</f>
        <v/>
      </c>
      <c r="AC48" s="59">
        <f>IF(AND($F48&lt;&gt;"",$V48&lt;&gt;"",AC$2&gt;=$F48,AC$2&lt;=$V48,WEEKDAY(AC$2,2)&lt;6),$Q48/$U48,"")</f>
        <v/>
      </c>
      <c r="AD48" s="59">
        <f>IF(AND($F48&lt;&gt;"",$V48&lt;&gt;"",AD$2&gt;=$F48,AD$2&lt;=$V48,WEEKDAY(AD$2,2)&lt;6),$Q48/$U48,"")</f>
        <v/>
      </c>
      <c r="AE48" s="59">
        <f>IF(AND($F48&lt;&gt;"",$V48&lt;&gt;"",AE$2&gt;=$F48,AE$2&lt;=$V48,WEEKDAY(AE$2,2)&lt;6),$Q48/$U48,"")</f>
        <v/>
      </c>
      <c r="AF48" s="59">
        <f>IF(AND($F48&lt;&gt;"",$V48&lt;&gt;"",AF$2&gt;=$F48,AF$2&lt;=$V48,WEEKDAY(AF$2,2)&lt;6),$Q48/$U48,"")</f>
        <v/>
      </c>
      <c r="AG48" s="59">
        <f>IF(AND($F48&lt;&gt;"",$V48&lt;&gt;"",AG$2&gt;=$F48,AG$2&lt;=$V48,WEEKDAY(AG$2,2)&lt;6),$Q48/$U48,"")</f>
        <v/>
      </c>
      <c r="AH48" s="59">
        <f>IF(AND($F48&lt;&gt;"",$V48&lt;&gt;"",AH$2&gt;=$F48,AH$2&lt;=$V48,WEEKDAY(AH$2,2)&lt;6),$Q48/$U48,"")</f>
        <v/>
      </c>
      <c r="AI48" s="59">
        <f>IF(AND($F48&lt;&gt;"",$V48&lt;&gt;"",AI$2&gt;=$F48,AI$2&lt;=$V48,WEEKDAY(AI$2,2)&lt;6),$Q48/$U48,"")</f>
        <v/>
      </c>
      <c r="AJ48" s="59">
        <f>IF(AND($F48&lt;&gt;"",$V48&lt;&gt;"",AJ$2&gt;=$F48,AJ$2&lt;=$V48,WEEKDAY(AJ$2,2)&lt;6),$Q48/$U48,"")</f>
        <v/>
      </c>
      <c r="AK48" s="59">
        <f>IF(AND($F48&lt;&gt;"",$V48&lt;&gt;"",AK$2&gt;=$F48,AK$2&lt;=$V48,WEEKDAY(AK$2,2)&lt;6),$Q48/$U48,"")</f>
        <v/>
      </c>
      <c r="AL48" s="59">
        <f>IF(AND($F48&lt;&gt;"",$V48&lt;&gt;"",AL$2&gt;=$F48,AL$2&lt;=$V48,WEEKDAY(AL$2,2)&lt;6),$Q48/$U48,"")</f>
        <v/>
      </c>
      <c r="AM48" s="59">
        <f>IF(AND($F48&lt;&gt;"",$V48&lt;&gt;"",AM$2&gt;=$F48,AM$2&lt;=$V48,WEEKDAY(AM$2,2)&lt;6),$Q48/$U48,"")</f>
        <v/>
      </c>
      <c r="AN48" s="59">
        <f>IF(AND($F48&lt;&gt;"",$V48&lt;&gt;"",AN$2&gt;=$F48,AN$2&lt;=$V48,WEEKDAY(AN$2,2)&lt;6),$Q48/$U48,"")</f>
        <v/>
      </c>
      <c r="AO48" s="59">
        <f>IF(AND($F48&lt;&gt;"",$V48&lt;&gt;"",AO$2&gt;=$F48,AO$2&lt;=$V48,WEEKDAY(AO$2,2)&lt;6),$Q48/$U48,"")</f>
        <v/>
      </c>
      <c r="AP48" s="59">
        <f>IF(AND($F48&lt;&gt;"",$V48&lt;&gt;"",AP$2&gt;=$F48,AP$2&lt;=$V48,WEEKDAY(AP$2,2)&lt;6),$Q48/$U48,"")</f>
        <v/>
      </c>
      <c r="AQ48" s="59">
        <f>IF(AND($F48&lt;&gt;"",$V48&lt;&gt;"",AQ$2&gt;=$F48,AQ$2&lt;=$V48,WEEKDAY(AQ$2,2)&lt;6),$Q48/$U48,"")</f>
        <v/>
      </c>
      <c r="AR48" s="59">
        <f>IF(AND($F48&lt;&gt;"",$V48&lt;&gt;"",AR$2&gt;=$F48,AR$2&lt;=$V48,WEEKDAY(AR$2,2)&lt;6),$Q48/$U48,"")</f>
        <v/>
      </c>
      <c r="AS48" s="59">
        <f>IF(AND($F48&lt;&gt;"",$V48&lt;&gt;"",AS$2&gt;=$F48,AS$2&lt;=$V48,WEEKDAY(AS$2,2)&lt;6),$Q48/$U48,"")</f>
        <v/>
      </c>
      <c r="AT48" s="59">
        <f>IF(AND($F48&lt;&gt;"",$V48&lt;&gt;"",AT$2&gt;=$F48,AT$2&lt;=$V48,WEEKDAY(AT$2,2)&lt;6),$Q48/$U48,"")</f>
        <v/>
      </c>
      <c r="AU48" s="59">
        <f>IF(AND($F48&lt;&gt;"",$V48&lt;&gt;"",AU$2&gt;=$F48,AU$2&lt;=$V48,WEEKDAY(AU$2,2)&lt;6),$Q48/$U48,"")</f>
        <v/>
      </c>
      <c r="AV48" s="59">
        <f>IF(AND($F48&lt;&gt;"",$V48&lt;&gt;"",AV$2&gt;=$F48,AV$2&lt;=$V48,WEEKDAY(AV$2,2)&lt;6),$Q48/$U48,"")</f>
        <v/>
      </c>
      <c r="AW48" s="59">
        <f>IF(AND($F48&lt;&gt;"",$V48&lt;&gt;"",AW$2&gt;=$F48,AW$2&lt;=$V48,WEEKDAY(AW$2,2)&lt;6),$Q48/$U48,"")</f>
        <v/>
      </c>
      <c r="AX48" s="59">
        <f>IF(AND($F48&lt;&gt;"",$V48&lt;&gt;"",AX$2&gt;=$F48,AX$2&lt;=$V48,WEEKDAY(AX$2,2)&lt;6),$Q48/$U48,"")</f>
        <v/>
      </c>
      <c r="AY48" s="59">
        <f>IF(AND($F48&lt;&gt;"",$V48&lt;&gt;"",AY$2&gt;=$F48,AY$2&lt;=$V48,WEEKDAY(AY$2,2)&lt;6),$Q48/$U48,"")</f>
        <v/>
      </c>
      <c r="AZ48" s="59">
        <f>IF(AND($F48&lt;&gt;"",$V48&lt;&gt;"",AZ$2&gt;=$F48,AZ$2&lt;=$V48,WEEKDAY(AZ$2,2)&lt;6),$Q48/$U48,"")</f>
        <v/>
      </c>
      <c r="BA48" s="59">
        <f>IF(AND($F48&lt;&gt;"",$V48&lt;&gt;"",BA$2&gt;=$F48,BA$2&lt;=$V48,WEEKDAY(BA$2,2)&lt;6),$Q48/$U48,"")</f>
        <v/>
      </c>
      <c r="BB48" s="59">
        <f>IF(AND($F48&lt;&gt;"",$V48&lt;&gt;"",BB$2&gt;=$F48,BB$2&lt;=$V48,WEEKDAY(BB$2,2)&lt;6),$Q48/$U48,"")</f>
        <v/>
      </c>
      <c r="BC48" s="59">
        <f>IF(AND($F48&lt;&gt;"",$V48&lt;&gt;"",BC$2&gt;=$F48,BC$2&lt;=$V48,WEEKDAY(BC$2,2)&lt;6),$Q48/$U48,"")</f>
        <v/>
      </c>
      <c r="BD48" s="59">
        <f>IF(AND($F48&lt;&gt;"",$V48&lt;&gt;"",BD$2&gt;=$F48,BD$2&lt;=$V48,WEEKDAY(BD$2,2)&lt;6),$Q48/$U48,"")</f>
        <v/>
      </c>
    </row>
    <row r="49">
      <c r="A49" s="34">
        <f>IF(E49="","",COUNTA($E$8:E49))</f>
        <v/>
      </c>
      <c r="B49" s="52" t="n"/>
      <c r="C49" s="53" t="n"/>
      <c r="D49" s="53" t="n"/>
      <c r="E49" s="52" t="n"/>
      <c r="F49" s="54" t="n"/>
      <c r="G49" s="54" t="n"/>
      <c r="H49" s="53" t="n"/>
      <c r="I49" s="53" t="n"/>
      <c r="J49" s="53" t="n"/>
      <c r="K49" s="52" t="n"/>
      <c r="L49" s="55" t="n"/>
      <c r="M49" s="52" t="n"/>
      <c r="N49" s="55" t="n"/>
      <c r="O49" s="52" t="n"/>
      <c r="P49" s="55" t="n"/>
      <c r="Q49" s="56">
        <f>IF(SUM(L49,N49,P49)=0,"",SUM(L49,N49,P49))</f>
        <v/>
      </c>
      <c r="R49" s="57">
        <f>IF(L49&gt;0,"영 ","")&amp;IF(N49&gt;0,"이 ","")&amp;IF(P49&gt;0,"기 ","")</f>
        <v/>
      </c>
      <c r="S49" s="34">
        <f>IF(F49="","","W"&amp;ROUNDUP(DAY(F49)/7,0))</f>
        <v/>
      </c>
      <c r="T49" s="53" t="n"/>
      <c r="U49" s="34">
        <f>IF(Q49="",0,ROUNDUP(MAX(L49,N49,P49)/'마스터'!$J$5,0))</f>
        <v/>
      </c>
      <c r="V49" s="58">
        <f>IF(OR(F49="",U49=0),"",WORKDAY(F49,U49-1))</f>
        <v/>
      </c>
      <c r="W49" s="57">
        <f>IF(OR(G49="",V49=""),"",G49-V49)</f>
        <v/>
      </c>
      <c r="X49" s="52" t="n"/>
      <c r="Z49" s="59">
        <f>IF(AND($F49&lt;&gt;"",$V49&lt;&gt;"",Z$2&gt;=$F49,Z$2&lt;=$V49,WEEKDAY(Z$2,2)&lt;6),$Q49/$U49,"")</f>
        <v/>
      </c>
      <c r="AA49" s="59">
        <f>IF(AND($F49&lt;&gt;"",$V49&lt;&gt;"",AA$2&gt;=$F49,AA$2&lt;=$V49,WEEKDAY(AA$2,2)&lt;6),$Q49/$U49,"")</f>
        <v/>
      </c>
      <c r="AB49" s="59">
        <f>IF(AND($F49&lt;&gt;"",$V49&lt;&gt;"",AB$2&gt;=$F49,AB$2&lt;=$V49,WEEKDAY(AB$2,2)&lt;6),$Q49/$U49,"")</f>
        <v/>
      </c>
      <c r="AC49" s="59">
        <f>IF(AND($F49&lt;&gt;"",$V49&lt;&gt;"",AC$2&gt;=$F49,AC$2&lt;=$V49,WEEKDAY(AC$2,2)&lt;6),$Q49/$U49,"")</f>
        <v/>
      </c>
      <c r="AD49" s="59">
        <f>IF(AND($F49&lt;&gt;"",$V49&lt;&gt;"",AD$2&gt;=$F49,AD$2&lt;=$V49,WEEKDAY(AD$2,2)&lt;6),$Q49/$U49,"")</f>
        <v/>
      </c>
      <c r="AE49" s="59">
        <f>IF(AND($F49&lt;&gt;"",$V49&lt;&gt;"",AE$2&gt;=$F49,AE$2&lt;=$V49,WEEKDAY(AE$2,2)&lt;6),$Q49/$U49,"")</f>
        <v/>
      </c>
      <c r="AF49" s="59">
        <f>IF(AND($F49&lt;&gt;"",$V49&lt;&gt;"",AF$2&gt;=$F49,AF$2&lt;=$V49,WEEKDAY(AF$2,2)&lt;6),$Q49/$U49,"")</f>
        <v/>
      </c>
      <c r="AG49" s="59">
        <f>IF(AND($F49&lt;&gt;"",$V49&lt;&gt;"",AG$2&gt;=$F49,AG$2&lt;=$V49,WEEKDAY(AG$2,2)&lt;6),$Q49/$U49,"")</f>
        <v/>
      </c>
      <c r="AH49" s="59">
        <f>IF(AND($F49&lt;&gt;"",$V49&lt;&gt;"",AH$2&gt;=$F49,AH$2&lt;=$V49,WEEKDAY(AH$2,2)&lt;6),$Q49/$U49,"")</f>
        <v/>
      </c>
      <c r="AI49" s="59">
        <f>IF(AND($F49&lt;&gt;"",$V49&lt;&gt;"",AI$2&gt;=$F49,AI$2&lt;=$V49,WEEKDAY(AI$2,2)&lt;6),$Q49/$U49,"")</f>
        <v/>
      </c>
      <c r="AJ49" s="59">
        <f>IF(AND($F49&lt;&gt;"",$V49&lt;&gt;"",AJ$2&gt;=$F49,AJ$2&lt;=$V49,WEEKDAY(AJ$2,2)&lt;6),$Q49/$U49,"")</f>
        <v/>
      </c>
      <c r="AK49" s="59">
        <f>IF(AND($F49&lt;&gt;"",$V49&lt;&gt;"",AK$2&gt;=$F49,AK$2&lt;=$V49,WEEKDAY(AK$2,2)&lt;6),$Q49/$U49,"")</f>
        <v/>
      </c>
      <c r="AL49" s="59">
        <f>IF(AND($F49&lt;&gt;"",$V49&lt;&gt;"",AL$2&gt;=$F49,AL$2&lt;=$V49,WEEKDAY(AL$2,2)&lt;6),$Q49/$U49,"")</f>
        <v/>
      </c>
      <c r="AM49" s="59">
        <f>IF(AND($F49&lt;&gt;"",$V49&lt;&gt;"",AM$2&gt;=$F49,AM$2&lt;=$V49,WEEKDAY(AM$2,2)&lt;6),$Q49/$U49,"")</f>
        <v/>
      </c>
      <c r="AN49" s="59">
        <f>IF(AND($F49&lt;&gt;"",$V49&lt;&gt;"",AN$2&gt;=$F49,AN$2&lt;=$V49,WEEKDAY(AN$2,2)&lt;6),$Q49/$U49,"")</f>
        <v/>
      </c>
      <c r="AO49" s="59">
        <f>IF(AND($F49&lt;&gt;"",$V49&lt;&gt;"",AO$2&gt;=$F49,AO$2&lt;=$V49,WEEKDAY(AO$2,2)&lt;6),$Q49/$U49,"")</f>
        <v/>
      </c>
      <c r="AP49" s="59">
        <f>IF(AND($F49&lt;&gt;"",$V49&lt;&gt;"",AP$2&gt;=$F49,AP$2&lt;=$V49,WEEKDAY(AP$2,2)&lt;6),$Q49/$U49,"")</f>
        <v/>
      </c>
      <c r="AQ49" s="59">
        <f>IF(AND($F49&lt;&gt;"",$V49&lt;&gt;"",AQ$2&gt;=$F49,AQ$2&lt;=$V49,WEEKDAY(AQ$2,2)&lt;6),$Q49/$U49,"")</f>
        <v/>
      </c>
      <c r="AR49" s="59">
        <f>IF(AND($F49&lt;&gt;"",$V49&lt;&gt;"",AR$2&gt;=$F49,AR$2&lt;=$V49,WEEKDAY(AR$2,2)&lt;6),$Q49/$U49,"")</f>
        <v/>
      </c>
      <c r="AS49" s="59">
        <f>IF(AND($F49&lt;&gt;"",$V49&lt;&gt;"",AS$2&gt;=$F49,AS$2&lt;=$V49,WEEKDAY(AS$2,2)&lt;6),$Q49/$U49,"")</f>
        <v/>
      </c>
      <c r="AT49" s="59">
        <f>IF(AND($F49&lt;&gt;"",$V49&lt;&gt;"",AT$2&gt;=$F49,AT$2&lt;=$V49,WEEKDAY(AT$2,2)&lt;6),$Q49/$U49,"")</f>
        <v/>
      </c>
      <c r="AU49" s="59">
        <f>IF(AND($F49&lt;&gt;"",$V49&lt;&gt;"",AU$2&gt;=$F49,AU$2&lt;=$V49,WEEKDAY(AU$2,2)&lt;6),$Q49/$U49,"")</f>
        <v/>
      </c>
      <c r="AV49" s="59">
        <f>IF(AND($F49&lt;&gt;"",$V49&lt;&gt;"",AV$2&gt;=$F49,AV$2&lt;=$V49,WEEKDAY(AV$2,2)&lt;6),$Q49/$U49,"")</f>
        <v/>
      </c>
      <c r="AW49" s="59">
        <f>IF(AND($F49&lt;&gt;"",$V49&lt;&gt;"",AW$2&gt;=$F49,AW$2&lt;=$V49,WEEKDAY(AW$2,2)&lt;6),$Q49/$U49,"")</f>
        <v/>
      </c>
      <c r="AX49" s="59">
        <f>IF(AND($F49&lt;&gt;"",$V49&lt;&gt;"",AX$2&gt;=$F49,AX$2&lt;=$V49,WEEKDAY(AX$2,2)&lt;6),$Q49/$U49,"")</f>
        <v/>
      </c>
      <c r="AY49" s="59">
        <f>IF(AND($F49&lt;&gt;"",$V49&lt;&gt;"",AY$2&gt;=$F49,AY$2&lt;=$V49,WEEKDAY(AY$2,2)&lt;6),$Q49/$U49,"")</f>
        <v/>
      </c>
      <c r="AZ49" s="59">
        <f>IF(AND($F49&lt;&gt;"",$V49&lt;&gt;"",AZ$2&gt;=$F49,AZ$2&lt;=$V49,WEEKDAY(AZ$2,2)&lt;6),$Q49/$U49,"")</f>
        <v/>
      </c>
      <c r="BA49" s="59">
        <f>IF(AND($F49&lt;&gt;"",$V49&lt;&gt;"",BA$2&gt;=$F49,BA$2&lt;=$V49,WEEKDAY(BA$2,2)&lt;6),$Q49/$U49,"")</f>
        <v/>
      </c>
      <c r="BB49" s="59">
        <f>IF(AND($F49&lt;&gt;"",$V49&lt;&gt;"",BB$2&gt;=$F49,BB$2&lt;=$V49,WEEKDAY(BB$2,2)&lt;6),$Q49/$U49,"")</f>
        <v/>
      </c>
      <c r="BC49" s="59">
        <f>IF(AND($F49&lt;&gt;"",$V49&lt;&gt;"",BC$2&gt;=$F49,BC$2&lt;=$V49,WEEKDAY(BC$2,2)&lt;6),$Q49/$U49,"")</f>
        <v/>
      </c>
      <c r="BD49" s="59">
        <f>IF(AND($F49&lt;&gt;"",$V49&lt;&gt;"",BD$2&gt;=$F49,BD$2&lt;=$V49,WEEKDAY(BD$2,2)&lt;6),$Q49/$U49,"")</f>
        <v/>
      </c>
    </row>
    <row r="50">
      <c r="A50" s="34">
        <f>IF(E50="","",COUNTA($E$8:E50))</f>
        <v/>
      </c>
      <c r="B50" s="52" t="n"/>
      <c r="C50" s="53" t="n"/>
      <c r="D50" s="53" t="n"/>
      <c r="E50" s="52" t="n"/>
      <c r="F50" s="54" t="n"/>
      <c r="G50" s="54" t="n"/>
      <c r="H50" s="53" t="n"/>
      <c r="I50" s="53" t="n"/>
      <c r="J50" s="53" t="n"/>
      <c r="K50" s="52" t="n"/>
      <c r="L50" s="55" t="n"/>
      <c r="M50" s="52" t="n"/>
      <c r="N50" s="55" t="n"/>
      <c r="O50" s="52" t="n"/>
      <c r="P50" s="55" t="n"/>
      <c r="Q50" s="56">
        <f>IF(SUM(L50,N50,P50)=0,"",SUM(L50,N50,P50))</f>
        <v/>
      </c>
      <c r="R50" s="57">
        <f>IF(L50&gt;0,"영 ","")&amp;IF(N50&gt;0,"이 ","")&amp;IF(P50&gt;0,"기 ","")</f>
        <v/>
      </c>
      <c r="S50" s="34">
        <f>IF(F50="","","W"&amp;ROUNDUP(DAY(F50)/7,0))</f>
        <v/>
      </c>
      <c r="T50" s="53" t="n"/>
      <c r="U50" s="34">
        <f>IF(Q50="",0,ROUNDUP(MAX(L50,N50,P50)/'마스터'!$J$5,0))</f>
        <v/>
      </c>
      <c r="V50" s="58">
        <f>IF(OR(F50="",U50=0),"",WORKDAY(F50,U50-1))</f>
        <v/>
      </c>
      <c r="W50" s="57">
        <f>IF(OR(G50="",V50=""),"",G50-V50)</f>
        <v/>
      </c>
      <c r="X50" s="52" t="n"/>
      <c r="Z50" s="59">
        <f>IF(AND($F50&lt;&gt;"",$V50&lt;&gt;"",Z$2&gt;=$F50,Z$2&lt;=$V50,WEEKDAY(Z$2,2)&lt;6),$Q50/$U50,"")</f>
        <v/>
      </c>
      <c r="AA50" s="59">
        <f>IF(AND($F50&lt;&gt;"",$V50&lt;&gt;"",AA$2&gt;=$F50,AA$2&lt;=$V50,WEEKDAY(AA$2,2)&lt;6),$Q50/$U50,"")</f>
        <v/>
      </c>
      <c r="AB50" s="59">
        <f>IF(AND($F50&lt;&gt;"",$V50&lt;&gt;"",AB$2&gt;=$F50,AB$2&lt;=$V50,WEEKDAY(AB$2,2)&lt;6),$Q50/$U50,"")</f>
        <v/>
      </c>
      <c r="AC50" s="59">
        <f>IF(AND($F50&lt;&gt;"",$V50&lt;&gt;"",AC$2&gt;=$F50,AC$2&lt;=$V50,WEEKDAY(AC$2,2)&lt;6),$Q50/$U50,"")</f>
        <v/>
      </c>
      <c r="AD50" s="59">
        <f>IF(AND($F50&lt;&gt;"",$V50&lt;&gt;"",AD$2&gt;=$F50,AD$2&lt;=$V50,WEEKDAY(AD$2,2)&lt;6),$Q50/$U50,"")</f>
        <v/>
      </c>
      <c r="AE50" s="59">
        <f>IF(AND($F50&lt;&gt;"",$V50&lt;&gt;"",AE$2&gt;=$F50,AE$2&lt;=$V50,WEEKDAY(AE$2,2)&lt;6),$Q50/$U50,"")</f>
        <v/>
      </c>
      <c r="AF50" s="59">
        <f>IF(AND($F50&lt;&gt;"",$V50&lt;&gt;"",AF$2&gt;=$F50,AF$2&lt;=$V50,WEEKDAY(AF$2,2)&lt;6),$Q50/$U50,"")</f>
        <v/>
      </c>
      <c r="AG50" s="59">
        <f>IF(AND($F50&lt;&gt;"",$V50&lt;&gt;"",AG$2&gt;=$F50,AG$2&lt;=$V50,WEEKDAY(AG$2,2)&lt;6),$Q50/$U50,"")</f>
        <v/>
      </c>
      <c r="AH50" s="59">
        <f>IF(AND($F50&lt;&gt;"",$V50&lt;&gt;"",AH$2&gt;=$F50,AH$2&lt;=$V50,WEEKDAY(AH$2,2)&lt;6),$Q50/$U50,"")</f>
        <v/>
      </c>
      <c r="AI50" s="59">
        <f>IF(AND($F50&lt;&gt;"",$V50&lt;&gt;"",AI$2&gt;=$F50,AI$2&lt;=$V50,WEEKDAY(AI$2,2)&lt;6),$Q50/$U50,"")</f>
        <v/>
      </c>
      <c r="AJ50" s="59">
        <f>IF(AND($F50&lt;&gt;"",$V50&lt;&gt;"",AJ$2&gt;=$F50,AJ$2&lt;=$V50,WEEKDAY(AJ$2,2)&lt;6),$Q50/$U50,"")</f>
        <v/>
      </c>
      <c r="AK50" s="59">
        <f>IF(AND($F50&lt;&gt;"",$V50&lt;&gt;"",AK$2&gt;=$F50,AK$2&lt;=$V50,WEEKDAY(AK$2,2)&lt;6),$Q50/$U50,"")</f>
        <v/>
      </c>
      <c r="AL50" s="59">
        <f>IF(AND($F50&lt;&gt;"",$V50&lt;&gt;"",AL$2&gt;=$F50,AL$2&lt;=$V50,WEEKDAY(AL$2,2)&lt;6),$Q50/$U50,"")</f>
        <v/>
      </c>
      <c r="AM50" s="59">
        <f>IF(AND($F50&lt;&gt;"",$V50&lt;&gt;"",AM$2&gt;=$F50,AM$2&lt;=$V50,WEEKDAY(AM$2,2)&lt;6),$Q50/$U50,"")</f>
        <v/>
      </c>
      <c r="AN50" s="59">
        <f>IF(AND($F50&lt;&gt;"",$V50&lt;&gt;"",AN$2&gt;=$F50,AN$2&lt;=$V50,WEEKDAY(AN$2,2)&lt;6),$Q50/$U50,"")</f>
        <v/>
      </c>
      <c r="AO50" s="59">
        <f>IF(AND($F50&lt;&gt;"",$V50&lt;&gt;"",AO$2&gt;=$F50,AO$2&lt;=$V50,WEEKDAY(AO$2,2)&lt;6),$Q50/$U50,"")</f>
        <v/>
      </c>
      <c r="AP50" s="59">
        <f>IF(AND($F50&lt;&gt;"",$V50&lt;&gt;"",AP$2&gt;=$F50,AP$2&lt;=$V50,WEEKDAY(AP$2,2)&lt;6),$Q50/$U50,"")</f>
        <v/>
      </c>
      <c r="AQ50" s="59">
        <f>IF(AND($F50&lt;&gt;"",$V50&lt;&gt;"",AQ$2&gt;=$F50,AQ$2&lt;=$V50,WEEKDAY(AQ$2,2)&lt;6),$Q50/$U50,"")</f>
        <v/>
      </c>
      <c r="AR50" s="59">
        <f>IF(AND($F50&lt;&gt;"",$V50&lt;&gt;"",AR$2&gt;=$F50,AR$2&lt;=$V50,WEEKDAY(AR$2,2)&lt;6),$Q50/$U50,"")</f>
        <v/>
      </c>
      <c r="AS50" s="59">
        <f>IF(AND($F50&lt;&gt;"",$V50&lt;&gt;"",AS$2&gt;=$F50,AS$2&lt;=$V50,WEEKDAY(AS$2,2)&lt;6),$Q50/$U50,"")</f>
        <v/>
      </c>
      <c r="AT50" s="59">
        <f>IF(AND($F50&lt;&gt;"",$V50&lt;&gt;"",AT$2&gt;=$F50,AT$2&lt;=$V50,WEEKDAY(AT$2,2)&lt;6),$Q50/$U50,"")</f>
        <v/>
      </c>
      <c r="AU50" s="59">
        <f>IF(AND($F50&lt;&gt;"",$V50&lt;&gt;"",AU$2&gt;=$F50,AU$2&lt;=$V50,WEEKDAY(AU$2,2)&lt;6),$Q50/$U50,"")</f>
        <v/>
      </c>
      <c r="AV50" s="59">
        <f>IF(AND($F50&lt;&gt;"",$V50&lt;&gt;"",AV$2&gt;=$F50,AV$2&lt;=$V50,WEEKDAY(AV$2,2)&lt;6),$Q50/$U50,"")</f>
        <v/>
      </c>
      <c r="AW50" s="59">
        <f>IF(AND($F50&lt;&gt;"",$V50&lt;&gt;"",AW$2&gt;=$F50,AW$2&lt;=$V50,WEEKDAY(AW$2,2)&lt;6),$Q50/$U50,"")</f>
        <v/>
      </c>
      <c r="AX50" s="59">
        <f>IF(AND($F50&lt;&gt;"",$V50&lt;&gt;"",AX$2&gt;=$F50,AX$2&lt;=$V50,WEEKDAY(AX$2,2)&lt;6),$Q50/$U50,"")</f>
        <v/>
      </c>
      <c r="AY50" s="59">
        <f>IF(AND($F50&lt;&gt;"",$V50&lt;&gt;"",AY$2&gt;=$F50,AY$2&lt;=$V50,WEEKDAY(AY$2,2)&lt;6),$Q50/$U50,"")</f>
        <v/>
      </c>
      <c r="AZ50" s="59">
        <f>IF(AND($F50&lt;&gt;"",$V50&lt;&gt;"",AZ$2&gt;=$F50,AZ$2&lt;=$V50,WEEKDAY(AZ$2,2)&lt;6),$Q50/$U50,"")</f>
        <v/>
      </c>
      <c r="BA50" s="59">
        <f>IF(AND($F50&lt;&gt;"",$V50&lt;&gt;"",BA$2&gt;=$F50,BA$2&lt;=$V50,WEEKDAY(BA$2,2)&lt;6),$Q50/$U50,"")</f>
        <v/>
      </c>
      <c r="BB50" s="59">
        <f>IF(AND($F50&lt;&gt;"",$V50&lt;&gt;"",BB$2&gt;=$F50,BB$2&lt;=$V50,WEEKDAY(BB$2,2)&lt;6),$Q50/$U50,"")</f>
        <v/>
      </c>
      <c r="BC50" s="59">
        <f>IF(AND($F50&lt;&gt;"",$V50&lt;&gt;"",BC$2&gt;=$F50,BC$2&lt;=$V50,WEEKDAY(BC$2,2)&lt;6),$Q50/$U50,"")</f>
        <v/>
      </c>
      <c r="BD50" s="59">
        <f>IF(AND($F50&lt;&gt;"",$V50&lt;&gt;"",BD$2&gt;=$F50,BD$2&lt;=$V50,WEEKDAY(BD$2,2)&lt;6),$Q50/$U50,"")</f>
        <v/>
      </c>
    </row>
    <row r="51">
      <c r="A51" s="34">
        <f>IF(E51="","",COUNTA($E$8:E51))</f>
        <v/>
      </c>
      <c r="B51" s="52" t="n"/>
      <c r="C51" s="53" t="n"/>
      <c r="D51" s="53" t="n"/>
      <c r="E51" s="52" t="n"/>
      <c r="F51" s="54" t="n"/>
      <c r="G51" s="54" t="n"/>
      <c r="H51" s="53" t="n"/>
      <c r="I51" s="53" t="n"/>
      <c r="J51" s="53" t="n"/>
      <c r="K51" s="52" t="n"/>
      <c r="L51" s="55" t="n"/>
      <c r="M51" s="52" t="n"/>
      <c r="N51" s="55" t="n"/>
      <c r="O51" s="52" t="n"/>
      <c r="P51" s="55" t="n"/>
      <c r="Q51" s="56">
        <f>IF(SUM(L51,N51,P51)=0,"",SUM(L51,N51,P51))</f>
        <v/>
      </c>
      <c r="R51" s="57">
        <f>IF(L51&gt;0,"영 ","")&amp;IF(N51&gt;0,"이 ","")&amp;IF(P51&gt;0,"기 ","")</f>
        <v/>
      </c>
      <c r="S51" s="34">
        <f>IF(F51="","","W"&amp;ROUNDUP(DAY(F51)/7,0))</f>
        <v/>
      </c>
      <c r="T51" s="53" t="n"/>
      <c r="U51" s="34">
        <f>IF(Q51="",0,ROUNDUP(MAX(L51,N51,P51)/'마스터'!$J$5,0))</f>
        <v/>
      </c>
      <c r="V51" s="58">
        <f>IF(OR(F51="",U51=0),"",WORKDAY(F51,U51-1))</f>
        <v/>
      </c>
      <c r="W51" s="57">
        <f>IF(OR(G51="",V51=""),"",G51-V51)</f>
        <v/>
      </c>
      <c r="X51" s="52" t="n"/>
      <c r="Z51" s="59">
        <f>IF(AND($F51&lt;&gt;"",$V51&lt;&gt;"",Z$2&gt;=$F51,Z$2&lt;=$V51,WEEKDAY(Z$2,2)&lt;6),$Q51/$U51,"")</f>
        <v/>
      </c>
      <c r="AA51" s="59">
        <f>IF(AND($F51&lt;&gt;"",$V51&lt;&gt;"",AA$2&gt;=$F51,AA$2&lt;=$V51,WEEKDAY(AA$2,2)&lt;6),$Q51/$U51,"")</f>
        <v/>
      </c>
      <c r="AB51" s="59">
        <f>IF(AND($F51&lt;&gt;"",$V51&lt;&gt;"",AB$2&gt;=$F51,AB$2&lt;=$V51,WEEKDAY(AB$2,2)&lt;6),$Q51/$U51,"")</f>
        <v/>
      </c>
      <c r="AC51" s="59">
        <f>IF(AND($F51&lt;&gt;"",$V51&lt;&gt;"",AC$2&gt;=$F51,AC$2&lt;=$V51,WEEKDAY(AC$2,2)&lt;6),$Q51/$U51,"")</f>
        <v/>
      </c>
      <c r="AD51" s="59">
        <f>IF(AND($F51&lt;&gt;"",$V51&lt;&gt;"",AD$2&gt;=$F51,AD$2&lt;=$V51,WEEKDAY(AD$2,2)&lt;6),$Q51/$U51,"")</f>
        <v/>
      </c>
      <c r="AE51" s="59">
        <f>IF(AND($F51&lt;&gt;"",$V51&lt;&gt;"",AE$2&gt;=$F51,AE$2&lt;=$V51,WEEKDAY(AE$2,2)&lt;6),$Q51/$U51,"")</f>
        <v/>
      </c>
      <c r="AF51" s="59">
        <f>IF(AND($F51&lt;&gt;"",$V51&lt;&gt;"",AF$2&gt;=$F51,AF$2&lt;=$V51,WEEKDAY(AF$2,2)&lt;6),$Q51/$U51,"")</f>
        <v/>
      </c>
      <c r="AG51" s="59">
        <f>IF(AND($F51&lt;&gt;"",$V51&lt;&gt;"",AG$2&gt;=$F51,AG$2&lt;=$V51,WEEKDAY(AG$2,2)&lt;6),$Q51/$U51,"")</f>
        <v/>
      </c>
      <c r="AH51" s="59">
        <f>IF(AND($F51&lt;&gt;"",$V51&lt;&gt;"",AH$2&gt;=$F51,AH$2&lt;=$V51,WEEKDAY(AH$2,2)&lt;6),$Q51/$U51,"")</f>
        <v/>
      </c>
      <c r="AI51" s="59">
        <f>IF(AND($F51&lt;&gt;"",$V51&lt;&gt;"",AI$2&gt;=$F51,AI$2&lt;=$V51,WEEKDAY(AI$2,2)&lt;6),$Q51/$U51,"")</f>
        <v/>
      </c>
      <c r="AJ51" s="59">
        <f>IF(AND($F51&lt;&gt;"",$V51&lt;&gt;"",AJ$2&gt;=$F51,AJ$2&lt;=$V51,WEEKDAY(AJ$2,2)&lt;6),$Q51/$U51,"")</f>
        <v/>
      </c>
      <c r="AK51" s="59">
        <f>IF(AND($F51&lt;&gt;"",$V51&lt;&gt;"",AK$2&gt;=$F51,AK$2&lt;=$V51,WEEKDAY(AK$2,2)&lt;6),$Q51/$U51,"")</f>
        <v/>
      </c>
      <c r="AL51" s="59">
        <f>IF(AND($F51&lt;&gt;"",$V51&lt;&gt;"",AL$2&gt;=$F51,AL$2&lt;=$V51,WEEKDAY(AL$2,2)&lt;6),$Q51/$U51,"")</f>
        <v/>
      </c>
      <c r="AM51" s="59">
        <f>IF(AND($F51&lt;&gt;"",$V51&lt;&gt;"",AM$2&gt;=$F51,AM$2&lt;=$V51,WEEKDAY(AM$2,2)&lt;6),$Q51/$U51,"")</f>
        <v/>
      </c>
      <c r="AN51" s="59">
        <f>IF(AND($F51&lt;&gt;"",$V51&lt;&gt;"",AN$2&gt;=$F51,AN$2&lt;=$V51,WEEKDAY(AN$2,2)&lt;6),$Q51/$U51,"")</f>
        <v/>
      </c>
      <c r="AO51" s="59">
        <f>IF(AND($F51&lt;&gt;"",$V51&lt;&gt;"",AO$2&gt;=$F51,AO$2&lt;=$V51,WEEKDAY(AO$2,2)&lt;6),$Q51/$U51,"")</f>
        <v/>
      </c>
      <c r="AP51" s="59">
        <f>IF(AND($F51&lt;&gt;"",$V51&lt;&gt;"",AP$2&gt;=$F51,AP$2&lt;=$V51,WEEKDAY(AP$2,2)&lt;6),$Q51/$U51,"")</f>
        <v/>
      </c>
      <c r="AQ51" s="59">
        <f>IF(AND($F51&lt;&gt;"",$V51&lt;&gt;"",AQ$2&gt;=$F51,AQ$2&lt;=$V51,WEEKDAY(AQ$2,2)&lt;6),$Q51/$U51,"")</f>
        <v/>
      </c>
      <c r="AR51" s="59">
        <f>IF(AND($F51&lt;&gt;"",$V51&lt;&gt;"",AR$2&gt;=$F51,AR$2&lt;=$V51,WEEKDAY(AR$2,2)&lt;6),$Q51/$U51,"")</f>
        <v/>
      </c>
      <c r="AS51" s="59">
        <f>IF(AND($F51&lt;&gt;"",$V51&lt;&gt;"",AS$2&gt;=$F51,AS$2&lt;=$V51,WEEKDAY(AS$2,2)&lt;6),$Q51/$U51,"")</f>
        <v/>
      </c>
      <c r="AT51" s="59">
        <f>IF(AND($F51&lt;&gt;"",$V51&lt;&gt;"",AT$2&gt;=$F51,AT$2&lt;=$V51,WEEKDAY(AT$2,2)&lt;6),$Q51/$U51,"")</f>
        <v/>
      </c>
      <c r="AU51" s="59">
        <f>IF(AND($F51&lt;&gt;"",$V51&lt;&gt;"",AU$2&gt;=$F51,AU$2&lt;=$V51,WEEKDAY(AU$2,2)&lt;6),$Q51/$U51,"")</f>
        <v/>
      </c>
      <c r="AV51" s="59">
        <f>IF(AND($F51&lt;&gt;"",$V51&lt;&gt;"",AV$2&gt;=$F51,AV$2&lt;=$V51,WEEKDAY(AV$2,2)&lt;6),$Q51/$U51,"")</f>
        <v/>
      </c>
      <c r="AW51" s="59">
        <f>IF(AND($F51&lt;&gt;"",$V51&lt;&gt;"",AW$2&gt;=$F51,AW$2&lt;=$V51,WEEKDAY(AW$2,2)&lt;6),$Q51/$U51,"")</f>
        <v/>
      </c>
      <c r="AX51" s="59">
        <f>IF(AND($F51&lt;&gt;"",$V51&lt;&gt;"",AX$2&gt;=$F51,AX$2&lt;=$V51,WEEKDAY(AX$2,2)&lt;6),$Q51/$U51,"")</f>
        <v/>
      </c>
      <c r="AY51" s="59">
        <f>IF(AND($F51&lt;&gt;"",$V51&lt;&gt;"",AY$2&gt;=$F51,AY$2&lt;=$V51,WEEKDAY(AY$2,2)&lt;6),$Q51/$U51,"")</f>
        <v/>
      </c>
      <c r="AZ51" s="59">
        <f>IF(AND($F51&lt;&gt;"",$V51&lt;&gt;"",AZ$2&gt;=$F51,AZ$2&lt;=$V51,WEEKDAY(AZ$2,2)&lt;6),$Q51/$U51,"")</f>
        <v/>
      </c>
      <c r="BA51" s="59">
        <f>IF(AND($F51&lt;&gt;"",$V51&lt;&gt;"",BA$2&gt;=$F51,BA$2&lt;=$V51,WEEKDAY(BA$2,2)&lt;6),$Q51/$U51,"")</f>
        <v/>
      </c>
      <c r="BB51" s="59">
        <f>IF(AND($F51&lt;&gt;"",$V51&lt;&gt;"",BB$2&gt;=$F51,BB$2&lt;=$V51,WEEKDAY(BB$2,2)&lt;6),$Q51/$U51,"")</f>
        <v/>
      </c>
      <c r="BC51" s="59">
        <f>IF(AND($F51&lt;&gt;"",$V51&lt;&gt;"",BC$2&gt;=$F51,BC$2&lt;=$V51,WEEKDAY(BC$2,2)&lt;6),$Q51/$U51,"")</f>
        <v/>
      </c>
      <c r="BD51" s="59">
        <f>IF(AND($F51&lt;&gt;"",$V51&lt;&gt;"",BD$2&gt;=$F51,BD$2&lt;=$V51,WEEKDAY(BD$2,2)&lt;6),$Q51/$U51,"")</f>
        <v/>
      </c>
    </row>
    <row r="52">
      <c r="A52" s="34">
        <f>IF(E52="","",COUNTA($E$8:E52))</f>
        <v/>
      </c>
      <c r="B52" s="52" t="n"/>
      <c r="C52" s="53" t="n"/>
      <c r="D52" s="53" t="n"/>
      <c r="E52" s="52" t="n"/>
      <c r="F52" s="54" t="n"/>
      <c r="G52" s="54" t="n"/>
      <c r="H52" s="53" t="n"/>
      <c r="I52" s="53" t="n"/>
      <c r="J52" s="53" t="n"/>
      <c r="K52" s="52" t="n"/>
      <c r="L52" s="55" t="n"/>
      <c r="M52" s="52" t="n"/>
      <c r="N52" s="55" t="n"/>
      <c r="O52" s="52" t="n"/>
      <c r="P52" s="55" t="n"/>
      <c r="Q52" s="56">
        <f>IF(SUM(L52,N52,P52)=0,"",SUM(L52,N52,P52))</f>
        <v/>
      </c>
      <c r="R52" s="57">
        <f>IF(L52&gt;0,"영 ","")&amp;IF(N52&gt;0,"이 ","")&amp;IF(P52&gt;0,"기 ","")</f>
        <v/>
      </c>
      <c r="S52" s="34">
        <f>IF(F52="","","W"&amp;ROUNDUP(DAY(F52)/7,0))</f>
        <v/>
      </c>
      <c r="T52" s="53" t="n"/>
      <c r="U52" s="34">
        <f>IF(Q52="",0,ROUNDUP(MAX(L52,N52,P52)/'마스터'!$J$5,0))</f>
        <v/>
      </c>
      <c r="V52" s="58">
        <f>IF(OR(F52="",U52=0),"",WORKDAY(F52,U52-1))</f>
        <v/>
      </c>
      <c r="W52" s="57">
        <f>IF(OR(G52="",V52=""),"",G52-V52)</f>
        <v/>
      </c>
      <c r="X52" s="52" t="n"/>
      <c r="Z52" s="59">
        <f>IF(AND($F52&lt;&gt;"",$V52&lt;&gt;"",Z$2&gt;=$F52,Z$2&lt;=$V52,WEEKDAY(Z$2,2)&lt;6),$Q52/$U52,"")</f>
        <v/>
      </c>
      <c r="AA52" s="59">
        <f>IF(AND($F52&lt;&gt;"",$V52&lt;&gt;"",AA$2&gt;=$F52,AA$2&lt;=$V52,WEEKDAY(AA$2,2)&lt;6),$Q52/$U52,"")</f>
        <v/>
      </c>
      <c r="AB52" s="59">
        <f>IF(AND($F52&lt;&gt;"",$V52&lt;&gt;"",AB$2&gt;=$F52,AB$2&lt;=$V52,WEEKDAY(AB$2,2)&lt;6),$Q52/$U52,"")</f>
        <v/>
      </c>
      <c r="AC52" s="59">
        <f>IF(AND($F52&lt;&gt;"",$V52&lt;&gt;"",AC$2&gt;=$F52,AC$2&lt;=$V52,WEEKDAY(AC$2,2)&lt;6),$Q52/$U52,"")</f>
        <v/>
      </c>
      <c r="AD52" s="59">
        <f>IF(AND($F52&lt;&gt;"",$V52&lt;&gt;"",AD$2&gt;=$F52,AD$2&lt;=$V52,WEEKDAY(AD$2,2)&lt;6),$Q52/$U52,"")</f>
        <v/>
      </c>
      <c r="AE52" s="59">
        <f>IF(AND($F52&lt;&gt;"",$V52&lt;&gt;"",AE$2&gt;=$F52,AE$2&lt;=$V52,WEEKDAY(AE$2,2)&lt;6),$Q52/$U52,"")</f>
        <v/>
      </c>
      <c r="AF52" s="59">
        <f>IF(AND($F52&lt;&gt;"",$V52&lt;&gt;"",AF$2&gt;=$F52,AF$2&lt;=$V52,WEEKDAY(AF$2,2)&lt;6),$Q52/$U52,"")</f>
        <v/>
      </c>
      <c r="AG52" s="59">
        <f>IF(AND($F52&lt;&gt;"",$V52&lt;&gt;"",AG$2&gt;=$F52,AG$2&lt;=$V52,WEEKDAY(AG$2,2)&lt;6),$Q52/$U52,"")</f>
        <v/>
      </c>
      <c r="AH52" s="59">
        <f>IF(AND($F52&lt;&gt;"",$V52&lt;&gt;"",AH$2&gt;=$F52,AH$2&lt;=$V52,WEEKDAY(AH$2,2)&lt;6),$Q52/$U52,"")</f>
        <v/>
      </c>
      <c r="AI52" s="59">
        <f>IF(AND($F52&lt;&gt;"",$V52&lt;&gt;"",AI$2&gt;=$F52,AI$2&lt;=$V52,WEEKDAY(AI$2,2)&lt;6),$Q52/$U52,"")</f>
        <v/>
      </c>
      <c r="AJ52" s="59">
        <f>IF(AND($F52&lt;&gt;"",$V52&lt;&gt;"",AJ$2&gt;=$F52,AJ$2&lt;=$V52,WEEKDAY(AJ$2,2)&lt;6),$Q52/$U52,"")</f>
        <v/>
      </c>
      <c r="AK52" s="59">
        <f>IF(AND($F52&lt;&gt;"",$V52&lt;&gt;"",AK$2&gt;=$F52,AK$2&lt;=$V52,WEEKDAY(AK$2,2)&lt;6),$Q52/$U52,"")</f>
        <v/>
      </c>
      <c r="AL52" s="59">
        <f>IF(AND($F52&lt;&gt;"",$V52&lt;&gt;"",AL$2&gt;=$F52,AL$2&lt;=$V52,WEEKDAY(AL$2,2)&lt;6),$Q52/$U52,"")</f>
        <v/>
      </c>
      <c r="AM52" s="59">
        <f>IF(AND($F52&lt;&gt;"",$V52&lt;&gt;"",AM$2&gt;=$F52,AM$2&lt;=$V52,WEEKDAY(AM$2,2)&lt;6),$Q52/$U52,"")</f>
        <v/>
      </c>
      <c r="AN52" s="59">
        <f>IF(AND($F52&lt;&gt;"",$V52&lt;&gt;"",AN$2&gt;=$F52,AN$2&lt;=$V52,WEEKDAY(AN$2,2)&lt;6),$Q52/$U52,"")</f>
        <v/>
      </c>
      <c r="AO52" s="59">
        <f>IF(AND($F52&lt;&gt;"",$V52&lt;&gt;"",AO$2&gt;=$F52,AO$2&lt;=$V52,WEEKDAY(AO$2,2)&lt;6),$Q52/$U52,"")</f>
        <v/>
      </c>
      <c r="AP52" s="59">
        <f>IF(AND($F52&lt;&gt;"",$V52&lt;&gt;"",AP$2&gt;=$F52,AP$2&lt;=$V52,WEEKDAY(AP$2,2)&lt;6),$Q52/$U52,"")</f>
        <v/>
      </c>
      <c r="AQ52" s="59">
        <f>IF(AND($F52&lt;&gt;"",$V52&lt;&gt;"",AQ$2&gt;=$F52,AQ$2&lt;=$V52,WEEKDAY(AQ$2,2)&lt;6),$Q52/$U52,"")</f>
        <v/>
      </c>
      <c r="AR52" s="59">
        <f>IF(AND($F52&lt;&gt;"",$V52&lt;&gt;"",AR$2&gt;=$F52,AR$2&lt;=$V52,WEEKDAY(AR$2,2)&lt;6),$Q52/$U52,"")</f>
        <v/>
      </c>
      <c r="AS52" s="59">
        <f>IF(AND($F52&lt;&gt;"",$V52&lt;&gt;"",AS$2&gt;=$F52,AS$2&lt;=$V52,WEEKDAY(AS$2,2)&lt;6),$Q52/$U52,"")</f>
        <v/>
      </c>
      <c r="AT52" s="59">
        <f>IF(AND($F52&lt;&gt;"",$V52&lt;&gt;"",AT$2&gt;=$F52,AT$2&lt;=$V52,WEEKDAY(AT$2,2)&lt;6),$Q52/$U52,"")</f>
        <v/>
      </c>
      <c r="AU52" s="59">
        <f>IF(AND($F52&lt;&gt;"",$V52&lt;&gt;"",AU$2&gt;=$F52,AU$2&lt;=$V52,WEEKDAY(AU$2,2)&lt;6),$Q52/$U52,"")</f>
        <v/>
      </c>
      <c r="AV52" s="59">
        <f>IF(AND($F52&lt;&gt;"",$V52&lt;&gt;"",AV$2&gt;=$F52,AV$2&lt;=$V52,WEEKDAY(AV$2,2)&lt;6),$Q52/$U52,"")</f>
        <v/>
      </c>
      <c r="AW52" s="59">
        <f>IF(AND($F52&lt;&gt;"",$V52&lt;&gt;"",AW$2&gt;=$F52,AW$2&lt;=$V52,WEEKDAY(AW$2,2)&lt;6),$Q52/$U52,"")</f>
        <v/>
      </c>
      <c r="AX52" s="59">
        <f>IF(AND($F52&lt;&gt;"",$V52&lt;&gt;"",AX$2&gt;=$F52,AX$2&lt;=$V52,WEEKDAY(AX$2,2)&lt;6),$Q52/$U52,"")</f>
        <v/>
      </c>
      <c r="AY52" s="59">
        <f>IF(AND($F52&lt;&gt;"",$V52&lt;&gt;"",AY$2&gt;=$F52,AY$2&lt;=$V52,WEEKDAY(AY$2,2)&lt;6),$Q52/$U52,"")</f>
        <v/>
      </c>
      <c r="AZ52" s="59">
        <f>IF(AND($F52&lt;&gt;"",$V52&lt;&gt;"",AZ$2&gt;=$F52,AZ$2&lt;=$V52,WEEKDAY(AZ$2,2)&lt;6),$Q52/$U52,"")</f>
        <v/>
      </c>
      <c r="BA52" s="59">
        <f>IF(AND($F52&lt;&gt;"",$V52&lt;&gt;"",BA$2&gt;=$F52,BA$2&lt;=$V52,WEEKDAY(BA$2,2)&lt;6),$Q52/$U52,"")</f>
        <v/>
      </c>
      <c r="BB52" s="59">
        <f>IF(AND($F52&lt;&gt;"",$V52&lt;&gt;"",BB$2&gt;=$F52,BB$2&lt;=$V52,WEEKDAY(BB$2,2)&lt;6),$Q52/$U52,"")</f>
        <v/>
      </c>
      <c r="BC52" s="59">
        <f>IF(AND($F52&lt;&gt;"",$V52&lt;&gt;"",BC$2&gt;=$F52,BC$2&lt;=$V52,WEEKDAY(BC$2,2)&lt;6),$Q52/$U52,"")</f>
        <v/>
      </c>
      <c r="BD52" s="59">
        <f>IF(AND($F52&lt;&gt;"",$V52&lt;&gt;"",BD$2&gt;=$F52,BD$2&lt;=$V52,WEEKDAY(BD$2,2)&lt;6),$Q52/$U52,"")</f>
        <v/>
      </c>
    </row>
    <row r="53">
      <c r="A53" s="34">
        <f>IF(E53="","",COUNTA($E$8:E53))</f>
        <v/>
      </c>
      <c r="B53" s="52" t="n"/>
      <c r="C53" s="53" t="n"/>
      <c r="D53" s="53" t="n"/>
      <c r="E53" s="52" t="n"/>
      <c r="F53" s="54" t="n"/>
      <c r="G53" s="54" t="n"/>
      <c r="H53" s="53" t="n"/>
      <c r="I53" s="53" t="n"/>
      <c r="J53" s="53" t="n"/>
      <c r="K53" s="52" t="n"/>
      <c r="L53" s="55" t="n"/>
      <c r="M53" s="52" t="n"/>
      <c r="N53" s="55" t="n"/>
      <c r="O53" s="52" t="n"/>
      <c r="P53" s="55" t="n"/>
      <c r="Q53" s="56">
        <f>IF(SUM(L53,N53,P53)=0,"",SUM(L53,N53,P53))</f>
        <v/>
      </c>
      <c r="R53" s="57">
        <f>IF(L53&gt;0,"영 ","")&amp;IF(N53&gt;0,"이 ","")&amp;IF(P53&gt;0,"기 ","")</f>
        <v/>
      </c>
      <c r="S53" s="34">
        <f>IF(F53="","","W"&amp;ROUNDUP(DAY(F53)/7,0))</f>
        <v/>
      </c>
      <c r="T53" s="53" t="n"/>
      <c r="U53" s="34">
        <f>IF(Q53="",0,ROUNDUP(MAX(L53,N53,P53)/'마스터'!$J$5,0))</f>
        <v/>
      </c>
      <c r="V53" s="58">
        <f>IF(OR(F53="",U53=0),"",WORKDAY(F53,U53-1))</f>
        <v/>
      </c>
      <c r="W53" s="57">
        <f>IF(OR(G53="",V53=""),"",G53-V53)</f>
        <v/>
      </c>
      <c r="X53" s="52" t="n"/>
      <c r="Z53" s="59">
        <f>IF(AND($F53&lt;&gt;"",$V53&lt;&gt;"",Z$2&gt;=$F53,Z$2&lt;=$V53,WEEKDAY(Z$2,2)&lt;6),$Q53/$U53,"")</f>
        <v/>
      </c>
      <c r="AA53" s="59">
        <f>IF(AND($F53&lt;&gt;"",$V53&lt;&gt;"",AA$2&gt;=$F53,AA$2&lt;=$V53,WEEKDAY(AA$2,2)&lt;6),$Q53/$U53,"")</f>
        <v/>
      </c>
      <c r="AB53" s="59">
        <f>IF(AND($F53&lt;&gt;"",$V53&lt;&gt;"",AB$2&gt;=$F53,AB$2&lt;=$V53,WEEKDAY(AB$2,2)&lt;6),$Q53/$U53,"")</f>
        <v/>
      </c>
      <c r="AC53" s="59">
        <f>IF(AND($F53&lt;&gt;"",$V53&lt;&gt;"",AC$2&gt;=$F53,AC$2&lt;=$V53,WEEKDAY(AC$2,2)&lt;6),$Q53/$U53,"")</f>
        <v/>
      </c>
      <c r="AD53" s="59">
        <f>IF(AND($F53&lt;&gt;"",$V53&lt;&gt;"",AD$2&gt;=$F53,AD$2&lt;=$V53,WEEKDAY(AD$2,2)&lt;6),$Q53/$U53,"")</f>
        <v/>
      </c>
      <c r="AE53" s="59">
        <f>IF(AND($F53&lt;&gt;"",$V53&lt;&gt;"",AE$2&gt;=$F53,AE$2&lt;=$V53,WEEKDAY(AE$2,2)&lt;6),$Q53/$U53,"")</f>
        <v/>
      </c>
      <c r="AF53" s="59">
        <f>IF(AND($F53&lt;&gt;"",$V53&lt;&gt;"",AF$2&gt;=$F53,AF$2&lt;=$V53,WEEKDAY(AF$2,2)&lt;6),$Q53/$U53,"")</f>
        <v/>
      </c>
      <c r="AG53" s="59">
        <f>IF(AND($F53&lt;&gt;"",$V53&lt;&gt;"",AG$2&gt;=$F53,AG$2&lt;=$V53,WEEKDAY(AG$2,2)&lt;6),$Q53/$U53,"")</f>
        <v/>
      </c>
      <c r="AH53" s="59">
        <f>IF(AND($F53&lt;&gt;"",$V53&lt;&gt;"",AH$2&gt;=$F53,AH$2&lt;=$V53,WEEKDAY(AH$2,2)&lt;6),$Q53/$U53,"")</f>
        <v/>
      </c>
      <c r="AI53" s="59">
        <f>IF(AND($F53&lt;&gt;"",$V53&lt;&gt;"",AI$2&gt;=$F53,AI$2&lt;=$V53,WEEKDAY(AI$2,2)&lt;6),$Q53/$U53,"")</f>
        <v/>
      </c>
      <c r="AJ53" s="59">
        <f>IF(AND($F53&lt;&gt;"",$V53&lt;&gt;"",AJ$2&gt;=$F53,AJ$2&lt;=$V53,WEEKDAY(AJ$2,2)&lt;6),$Q53/$U53,"")</f>
        <v/>
      </c>
      <c r="AK53" s="59">
        <f>IF(AND($F53&lt;&gt;"",$V53&lt;&gt;"",AK$2&gt;=$F53,AK$2&lt;=$V53,WEEKDAY(AK$2,2)&lt;6),$Q53/$U53,"")</f>
        <v/>
      </c>
      <c r="AL53" s="59">
        <f>IF(AND($F53&lt;&gt;"",$V53&lt;&gt;"",AL$2&gt;=$F53,AL$2&lt;=$V53,WEEKDAY(AL$2,2)&lt;6),$Q53/$U53,"")</f>
        <v/>
      </c>
      <c r="AM53" s="59">
        <f>IF(AND($F53&lt;&gt;"",$V53&lt;&gt;"",AM$2&gt;=$F53,AM$2&lt;=$V53,WEEKDAY(AM$2,2)&lt;6),$Q53/$U53,"")</f>
        <v/>
      </c>
      <c r="AN53" s="59">
        <f>IF(AND($F53&lt;&gt;"",$V53&lt;&gt;"",AN$2&gt;=$F53,AN$2&lt;=$V53,WEEKDAY(AN$2,2)&lt;6),$Q53/$U53,"")</f>
        <v/>
      </c>
      <c r="AO53" s="59">
        <f>IF(AND($F53&lt;&gt;"",$V53&lt;&gt;"",AO$2&gt;=$F53,AO$2&lt;=$V53,WEEKDAY(AO$2,2)&lt;6),$Q53/$U53,"")</f>
        <v/>
      </c>
      <c r="AP53" s="59">
        <f>IF(AND($F53&lt;&gt;"",$V53&lt;&gt;"",AP$2&gt;=$F53,AP$2&lt;=$V53,WEEKDAY(AP$2,2)&lt;6),$Q53/$U53,"")</f>
        <v/>
      </c>
      <c r="AQ53" s="59">
        <f>IF(AND($F53&lt;&gt;"",$V53&lt;&gt;"",AQ$2&gt;=$F53,AQ$2&lt;=$V53,WEEKDAY(AQ$2,2)&lt;6),$Q53/$U53,"")</f>
        <v/>
      </c>
      <c r="AR53" s="59">
        <f>IF(AND($F53&lt;&gt;"",$V53&lt;&gt;"",AR$2&gt;=$F53,AR$2&lt;=$V53,WEEKDAY(AR$2,2)&lt;6),$Q53/$U53,"")</f>
        <v/>
      </c>
      <c r="AS53" s="59">
        <f>IF(AND($F53&lt;&gt;"",$V53&lt;&gt;"",AS$2&gt;=$F53,AS$2&lt;=$V53,WEEKDAY(AS$2,2)&lt;6),$Q53/$U53,"")</f>
        <v/>
      </c>
      <c r="AT53" s="59">
        <f>IF(AND($F53&lt;&gt;"",$V53&lt;&gt;"",AT$2&gt;=$F53,AT$2&lt;=$V53,WEEKDAY(AT$2,2)&lt;6),$Q53/$U53,"")</f>
        <v/>
      </c>
      <c r="AU53" s="59">
        <f>IF(AND($F53&lt;&gt;"",$V53&lt;&gt;"",AU$2&gt;=$F53,AU$2&lt;=$V53,WEEKDAY(AU$2,2)&lt;6),$Q53/$U53,"")</f>
        <v/>
      </c>
      <c r="AV53" s="59">
        <f>IF(AND($F53&lt;&gt;"",$V53&lt;&gt;"",AV$2&gt;=$F53,AV$2&lt;=$V53,WEEKDAY(AV$2,2)&lt;6),$Q53/$U53,"")</f>
        <v/>
      </c>
      <c r="AW53" s="59">
        <f>IF(AND($F53&lt;&gt;"",$V53&lt;&gt;"",AW$2&gt;=$F53,AW$2&lt;=$V53,WEEKDAY(AW$2,2)&lt;6),$Q53/$U53,"")</f>
        <v/>
      </c>
      <c r="AX53" s="59">
        <f>IF(AND($F53&lt;&gt;"",$V53&lt;&gt;"",AX$2&gt;=$F53,AX$2&lt;=$V53,WEEKDAY(AX$2,2)&lt;6),$Q53/$U53,"")</f>
        <v/>
      </c>
      <c r="AY53" s="59">
        <f>IF(AND($F53&lt;&gt;"",$V53&lt;&gt;"",AY$2&gt;=$F53,AY$2&lt;=$V53,WEEKDAY(AY$2,2)&lt;6),$Q53/$U53,"")</f>
        <v/>
      </c>
      <c r="AZ53" s="59">
        <f>IF(AND($F53&lt;&gt;"",$V53&lt;&gt;"",AZ$2&gt;=$F53,AZ$2&lt;=$V53,WEEKDAY(AZ$2,2)&lt;6),$Q53/$U53,"")</f>
        <v/>
      </c>
      <c r="BA53" s="59">
        <f>IF(AND($F53&lt;&gt;"",$V53&lt;&gt;"",BA$2&gt;=$F53,BA$2&lt;=$V53,WEEKDAY(BA$2,2)&lt;6),$Q53/$U53,"")</f>
        <v/>
      </c>
      <c r="BB53" s="59">
        <f>IF(AND($F53&lt;&gt;"",$V53&lt;&gt;"",BB$2&gt;=$F53,BB$2&lt;=$V53,WEEKDAY(BB$2,2)&lt;6),$Q53/$U53,"")</f>
        <v/>
      </c>
      <c r="BC53" s="59">
        <f>IF(AND($F53&lt;&gt;"",$V53&lt;&gt;"",BC$2&gt;=$F53,BC$2&lt;=$V53,WEEKDAY(BC$2,2)&lt;6),$Q53/$U53,"")</f>
        <v/>
      </c>
      <c r="BD53" s="59">
        <f>IF(AND($F53&lt;&gt;"",$V53&lt;&gt;"",BD$2&gt;=$F53,BD$2&lt;=$V53,WEEKDAY(BD$2,2)&lt;6),$Q53/$U53,"")</f>
        <v/>
      </c>
    </row>
    <row r="54">
      <c r="A54" s="34">
        <f>IF(E54="","",COUNTA($E$8:E54))</f>
        <v/>
      </c>
      <c r="B54" s="52" t="n"/>
      <c r="C54" s="53" t="n"/>
      <c r="D54" s="53" t="n"/>
      <c r="E54" s="52" t="n"/>
      <c r="F54" s="54" t="n"/>
      <c r="G54" s="54" t="n"/>
      <c r="H54" s="53" t="n"/>
      <c r="I54" s="53" t="n"/>
      <c r="J54" s="53" t="n"/>
      <c r="K54" s="52" t="n"/>
      <c r="L54" s="55" t="n"/>
      <c r="M54" s="52" t="n"/>
      <c r="N54" s="55" t="n"/>
      <c r="O54" s="52" t="n"/>
      <c r="P54" s="55" t="n"/>
      <c r="Q54" s="56">
        <f>IF(SUM(L54,N54,P54)=0,"",SUM(L54,N54,P54))</f>
        <v/>
      </c>
      <c r="R54" s="57">
        <f>IF(L54&gt;0,"영 ","")&amp;IF(N54&gt;0,"이 ","")&amp;IF(P54&gt;0,"기 ","")</f>
        <v/>
      </c>
      <c r="S54" s="34">
        <f>IF(F54="","","W"&amp;ROUNDUP(DAY(F54)/7,0))</f>
        <v/>
      </c>
      <c r="T54" s="53" t="n"/>
      <c r="U54" s="34">
        <f>IF(Q54="",0,ROUNDUP(MAX(L54,N54,P54)/'마스터'!$J$5,0))</f>
        <v/>
      </c>
      <c r="V54" s="58">
        <f>IF(OR(F54="",U54=0),"",WORKDAY(F54,U54-1))</f>
        <v/>
      </c>
      <c r="W54" s="57">
        <f>IF(OR(G54="",V54=""),"",G54-V54)</f>
        <v/>
      </c>
      <c r="X54" s="52" t="n"/>
      <c r="Z54" s="59">
        <f>IF(AND($F54&lt;&gt;"",$V54&lt;&gt;"",Z$2&gt;=$F54,Z$2&lt;=$V54,WEEKDAY(Z$2,2)&lt;6),$Q54/$U54,"")</f>
        <v/>
      </c>
      <c r="AA54" s="59">
        <f>IF(AND($F54&lt;&gt;"",$V54&lt;&gt;"",AA$2&gt;=$F54,AA$2&lt;=$V54,WEEKDAY(AA$2,2)&lt;6),$Q54/$U54,"")</f>
        <v/>
      </c>
      <c r="AB54" s="59">
        <f>IF(AND($F54&lt;&gt;"",$V54&lt;&gt;"",AB$2&gt;=$F54,AB$2&lt;=$V54,WEEKDAY(AB$2,2)&lt;6),$Q54/$U54,"")</f>
        <v/>
      </c>
      <c r="AC54" s="59">
        <f>IF(AND($F54&lt;&gt;"",$V54&lt;&gt;"",AC$2&gt;=$F54,AC$2&lt;=$V54,WEEKDAY(AC$2,2)&lt;6),$Q54/$U54,"")</f>
        <v/>
      </c>
      <c r="AD54" s="59">
        <f>IF(AND($F54&lt;&gt;"",$V54&lt;&gt;"",AD$2&gt;=$F54,AD$2&lt;=$V54,WEEKDAY(AD$2,2)&lt;6),$Q54/$U54,"")</f>
        <v/>
      </c>
      <c r="AE54" s="59">
        <f>IF(AND($F54&lt;&gt;"",$V54&lt;&gt;"",AE$2&gt;=$F54,AE$2&lt;=$V54,WEEKDAY(AE$2,2)&lt;6),$Q54/$U54,"")</f>
        <v/>
      </c>
      <c r="AF54" s="59">
        <f>IF(AND($F54&lt;&gt;"",$V54&lt;&gt;"",AF$2&gt;=$F54,AF$2&lt;=$V54,WEEKDAY(AF$2,2)&lt;6),$Q54/$U54,"")</f>
        <v/>
      </c>
      <c r="AG54" s="59">
        <f>IF(AND($F54&lt;&gt;"",$V54&lt;&gt;"",AG$2&gt;=$F54,AG$2&lt;=$V54,WEEKDAY(AG$2,2)&lt;6),$Q54/$U54,"")</f>
        <v/>
      </c>
      <c r="AH54" s="59">
        <f>IF(AND($F54&lt;&gt;"",$V54&lt;&gt;"",AH$2&gt;=$F54,AH$2&lt;=$V54,WEEKDAY(AH$2,2)&lt;6),$Q54/$U54,"")</f>
        <v/>
      </c>
      <c r="AI54" s="59">
        <f>IF(AND($F54&lt;&gt;"",$V54&lt;&gt;"",AI$2&gt;=$F54,AI$2&lt;=$V54,WEEKDAY(AI$2,2)&lt;6),$Q54/$U54,"")</f>
        <v/>
      </c>
      <c r="AJ54" s="59">
        <f>IF(AND($F54&lt;&gt;"",$V54&lt;&gt;"",AJ$2&gt;=$F54,AJ$2&lt;=$V54,WEEKDAY(AJ$2,2)&lt;6),$Q54/$U54,"")</f>
        <v/>
      </c>
      <c r="AK54" s="59">
        <f>IF(AND($F54&lt;&gt;"",$V54&lt;&gt;"",AK$2&gt;=$F54,AK$2&lt;=$V54,WEEKDAY(AK$2,2)&lt;6),$Q54/$U54,"")</f>
        <v/>
      </c>
      <c r="AL54" s="59">
        <f>IF(AND($F54&lt;&gt;"",$V54&lt;&gt;"",AL$2&gt;=$F54,AL$2&lt;=$V54,WEEKDAY(AL$2,2)&lt;6),$Q54/$U54,"")</f>
        <v/>
      </c>
      <c r="AM54" s="59">
        <f>IF(AND($F54&lt;&gt;"",$V54&lt;&gt;"",AM$2&gt;=$F54,AM$2&lt;=$V54,WEEKDAY(AM$2,2)&lt;6),$Q54/$U54,"")</f>
        <v/>
      </c>
      <c r="AN54" s="59">
        <f>IF(AND($F54&lt;&gt;"",$V54&lt;&gt;"",AN$2&gt;=$F54,AN$2&lt;=$V54,WEEKDAY(AN$2,2)&lt;6),$Q54/$U54,"")</f>
        <v/>
      </c>
      <c r="AO54" s="59">
        <f>IF(AND($F54&lt;&gt;"",$V54&lt;&gt;"",AO$2&gt;=$F54,AO$2&lt;=$V54,WEEKDAY(AO$2,2)&lt;6),$Q54/$U54,"")</f>
        <v/>
      </c>
      <c r="AP54" s="59">
        <f>IF(AND($F54&lt;&gt;"",$V54&lt;&gt;"",AP$2&gt;=$F54,AP$2&lt;=$V54,WEEKDAY(AP$2,2)&lt;6),$Q54/$U54,"")</f>
        <v/>
      </c>
      <c r="AQ54" s="59">
        <f>IF(AND($F54&lt;&gt;"",$V54&lt;&gt;"",AQ$2&gt;=$F54,AQ$2&lt;=$V54,WEEKDAY(AQ$2,2)&lt;6),$Q54/$U54,"")</f>
        <v/>
      </c>
      <c r="AR54" s="59">
        <f>IF(AND($F54&lt;&gt;"",$V54&lt;&gt;"",AR$2&gt;=$F54,AR$2&lt;=$V54,WEEKDAY(AR$2,2)&lt;6),$Q54/$U54,"")</f>
        <v/>
      </c>
      <c r="AS54" s="59">
        <f>IF(AND($F54&lt;&gt;"",$V54&lt;&gt;"",AS$2&gt;=$F54,AS$2&lt;=$V54,WEEKDAY(AS$2,2)&lt;6),$Q54/$U54,"")</f>
        <v/>
      </c>
      <c r="AT54" s="59">
        <f>IF(AND($F54&lt;&gt;"",$V54&lt;&gt;"",AT$2&gt;=$F54,AT$2&lt;=$V54,WEEKDAY(AT$2,2)&lt;6),$Q54/$U54,"")</f>
        <v/>
      </c>
      <c r="AU54" s="59">
        <f>IF(AND($F54&lt;&gt;"",$V54&lt;&gt;"",AU$2&gt;=$F54,AU$2&lt;=$V54,WEEKDAY(AU$2,2)&lt;6),$Q54/$U54,"")</f>
        <v/>
      </c>
      <c r="AV54" s="59">
        <f>IF(AND($F54&lt;&gt;"",$V54&lt;&gt;"",AV$2&gt;=$F54,AV$2&lt;=$V54,WEEKDAY(AV$2,2)&lt;6),$Q54/$U54,"")</f>
        <v/>
      </c>
      <c r="AW54" s="59">
        <f>IF(AND($F54&lt;&gt;"",$V54&lt;&gt;"",AW$2&gt;=$F54,AW$2&lt;=$V54,WEEKDAY(AW$2,2)&lt;6),$Q54/$U54,"")</f>
        <v/>
      </c>
      <c r="AX54" s="59">
        <f>IF(AND($F54&lt;&gt;"",$V54&lt;&gt;"",AX$2&gt;=$F54,AX$2&lt;=$V54,WEEKDAY(AX$2,2)&lt;6),$Q54/$U54,"")</f>
        <v/>
      </c>
      <c r="AY54" s="59">
        <f>IF(AND($F54&lt;&gt;"",$V54&lt;&gt;"",AY$2&gt;=$F54,AY$2&lt;=$V54,WEEKDAY(AY$2,2)&lt;6),$Q54/$U54,"")</f>
        <v/>
      </c>
      <c r="AZ54" s="59">
        <f>IF(AND($F54&lt;&gt;"",$V54&lt;&gt;"",AZ$2&gt;=$F54,AZ$2&lt;=$V54,WEEKDAY(AZ$2,2)&lt;6),$Q54/$U54,"")</f>
        <v/>
      </c>
      <c r="BA54" s="59">
        <f>IF(AND($F54&lt;&gt;"",$V54&lt;&gt;"",BA$2&gt;=$F54,BA$2&lt;=$V54,WEEKDAY(BA$2,2)&lt;6),$Q54/$U54,"")</f>
        <v/>
      </c>
      <c r="BB54" s="59">
        <f>IF(AND($F54&lt;&gt;"",$V54&lt;&gt;"",BB$2&gt;=$F54,BB$2&lt;=$V54,WEEKDAY(BB$2,2)&lt;6),$Q54/$U54,"")</f>
        <v/>
      </c>
      <c r="BC54" s="59">
        <f>IF(AND($F54&lt;&gt;"",$V54&lt;&gt;"",BC$2&gt;=$F54,BC$2&lt;=$V54,WEEKDAY(BC$2,2)&lt;6),$Q54/$U54,"")</f>
        <v/>
      </c>
      <c r="BD54" s="59">
        <f>IF(AND($F54&lt;&gt;"",$V54&lt;&gt;"",BD$2&gt;=$F54,BD$2&lt;=$V54,WEEKDAY(BD$2,2)&lt;6),$Q54/$U54,"")</f>
        <v/>
      </c>
    </row>
    <row r="55">
      <c r="A55" s="34">
        <f>IF(E55="","",COUNTA($E$8:E55))</f>
        <v/>
      </c>
      <c r="B55" s="52" t="n"/>
      <c r="C55" s="53" t="n"/>
      <c r="D55" s="53" t="n"/>
      <c r="E55" s="52" t="n"/>
      <c r="F55" s="54" t="n"/>
      <c r="G55" s="54" t="n"/>
      <c r="H55" s="53" t="n"/>
      <c r="I55" s="53" t="n"/>
      <c r="J55" s="53" t="n"/>
      <c r="K55" s="52" t="n"/>
      <c r="L55" s="55" t="n"/>
      <c r="M55" s="52" t="n"/>
      <c r="N55" s="55" t="n"/>
      <c r="O55" s="52" t="n"/>
      <c r="P55" s="55" t="n"/>
      <c r="Q55" s="56">
        <f>IF(SUM(L55,N55,P55)=0,"",SUM(L55,N55,P55))</f>
        <v/>
      </c>
      <c r="R55" s="57">
        <f>IF(L55&gt;0,"영 ","")&amp;IF(N55&gt;0,"이 ","")&amp;IF(P55&gt;0,"기 ","")</f>
        <v/>
      </c>
      <c r="S55" s="34">
        <f>IF(F55="","","W"&amp;ROUNDUP(DAY(F55)/7,0))</f>
        <v/>
      </c>
      <c r="T55" s="53" t="n"/>
      <c r="U55" s="34">
        <f>IF(Q55="",0,ROUNDUP(MAX(L55,N55,P55)/'마스터'!$J$5,0))</f>
        <v/>
      </c>
      <c r="V55" s="58">
        <f>IF(OR(F55="",U55=0),"",WORKDAY(F55,U55-1))</f>
        <v/>
      </c>
      <c r="W55" s="57">
        <f>IF(OR(G55="",V55=""),"",G55-V55)</f>
        <v/>
      </c>
      <c r="X55" s="52" t="n"/>
      <c r="Z55" s="59">
        <f>IF(AND($F55&lt;&gt;"",$V55&lt;&gt;"",Z$2&gt;=$F55,Z$2&lt;=$V55,WEEKDAY(Z$2,2)&lt;6),$Q55/$U55,"")</f>
        <v/>
      </c>
      <c r="AA55" s="59">
        <f>IF(AND($F55&lt;&gt;"",$V55&lt;&gt;"",AA$2&gt;=$F55,AA$2&lt;=$V55,WEEKDAY(AA$2,2)&lt;6),$Q55/$U55,"")</f>
        <v/>
      </c>
      <c r="AB55" s="59">
        <f>IF(AND($F55&lt;&gt;"",$V55&lt;&gt;"",AB$2&gt;=$F55,AB$2&lt;=$V55,WEEKDAY(AB$2,2)&lt;6),$Q55/$U55,"")</f>
        <v/>
      </c>
      <c r="AC55" s="59">
        <f>IF(AND($F55&lt;&gt;"",$V55&lt;&gt;"",AC$2&gt;=$F55,AC$2&lt;=$V55,WEEKDAY(AC$2,2)&lt;6),$Q55/$U55,"")</f>
        <v/>
      </c>
      <c r="AD55" s="59">
        <f>IF(AND($F55&lt;&gt;"",$V55&lt;&gt;"",AD$2&gt;=$F55,AD$2&lt;=$V55,WEEKDAY(AD$2,2)&lt;6),$Q55/$U55,"")</f>
        <v/>
      </c>
      <c r="AE55" s="59">
        <f>IF(AND($F55&lt;&gt;"",$V55&lt;&gt;"",AE$2&gt;=$F55,AE$2&lt;=$V55,WEEKDAY(AE$2,2)&lt;6),$Q55/$U55,"")</f>
        <v/>
      </c>
      <c r="AF55" s="59">
        <f>IF(AND($F55&lt;&gt;"",$V55&lt;&gt;"",AF$2&gt;=$F55,AF$2&lt;=$V55,WEEKDAY(AF$2,2)&lt;6),$Q55/$U55,"")</f>
        <v/>
      </c>
      <c r="AG55" s="59">
        <f>IF(AND($F55&lt;&gt;"",$V55&lt;&gt;"",AG$2&gt;=$F55,AG$2&lt;=$V55,WEEKDAY(AG$2,2)&lt;6),$Q55/$U55,"")</f>
        <v/>
      </c>
      <c r="AH55" s="59">
        <f>IF(AND($F55&lt;&gt;"",$V55&lt;&gt;"",AH$2&gt;=$F55,AH$2&lt;=$V55,WEEKDAY(AH$2,2)&lt;6),$Q55/$U55,"")</f>
        <v/>
      </c>
      <c r="AI55" s="59">
        <f>IF(AND($F55&lt;&gt;"",$V55&lt;&gt;"",AI$2&gt;=$F55,AI$2&lt;=$V55,WEEKDAY(AI$2,2)&lt;6),$Q55/$U55,"")</f>
        <v/>
      </c>
      <c r="AJ55" s="59">
        <f>IF(AND($F55&lt;&gt;"",$V55&lt;&gt;"",AJ$2&gt;=$F55,AJ$2&lt;=$V55,WEEKDAY(AJ$2,2)&lt;6),$Q55/$U55,"")</f>
        <v/>
      </c>
      <c r="AK55" s="59">
        <f>IF(AND($F55&lt;&gt;"",$V55&lt;&gt;"",AK$2&gt;=$F55,AK$2&lt;=$V55,WEEKDAY(AK$2,2)&lt;6),$Q55/$U55,"")</f>
        <v/>
      </c>
      <c r="AL55" s="59">
        <f>IF(AND($F55&lt;&gt;"",$V55&lt;&gt;"",AL$2&gt;=$F55,AL$2&lt;=$V55,WEEKDAY(AL$2,2)&lt;6),$Q55/$U55,"")</f>
        <v/>
      </c>
      <c r="AM55" s="59">
        <f>IF(AND($F55&lt;&gt;"",$V55&lt;&gt;"",AM$2&gt;=$F55,AM$2&lt;=$V55,WEEKDAY(AM$2,2)&lt;6),$Q55/$U55,"")</f>
        <v/>
      </c>
      <c r="AN55" s="59">
        <f>IF(AND($F55&lt;&gt;"",$V55&lt;&gt;"",AN$2&gt;=$F55,AN$2&lt;=$V55,WEEKDAY(AN$2,2)&lt;6),$Q55/$U55,"")</f>
        <v/>
      </c>
      <c r="AO55" s="59">
        <f>IF(AND($F55&lt;&gt;"",$V55&lt;&gt;"",AO$2&gt;=$F55,AO$2&lt;=$V55,WEEKDAY(AO$2,2)&lt;6),$Q55/$U55,"")</f>
        <v/>
      </c>
      <c r="AP55" s="59">
        <f>IF(AND($F55&lt;&gt;"",$V55&lt;&gt;"",AP$2&gt;=$F55,AP$2&lt;=$V55,WEEKDAY(AP$2,2)&lt;6),$Q55/$U55,"")</f>
        <v/>
      </c>
      <c r="AQ55" s="59">
        <f>IF(AND($F55&lt;&gt;"",$V55&lt;&gt;"",AQ$2&gt;=$F55,AQ$2&lt;=$V55,WEEKDAY(AQ$2,2)&lt;6),$Q55/$U55,"")</f>
        <v/>
      </c>
      <c r="AR55" s="59">
        <f>IF(AND($F55&lt;&gt;"",$V55&lt;&gt;"",AR$2&gt;=$F55,AR$2&lt;=$V55,WEEKDAY(AR$2,2)&lt;6),$Q55/$U55,"")</f>
        <v/>
      </c>
      <c r="AS55" s="59">
        <f>IF(AND($F55&lt;&gt;"",$V55&lt;&gt;"",AS$2&gt;=$F55,AS$2&lt;=$V55,WEEKDAY(AS$2,2)&lt;6),$Q55/$U55,"")</f>
        <v/>
      </c>
      <c r="AT55" s="59">
        <f>IF(AND($F55&lt;&gt;"",$V55&lt;&gt;"",AT$2&gt;=$F55,AT$2&lt;=$V55,WEEKDAY(AT$2,2)&lt;6),$Q55/$U55,"")</f>
        <v/>
      </c>
      <c r="AU55" s="59">
        <f>IF(AND($F55&lt;&gt;"",$V55&lt;&gt;"",AU$2&gt;=$F55,AU$2&lt;=$V55,WEEKDAY(AU$2,2)&lt;6),$Q55/$U55,"")</f>
        <v/>
      </c>
      <c r="AV55" s="59">
        <f>IF(AND($F55&lt;&gt;"",$V55&lt;&gt;"",AV$2&gt;=$F55,AV$2&lt;=$V55,WEEKDAY(AV$2,2)&lt;6),$Q55/$U55,"")</f>
        <v/>
      </c>
      <c r="AW55" s="59">
        <f>IF(AND($F55&lt;&gt;"",$V55&lt;&gt;"",AW$2&gt;=$F55,AW$2&lt;=$V55,WEEKDAY(AW$2,2)&lt;6),$Q55/$U55,"")</f>
        <v/>
      </c>
      <c r="AX55" s="59">
        <f>IF(AND($F55&lt;&gt;"",$V55&lt;&gt;"",AX$2&gt;=$F55,AX$2&lt;=$V55,WEEKDAY(AX$2,2)&lt;6),$Q55/$U55,"")</f>
        <v/>
      </c>
      <c r="AY55" s="59">
        <f>IF(AND($F55&lt;&gt;"",$V55&lt;&gt;"",AY$2&gt;=$F55,AY$2&lt;=$V55,WEEKDAY(AY$2,2)&lt;6),$Q55/$U55,"")</f>
        <v/>
      </c>
      <c r="AZ55" s="59">
        <f>IF(AND($F55&lt;&gt;"",$V55&lt;&gt;"",AZ$2&gt;=$F55,AZ$2&lt;=$V55,WEEKDAY(AZ$2,2)&lt;6),$Q55/$U55,"")</f>
        <v/>
      </c>
      <c r="BA55" s="59">
        <f>IF(AND($F55&lt;&gt;"",$V55&lt;&gt;"",BA$2&gt;=$F55,BA$2&lt;=$V55,WEEKDAY(BA$2,2)&lt;6),$Q55/$U55,"")</f>
        <v/>
      </c>
      <c r="BB55" s="59">
        <f>IF(AND($F55&lt;&gt;"",$V55&lt;&gt;"",BB$2&gt;=$F55,BB$2&lt;=$V55,WEEKDAY(BB$2,2)&lt;6),$Q55/$U55,"")</f>
        <v/>
      </c>
      <c r="BC55" s="59">
        <f>IF(AND($F55&lt;&gt;"",$V55&lt;&gt;"",BC$2&gt;=$F55,BC$2&lt;=$V55,WEEKDAY(BC$2,2)&lt;6),$Q55/$U55,"")</f>
        <v/>
      </c>
      <c r="BD55" s="59">
        <f>IF(AND($F55&lt;&gt;"",$V55&lt;&gt;"",BD$2&gt;=$F55,BD$2&lt;=$V55,WEEKDAY(BD$2,2)&lt;6),$Q55/$U55,"")</f>
        <v/>
      </c>
    </row>
    <row r="56">
      <c r="A56" s="34">
        <f>IF(E56="","",COUNTA($E$8:E56))</f>
        <v/>
      </c>
      <c r="B56" s="52" t="n"/>
      <c r="C56" s="53" t="n"/>
      <c r="D56" s="53" t="n"/>
      <c r="E56" s="52" t="n"/>
      <c r="F56" s="54" t="n"/>
      <c r="G56" s="54" t="n"/>
      <c r="H56" s="53" t="n"/>
      <c r="I56" s="53" t="n"/>
      <c r="J56" s="53" t="n"/>
      <c r="K56" s="52" t="n"/>
      <c r="L56" s="55" t="n"/>
      <c r="M56" s="52" t="n"/>
      <c r="N56" s="55" t="n"/>
      <c r="O56" s="52" t="n"/>
      <c r="P56" s="55" t="n"/>
      <c r="Q56" s="56">
        <f>IF(SUM(L56,N56,P56)=0,"",SUM(L56,N56,P56))</f>
        <v/>
      </c>
      <c r="R56" s="57">
        <f>IF(L56&gt;0,"영 ","")&amp;IF(N56&gt;0,"이 ","")&amp;IF(P56&gt;0,"기 ","")</f>
        <v/>
      </c>
      <c r="S56" s="34">
        <f>IF(F56="","","W"&amp;ROUNDUP(DAY(F56)/7,0))</f>
        <v/>
      </c>
      <c r="T56" s="53" t="n"/>
      <c r="U56" s="34">
        <f>IF(Q56="",0,ROUNDUP(MAX(L56,N56,P56)/'마스터'!$J$5,0))</f>
        <v/>
      </c>
      <c r="V56" s="58">
        <f>IF(OR(F56="",U56=0),"",WORKDAY(F56,U56-1))</f>
        <v/>
      </c>
      <c r="W56" s="57">
        <f>IF(OR(G56="",V56=""),"",G56-V56)</f>
        <v/>
      </c>
      <c r="X56" s="52" t="n"/>
      <c r="Z56" s="59">
        <f>IF(AND($F56&lt;&gt;"",$V56&lt;&gt;"",Z$2&gt;=$F56,Z$2&lt;=$V56,WEEKDAY(Z$2,2)&lt;6),$Q56/$U56,"")</f>
        <v/>
      </c>
      <c r="AA56" s="59">
        <f>IF(AND($F56&lt;&gt;"",$V56&lt;&gt;"",AA$2&gt;=$F56,AA$2&lt;=$V56,WEEKDAY(AA$2,2)&lt;6),$Q56/$U56,"")</f>
        <v/>
      </c>
      <c r="AB56" s="59">
        <f>IF(AND($F56&lt;&gt;"",$V56&lt;&gt;"",AB$2&gt;=$F56,AB$2&lt;=$V56,WEEKDAY(AB$2,2)&lt;6),$Q56/$U56,"")</f>
        <v/>
      </c>
      <c r="AC56" s="59">
        <f>IF(AND($F56&lt;&gt;"",$V56&lt;&gt;"",AC$2&gt;=$F56,AC$2&lt;=$V56,WEEKDAY(AC$2,2)&lt;6),$Q56/$U56,"")</f>
        <v/>
      </c>
      <c r="AD56" s="59">
        <f>IF(AND($F56&lt;&gt;"",$V56&lt;&gt;"",AD$2&gt;=$F56,AD$2&lt;=$V56,WEEKDAY(AD$2,2)&lt;6),$Q56/$U56,"")</f>
        <v/>
      </c>
      <c r="AE56" s="59">
        <f>IF(AND($F56&lt;&gt;"",$V56&lt;&gt;"",AE$2&gt;=$F56,AE$2&lt;=$V56,WEEKDAY(AE$2,2)&lt;6),$Q56/$U56,"")</f>
        <v/>
      </c>
      <c r="AF56" s="59">
        <f>IF(AND($F56&lt;&gt;"",$V56&lt;&gt;"",AF$2&gt;=$F56,AF$2&lt;=$V56,WEEKDAY(AF$2,2)&lt;6),$Q56/$U56,"")</f>
        <v/>
      </c>
      <c r="AG56" s="59">
        <f>IF(AND($F56&lt;&gt;"",$V56&lt;&gt;"",AG$2&gt;=$F56,AG$2&lt;=$V56,WEEKDAY(AG$2,2)&lt;6),$Q56/$U56,"")</f>
        <v/>
      </c>
      <c r="AH56" s="59">
        <f>IF(AND($F56&lt;&gt;"",$V56&lt;&gt;"",AH$2&gt;=$F56,AH$2&lt;=$V56,WEEKDAY(AH$2,2)&lt;6),$Q56/$U56,"")</f>
        <v/>
      </c>
      <c r="AI56" s="59">
        <f>IF(AND($F56&lt;&gt;"",$V56&lt;&gt;"",AI$2&gt;=$F56,AI$2&lt;=$V56,WEEKDAY(AI$2,2)&lt;6),$Q56/$U56,"")</f>
        <v/>
      </c>
      <c r="AJ56" s="59">
        <f>IF(AND($F56&lt;&gt;"",$V56&lt;&gt;"",AJ$2&gt;=$F56,AJ$2&lt;=$V56,WEEKDAY(AJ$2,2)&lt;6),$Q56/$U56,"")</f>
        <v/>
      </c>
      <c r="AK56" s="59">
        <f>IF(AND($F56&lt;&gt;"",$V56&lt;&gt;"",AK$2&gt;=$F56,AK$2&lt;=$V56,WEEKDAY(AK$2,2)&lt;6),$Q56/$U56,"")</f>
        <v/>
      </c>
      <c r="AL56" s="59">
        <f>IF(AND($F56&lt;&gt;"",$V56&lt;&gt;"",AL$2&gt;=$F56,AL$2&lt;=$V56,WEEKDAY(AL$2,2)&lt;6),$Q56/$U56,"")</f>
        <v/>
      </c>
      <c r="AM56" s="59">
        <f>IF(AND($F56&lt;&gt;"",$V56&lt;&gt;"",AM$2&gt;=$F56,AM$2&lt;=$V56,WEEKDAY(AM$2,2)&lt;6),$Q56/$U56,"")</f>
        <v/>
      </c>
      <c r="AN56" s="59">
        <f>IF(AND($F56&lt;&gt;"",$V56&lt;&gt;"",AN$2&gt;=$F56,AN$2&lt;=$V56,WEEKDAY(AN$2,2)&lt;6),$Q56/$U56,"")</f>
        <v/>
      </c>
      <c r="AO56" s="59">
        <f>IF(AND($F56&lt;&gt;"",$V56&lt;&gt;"",AO$2&gt;=$F56,AO$2&lt;=$V56,WEEKDAY(AO$2,2)&lt;6),$Q56/$U56,"")</f>
        <v/>
      </c>
      <c r="AP56" s="59">
        <f>IF(AND($F56&lt;&gt;"",$V56&lt;&gt;"",AP$2&gt;=$F56,AP$2&lt;=$V56,WEEKDAY(AP$2,2)&lt;6),$Q56/$U56,"")</f>
        <v/>
      </c>
      <c r="AQ56" s="59">
        <f>IF(AND($F56&lt;&gt;"",$V56&lt;&gt;"",AQ$2&gt;=$F56,AQ$2&lt;=$V56,WEEKDAY(AQ$2,2)&lt;6),$Q56/$U56,"")</f>
        <v/>
      </c>
      <c r="AR56" s="59">
        <f>IF(AND($F56&lt;&gt;"",$V56&lt;&gt;"",AR$2&gt;=$F56,AR$2&lt;=$V56,WEEKDAY(AR$2,2)&lt;6),$Q56/$U56,"")</f>
        <v/>
      </c>
      <c r="AS56" s="59">
        <f>IF(AND($F56&lt;&gt;"",$V56&lt;&gt;"",AS$2&gt;=$F56,AS$2&lt;=$V56,WEEKDAY(AS$2,2)&lt;6),$Q56/$U56,"")</f>
        <v/>
      </c>
      <c r="AT56" s="59">
        <f>IF(AND($F56&lt;&gt;"",$V56&lt;&gt;"",AT$2&gt;=$F56,AT$2&lt;=$V56,WEEKDAY(AT$2,2)&lt;6),$Q56/$U56,"")</f>
        <v/>
      </c>
      <c r="AU56" s="59">
        <f>IF(AND($F56&lt;&gt;"",$V56&lt;&gt;"",AU$2&gt;=$F56,AU$2&lt;=$V56,WEEKDAY(AU$2,2)&lt;6),$Q56/$U56,"")</f>
        <v/>
      </c>
      <c r="AV56" s="59">
        <f>IF(AND($F56&lt;&gt;"",$V56&lt;&gt;"",AV$2&gt;=$F56,AV$2&lt;=$V56,WEEKDAY(AV$2,2)&lt;6),$Q56/$U56,"")</f>
        <v/>
      </c>
      <c r="AW56" s="59">
        <f>IF(AND($F56&lt;&gt;"",$V56&lt;&gt;"",AW$2&gt;=$F56,AW$2&lt;=$V56,WEEKDAY(AW$2,2)&lt;6),$Q56/$U56,"")</f>
        <v/>
      </c>
      <c r="AX56" s="59">
        <f>IF(AND($F56&lt;&gt;"",$V56&lt;&gt;"",AX$2&gt;=$F56,AX$2&lt;=$V56,WEEKDAY(AX$2,2)&lt;6),$Q56/$U56,"")</f>
        <v/>
      </c>
      <c r="AY56" s="59">
        <f>IF(AND($F56&lt;&gt;"",$V56&lt;&gt;"",AY$2&gt;=$F56,AY$2&lt;=$V56,WEEKDAY(AY$2,2)&lt;6),$Q56/$U56,"")</f>
        <v/>
      </c>
      <c r="AZ56" s="59">
        <f>IF(AND($F56&lt;&gt;"",$V56&lt;&gt;"",AZ$2&gt;=$F56,AZ$2&lt;=$V56,WEEKDAY(AZ$2,2)&lt;6),$Q56/$U56,"")</f>
        <v/>
      </c>
      <c r="BA56" s="59">
        <f>IF(AND($F56&lt;&gt;"",$V56&lt;&gt;"",BA$2&gt;=$F56,BA$2&lt;=$V56,WEEKDAY(BA$2,2)&lt;6),$Q56/$U56,"")</f>
        <v/>
      </c>
      <c r="BB56" s="59">
        <f>IF(AND($F56&lt;&gt;"",$V56&lt;&gt;"",BB$2&gt;=$F56,BB$2&lt;=$V56,WEEKDAY(BB$2,2)&lt;6),$Q56/$U56,"")</f>
        <v/>
      </c>
      <c r="BC56" s="59">
        <f>IF(AND($F56&lt;&gt;"",$V56&lt;&gt;"",BC$2&gt;=$F56,BC$2&lt;=$V56,WEEKDAY(BC$2,2)&lt;6),$Q56/$U56,"")</f>
        <v/>
      </c>
      <c r="BD56" s="59">
        <f>IF(AND($F56&lt;&gt;"",$V56&lt;&gt;"",BD$2&gt;=$F56,BD$2&lt;=$V56,WEEKDAY(BD$2,2)&lt;6),$Q56/$U56,"")</f>
        <v/>
      </c>
    </row>
    <row r="57">
      <c r="A57" s="34">
        <f>IF(E57="","",COUNTA($E$8:E57))</f>
        <v/>
      </c>
      <c r="B57" s="52" t="n"/>
      <c r="C57" s="53" t="n"/>
      <c r="D57" s="53" t="n"/>
      <c r="E57" s="52" t="n"/>
      <c r="F57" s="54" t="n"/>
      <c r="G57" s="54" t="n"/>
      <c r="H57" s="53" t="n"/>
      <c r="I57" s="53" t="n"/>
      <c r="J57" s="53" t="n"/>
      <c r="K57" s="52" t="n"/>
      <c r="L57" s="55" t="n"/>
      <c r="M57" s="52" t="n"/>
      <c r="N57" s="55" t="n"/>
      <c r="O57" s="52" t="n"/>
      <c r="P57" s="55" t="n"/>
      <c r="Q57" s="56">
        <f>IF(SUM(L57,N57,P57)=0,"",SUM(L57,N57,P57))</f>
        <v/>
      </c>
      <c r="R57" s="57">
        <f>IF(L57&gt;0,"영 ","")&amp;IF(N57&gt;0,"이 ","")&amp;IF(P57&gt;0,"기 ","")</f>
        <v/>
      </c>
      <c r="S57" s="34">
        <f>IF(F57="","","W"&amp;ROUNDUP(DAY(F57)/7,0))</f>
        <v/>
      </c>
      <c r="T57" s="53" t="n"/>
      <c r="U57" s="34">
        <f>IF(Q57="",0,ROUNDUP(MAX(L57,N57,P57)/'마스터'!$J$5,0))</f>
        <v/>
      </c>
      <c r="V57" s="58">
        <f>IF(OR(F57="",U57=0),"",WORKDAY(F57,U57-1))</f>
        <v/>
      </c>
      <c r="W57" s="57">
        <f>IF(OR(G57="",V57=""),"",G57-V57)</f>
        <v/>
      </c>
      <c r="X57" s="52" t="n"/>
      <c r="Z57" s="59">
        <f>IF(AND($F57&lt;&gt;"",$V57&lt;&gt;"",Z$2&gt;=$F57,Z$2&lt;=$V57,WEEKDAY(Z$2,2)&lt;6),$Q57/$U57,"")</f>
        <v/>
      </c>
      <c r="AA57" s="59">
        <f>IF(AND($F57&lt;&gt;"",$V57&lt;&gt;"",AA$2&gt;=$F57,AA$2&lt;=$V57,WEEKDAY(AA$2,2)&lt;6),$Q57/$U57,"")</f>
        <v/>
      </c>
      <c r="AB57" s="59">
        <f>IF(AND($F57&lt;&gt;"",$V57&lt;&gt;"",AB$2&gt;=$F57,AB$2&lt;=$V57,WEEKDAY(AB$2,2)&lt;6),$Q57/$U57,"")</f>
        <v/>
      </c>
      <c r="AC57" s="59">
        <f>IF(AND($F57&lt;&gt;"",$V57&lt;&gt;"",AC$2&gt;=$F57,AC$2&lt;=$V57,WEEKDAY(AC$2,2)&lt;6),$Q57/$U57,"")</f>
        <v/>
      </c>
      <c r="AD57" s="59">
        <f>IF(AND($F57&lt;&gt;"",$V57&lt;&gt;"",AD$2&gt;=$F57,AD$2&lt;=$V57,WEEKDAY(AD$2,2)&lt;6),$Q57/$U57,"")</f>
        <v/>
      </c>
      <c r="AE57" s="59">
        <f>IF(AND($F57&lt;&gt;"",$V57&lt;&gt;"",AE$2&gt;=$F57,AE$2&lt;=$V57,WEEKDAY(AE$2,2)&lt;6),$Q57/$U57,"")</f>
        <v/>
      </c>
      <c r="AF57" s="59">
        <f>IF(AND($F57&lt;&gt;"",$V57&lt;&gt;"",AF$2&gt;=$F57,AF$2&lt;=$V57,WEEKDAY(AF$2,2)&lt;6),$Q57/$U57,"")</f>
        <v/>
      </c>
      <c r="AG57" s="59">
        <f>IF(AND($F57&lt;&gt;"",$V57&lt;&gt;"",AG$2&gt;=$F57,AG$2&lt;=$V57,WEEKDAY(AG$2,2)&lt;6),$Q57/$U57,"")</f>
        <v/>
      </c>
      <c r="AH57" s="59">
        <f>IF(AND($F57&lt;&gt;"",$V57&lt;&gt;"",AH$2&gt;=$F57,AH$2&lt;=$V57,WEEKDAY(AH$2,2)&lt;6),$Q57/$U57,"")</f>
        <v/>
      </c>
      <c r="AI57" s="59">
        <f>IF(AND($F57&lt;&gt;"",$V57&lt;&gt;"",AI$2&gt;=$F57,AI$2&lt;=$V57,WEEKDAY(AI$2,2)&lt;6),$Q57/$U57,"")</f>
        <v/>
      </c>
      <c r="AJ57" s="59">
        <f>IF(AND($F57&lt;&gt;"",$V57&lt;&gt;"",AJ$2&gt;=$F57,AJ$2&lt;=$V57,WEEKDAY(AJ$2,2)&lt;6),$Q57/$U57,"")</f>
        <v/>
      </c>
      <c r="AK57" s="59">
        <f>IF(AND($F57&lt;&gt;"",$V57&lt;&gt;"",AK$2&gt;=$F57,AK$2&lt;=$V57,WEEKDAY(AK$2,2)&lt;6),$Q57/$U57,"")</f>
        <v/>
      </c>
      <c r="AL57" s="59">
        <f>IF(AND($F57&lt;&gt;"",$V57&lt;&gt;"",AL$2&gt;=$F57,AL$2&lt;=$V57,WEEKDAY(AL$2,2)&lt;6),$Q57/$U57,"")</f>
        <v/>
      </c>
      <c r="AM57" s="59">
        <f>IF(AND($F57&lt;&gt;"",$V57&lt;&gt;"",AM$2&gt;=$F57,AM$2&lt;=$V57,WEEKDAY(AM$2,2)&lt;6),$Q57/$U57,"")</f>
        <v/>
      </c>
      <c r="AN57" s="59">
        <f>IF(AND($F57&lt;&gt;"",$V57&lt;&gt;"",AN$2&gt;=$F57,AN$2&lt;=$V57,WEEKDAY(AN$2,2)&lt;6),$Q57/$U57,"")</f>
        <v/>
      </c>
      <c r="AO57" s="59">
        <f>IF(AND($F57&lt;&gt;"",$V57&lt;&gt;"",AO$2&gt;=$F57,AO$2&lt;=$V57,WEEKDAY(AO$2,2)&lt;6),$Q57/$U57,"")</f>
        <v/>
      </c>
      <c r="AP57" s="59">
        <f>IF(AND($F57&lt;&gt;"",$V57&lt;&gt;"",AP$2&gt;=$F57,AP$2&lt;=$V57,WEEKDAY(AP$2,2)&lt;6),$Q57/$U57,"")</f>
        <v/>
      </c>
      <c r="AQ57" s="59">
        <f>IF(AND($F57&lt;&gt;"",$V57&lt;&gt;"",AQ$2&gt;=$F57,AQ$2&lt;=$V57,WEEKDAY(AQ$2,2)&lt;6),$Q57/$U57,"")</f>
        <v/>
      </c>
      <c r="AR57" s="59">
        <f>IF(AND($F57&lt;&gt;"",$V57&lt;&gt;"",AR$2&gt;=$F57,AR$2&lt;=$V57,WEEKDAY(AR$2,2)&lt;6),$Q57/$U57,"")</f>
        <v/>
      </c>
      <c r="AS57" s="59">
        <f>IF(AND($F57&lt;&gt;"",$V57&lt;&gt;"",AS$2&gt;=$F57,AS$2&lt;=$V57,WEEKDAY(AS$2,2)&lt;6),$Q57/$U57,"")</f>
        <v/>
      </c>
      <c r="AT57" s="59">
        <f>IF(AND($F57&lt;&gt;"",$V57&lt;&gt;"",AT$2&gt;=$F57,AT$2&lt;=$V57,WEEKDAY(AT$2,2)&lt;6),$Q57/$U57,"")</f>
        <v/>
      </c>
      <c r="AU57" s="59">
        <f>IF(AND($F57&lt;&gt;"",$V57&lt;&gt;"",AU$2&gt;=$F57,AU$2&lt;=$V57,WEEKDAY(AU$2,2)&lt;6),$Q57/$U57,"")</f>
        <v/>
      </c>
      <c r="AV57" s="59">
        <f>IF(AND($F57&lt;&gt;"",$V57&lt;&gt;"",AV$2&gt;=$F57,AV$2&lt;=$V57,WEEKDAY(AV$2,2)&lt;6),$Q57/$U57,"")</f>
        <v/>
      </c>
      <c r="AW57" s="59">
        <f>IF(AND($F57&lt;&gt;"",$V57&lt;&gt;"",AW$2&gt;=$F57,AW$2&lt;=$V57,WEEKDAY(AW$2,2)&lt;6),$Q57/$U57,"")</f>
        <v/>
      </c>
      <c r="AX57" s="59">
        <f>IF(AND($F57&lt;&gt;"",$V57&lt;&gt;"",AX$2&gt;=$F57,AX$2&lt;=$V57,WEEKDAY(AX$2,2)&lt;6),$Q57/$U57,"")</f>
        <v/>
      </c>
      <c r="AY57" s="59">
        <f>IF(AND($F57&lt;&gt;"",$V57&lt;&gt;"",AY$2&gt;=$F57,AY$2&lt;=$V57,WEEKDAY(AY$2,2)&lt;6),$Q57/$U57,"")</f>
        <v/>
      </c>
      <c r="AZ57" s="59">
        <f>IF(AND($F57&lt;&gt;"",$V57&lt;&gt;"",AZ$2&gt;=$F57,AZ$2&lt;=$V57,WEEKDAY(AZ$2,2)&lt;6),$Q57/$U57,"")</f>
        <v/>
      </c>
      <c r="BA57" s="59">
        <f>IF(AND($F57&lt;&gt;"",$V57&lt;&gt;"",BA$2&gt;=$F57,BA$2&lt;=$V57,WEEKDAY(BA$2,2)&lt;6),$Q57/$U57,"")</f>
        <v/>
      </c>
      <c r="BB57" s="59">
        <f>IF(AND($F57&lt;&gt;"",$V57&lt;&gt;"",BB$2&gt;=$F57,BB$2&lt;=$V57,WEEKDAY(BB$2,2)&lt;6),$Q57/$U57,"")</f>
        <v/>
      </c>
      <c r="BC57" s="59">
        <f>IF(AND($F57&lt;&gt;"",$V57&lt;&gt;"",BC$2&gt;=$F57,BC$2&lt;=$V57,WEEKDAY(BC$2,2)&lt;6),$Q57/$U57,"")</f>
        <v/>
      </c>
      <c r="BD57" s="59">
        <f>IF(AND($F57&lt;&gt;"",$V57&lt;&gt;"",BD$2&gt;=$F57,BD$2&lt;=$V57,WEEKDAY(BD$2,2)&lt;6),$Q57/$U57,"")</f>
        <v/>
      </c>
    </row>
  </sheetData>
  <mergeCells count="11">
    <mergeCell ref="H1:J1"/>
    <mergeCell ref="A1:G1"/>
    <mergeCell ref="Q1:X1"/>
    <mergeCell ref="Z1:BD1"/>
    <mergeCell ref="A3:F3"/>
    <mergeCell ref="A5:F5"/>
    <mergeCell ref="K1:L1"/>
    <mergeCell ref="O1:P1"/>
    <mergeCell ref="A6:F6"/>
    <mergeCell ref="A4:F4"/>
    <mergeCell ref="M1:N1"/>
  </mergeCells>
  <conditionalFormatting sqref="Z3:BD6">
    <cfRule type="expression" priority="1" dxfId="0">
      <formula>Z3&gt;$H3</formula>
    </cfRule>
    <cfRule type="expression" priority="2" dxfId="1">
      <formula>AND(Z3&gt;0,Z3&gt;=$H3*0.8)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2026-07-28T02:21:32Z</dcterms:created>
  <dcterms:modified xsi:type="dcterms:W3CDTF">2026-07-28T02:21:36Z</dcterms:modified>
</cp:coreProperties>
</file>