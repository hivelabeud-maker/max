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comments/comment11.xml" ContentType="application/vnd.openxmlformats-officedocument.spreadsheetml.comments+xml"/>
  <Override PartName="/xl/worksheets/sheet14.xml" ContentType="application/vnd.openxmlformats-officedocument.spreadsheetml.worksheet+xml"/>
  <Override PartName="/xl/comments/comment12.xml" ContentType="application/vnd.openxmlformats-officedocument.spreadsheetml.comments+xml"/>
  <Override PartName="/xl/worksheets/sheet15.xml" ContentType="application/vnd.openxmlformats-officedocument.spreadsheetml.worksheet+xml"/>
  <Override PartName="/xl/comments/comment1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법" sheetId="1" state="visible" r:id="rId1"/>
    <sheet name="마스터" sheetId="2" state="visible" r:id="rId2"/>
    <sheet name="연간요약" sheetId="3" state="visible" r:id="rId3"/>
    <sheet name="1월" sheetId="4" state="visible" r:id="rId4"/>
    <sheet name="2월" sheetId="5" state="visible" r:id="rId5"/>
    <sheet name="3월" sheetId="6" state="visible" r:id="rId6"/>
    <sheet name="4월" sheetId="7" state="visible" r:id="rId7"/>
    <sheet name="5월" sheetId="8" state="visible" r:id="rId8"/>
    <sheet name="6월" sheetId="9" state="visible" r:id="rId9"/>
    <sheet name="7월" sheetId="10" state="visible" r:id="rId10"/>
    <sheet name="8월" sheetId="11" state="visible" r:id="rId11"/>
    <sheet name="9월" sheetId="12" state="visible" r:id="rId12"/>
    <sheet name="10월" sheetId="13" state="visible" r:id="rId13"/>
    <sheet name="11월" sheetId="14" state="visible" r:id="rId14"/>
    <sheet name="12월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m/d"/>
    <numFmt numFmtId="166" formatCode="0.0;;"/>
    <numFmt numFmtId="167" formatCode="m/d(ddd)"/>
    <numFmt numFmtId="168" formatCode="0.00;;"/>
    <numFmt numFmtId="169" formatCode="0.0%"/>
  </numFmts>
  <fonts count="30">
    <font>
      <name val="Calibri"/>
      <family val="2"/>
      <color theme="1"/>
      <sz val="11"/>
      <scheme val="minor"/>
    </font>
    <font>
      <name val="Arial"/>
      <b val="1"/>
      <color rgb="001F4E79"/>
      <sz val="17"/>
    </font>
    <font>
      <name val="Arial"/>
      <color rgb="00808080"/>
      <sz val="10"/>
    </font>
    <font>
      <name val="Arial"/>
      <b val="1"/>
      <color rgb="00C0504D"/>
      <sz val="11"/>
    </font>
    <font>
      <name val="Arial"/>
      <b val="1"/>
      <color rgb="001F4E79"/>
      <sz val="10"/>
    </font>
    <font>
      <name val="Arial"/>
      <color rgb="00000000"/>
      <sz val="10"/>
    </font>
    <font>
      <name val="Arial"/>
      <b val="1"/>
      <color rgb="004B0082"/>
      <sz val="10"/>
    </font>
    <font>
      <name val="Arial"/>
      <b val="1"/>
      <color rgb="00595959"/>
      <sz val="10"/>
    </font>
    <font>
      <name val="Arial"/>
      <b val="1"/>
      <color rgb="00FFFFFF"/>
      <sz val="10"/>
    </font>
    <font>
      <name val="Arial"/>
      <b val="1"/>
      <color rgb="00C0504D"/>
      <sz val="12"/>
    </font>
    <font>
      <name val="Arial"/>
      <b val="1"/>
      <color rgb="001F4E79"/>
      <sz val="14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color rgb="00000000"/>
      <sz val="9"/>
    </font>
    <font>
      <name val="Arial"/>
      <color rgb="001F4E79"/>
      <sz val="9"/>
    </font>
    <font>
      <name val="Arial"/>
      <b val="1"/>
      <color rgb="00000000"/>
      <sz val="9"/>
    </font>
    <font>
      <name val="Arial"/>
      <color rgb="001F4E79"/>
      <sz val="10"/>
    </font>
    <font>
      <name val="Arial"/>
      <b val="1"/>
      <color rgb="001F4E79"/>
      <sz val="11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A6A6A6"/>
      <sz val="8"/>
    </font>
    <font>
      <name val="Arial"/>
      <b val="1"/>
      <color rgb="00000000"/>
      <sz val="8"/>
    </font>
    <font>
      <name val="Arial"/>
      <b val="1"/>
      <color rgb="00000000"/>
      <sz val="7"/>
    </font>
    <font>
      <name val="Arial"/>
      <b val="1"/>
      <color rgb="00375623"/>
      <sz val="9"/>
    </font>
    <font>
      <name val="Arial"/>
      <b val="1"/>
      <color rgb="001F4E79"/>
      <sz val="9"/>
    </font>
    <font>
      <name val="Arial"/>
      <b val="1"/>
      <color rgb="003B2F5E"/>
      <sz val="9"/>
    </font>
    <font>
      <name val="Arial"/>
      <b val="1"/>
      <color rgb="007F4B10"/>
      <sz val="9"/>
    </font>
    <font>
      <name val="Arial"/>
      <b val="1"/>
      <color rgb="00404040"/>
      <sz val="9"/>
    </font>
    <font>
      <name val="Arial"/>
      <b val="1"/>
      <color rgb="001F4E79"/>
      <sz val="15"/>
    </font>
    <font>
      <name val="Arial"/>
      <color rgb="00808080"/>
      <sz val="9"/>
    </font>
  </fonts>
  <fills count="16">
    <fill>
      <patternFill/>
    </fill>
    <fill>
      <patternFill patternType="gray125"/>
    </fill>
    <fill>
      <patternFill patternType="solid">
        <fgColor rgb="009DC3E6"/>
      </patternFill>
    </fill>
    <fill>
      <patternFill patternType="solid">
        <fgColor rgb="00CC99FF"/>
      </patternFill>
    </fill>
    <fill>
      <patternFill patternType="solid">
        <fgColor rgb="00F2F2F2"/>
      </patternFill>
    </fill>
    <fill>
      <patternFill patternType="solid">
        <fgColor rgb="00FF7C80"/>
      </patternFill>
    </fill>
    <fill>
      <patternFill patternType="solid">
        <fgColor rgb="00404040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595959"/>
      </patternFill>
    </fill>
    <fill>
      <patternFill patternType="solid">
        <fgColor rgb="00808080"/>
      </patternFill>
    </fill>
    <fill>
      <patternFill patternType="solid">
        <fgColor rgb="007F7F7F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D9D2E9"/>
      </patternFill>
    </fill>
    <fill>
      <patternFill patternType="solid">
        <fgColor rgb="00F9CB9C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4" borderId="0" pivotButton="0" quotePrefix="0" xfId="0"/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5" fillId="8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6" fillId="7" borderId="1" applyAlignment="1" pivotButton="0" quotePrefix="0" xfId="0">
      <alignment horizontal="left" vertical="center"/>
    </xf>
    <xf numFmtId="0" fontId="12" fillId="0" borderId="0" pivotButton="0" quotePrefix="0" xfId="0"/>
    <xf numFmtId="1" fontId="4" fillId="7" borderId="1" applyAlignment="1" pivotButton="0" quotePrefix="0" xfId="0">
      <alignment horizontal="center" vertical="center"/>
    </xf>
    <xf numFmtId="2" fontId="4" fillId="7" borderId="1" applyAlignment="1" pivotButton="0" quotePrefix="0" xfId="0">
      <alignment horizontal="center" vertical="center"/>
    </xf>
    <xf numFmtId="0" fontId="5" fillId="0" borderId="1" pivotButton="0" quotePrefix="0" xfId="0"/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164" fontId="14" fillId="7" borderId="1" applyAlignment="1" pivotButton="0" quotePrefix="0" xfId="0">
      <alignment horizontal="center" vertical="center"/>
    </xf>
    <xf numFmtId="0" fontId="17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wrapText="1"/>
    </xf>
    <xf numFmtId="0" fontId="28" fillId="0" borderId="0" pivotButton="0" quotePrefix="0" xfId="0"/>
    <xf numFmtId="0" fontId="29" fillId="0" borderId="0" pivotButton="0" quotePrefix="0" xfId="0"/>
    <xf numFmtId="2" fontId="0" fillId="0" borderId="1" applyAlignment="1" pivotButton="0" quotePrefix="0" xfId="0">
      <alignment horizontal="center" vertical="center"/>
    </xf>
    <xf numFmtId="169" fontId="0" fillId="0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2" fontId="12" fillId="8" borderId="1" applyAlignment="1" pivotButton="0" quotePrefix="0" xfId="0">
      <alignment horizontal="center" vertical="center"/>
    </xf>
    <xf numFmtId="0" fontId="0" fillId="8" borderId="1" pivotButton="0" quotePrefix="0" xfId="0"/>
    <xf numFmtId="169" fontId="12" fillId="8" borderId="1" applyAlignment="1" pivotButton="0" quotePrefix="0" xfId="0">
      <alignment horizontal="center" vertical="center"/>
    </xf>
    <xf numFmtId="0" fontId="21" fillId="8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/>
    </xf>
    <xf numFmtId="2" fontId="13" fillId="0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165" fontId="19" fillId="6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right" vertical="center"/>
    </xf>
    <xf numFmtId="0" fontId="21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0" fillId="4" borderId="1" pivotButton="0" quotePrefix="0" xfId="0"/>
    <xf numFmtId="166" fontId="22" fillId="0" borderId="1" applyAlignment="1" pivotButton="0" quotePrefix="0" xfId="0">
      <alignment horizontal="center" vertical="center"/>
    </xf>
    <xf numFmtId="0" fontId="23" fillId="12" borderId="1" applyAlignment="1" pivotButton="0" quotePrefix="0" xfId="0">
      <alignment horizontal="left" vertical="center" indent="1"/>
    </xf>
    <xf numFmtId="0" fontId="0" fillId="12" borderId="1" pivotButton="0" quotePrefix="0" xfId="0"/>
    <xf numFmtId="0" fontId="14" fillId="7" borderId="1" applyAlignment="1" pivotButton="0" quotePrefix="0" xfId="0">
      <alignment horizontal="left" vertical="center"/>
    </xf>
    <xf numFmtId="0" fontId="23" fillId="12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165" fontId="14" fillId="7" borderId="1" applyAlignment="1" pivotButton="0" quotePrefix="0" xfId="0">
      <alignment horizontal="center" vertical="center"/>
    </xf>
    <xf numFmtId="2" fontId="15" fillId="0" borderId="1" applyAlignment="1" pivotButton="0" quotePrefix="0" xfId="0">
      <alignment horizontal="center" vertical="center"/>
    </xf>
    <xf numFmtId="167" fontId="15" fillId="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8" fontId="14" fillId="7" borderId="1" applyAlignment="1" pivotButton="0" quotePrefix="0" xfId="0">
      <alignment horizontal="center" vertical="center"/>
    </xf>
    <xf numFmtId="0" fontId="24" fillId="13" borderId="1" applyAlignment="1" pivotButton="0" quotePrefix="0" xfId="0">
      <alignment horizontal="left" vertical="center" indent="1"/>
    </xf>
    <xf numFmtId="0" fontId="0" fillId="13" borderId="1" pivotButton="0" quotePrefix="0" xfId="0"/>
    <xf numFmtId="0" fontId="24" fillId="13" borderId="1" applyAlignment="1" pivotButton="0" quotePrefix="0" xfId="0">
      <alignment horizontal="center" vertical="center"/>
    </xf>
    <xf numFmtId="0" fontId="25" fillId="14" borderId="1" applyAlignment="1" pivotButton="0" quotePrefix="0" xfId="0">
      <alignment horizontal="left" vertical="center" indent="1"/>
    </xf>
    <xf numFmtId="0" fontId="0" fillId="14" borderId="1" pivotButton="0" quotePrefix="0" xfId="0"/>
    <xf numFmtId="0" fontId="25" fillId="14" borderId="1" applyAlignment="1" pivotButton="0" quotePrefix="0" xfId="0">
      <alignment horizontal="center" vertical="center"/>
    </xf>
    <xf numFmtId="0" fontId="26" fillId="15" borderId="1" applyAlignment="1" pivotButton="0" quotePrefix="0" xfId="0">
      <alignment horizontal="left" vertical="center" indent="1"/>
    </xf>
    <xf numFmtId="0" fontId="0" fillId="15" borderId="1" pivotButton="0" quotePrefix="0" xfId="0"/>
    <xf numFmtId="0" fontId="26" fillId="15" borderId="1" applyAlignment="1" pivotButton="0" quotePrefix="0" xfId="0">
      <alignment horizontal="center" vertical="center"/>
    </xf>
    <xf numFmtId="0" fontId="27" fillId="8" borderId="1" applyAlignment="1" pivotButton="0" quotePrefix="0" xfId="0">
      <alignment horizontal="left" vertical="center" indent="1"/>
    </xf>
    <xf numFmtId="0" fontId="27" fillId="8" borderId="1" applyAlignment="1" pivotButton="0" quotePrefix="0" xfId="0">
      <alignment horizontal="center" vertical="center"/>
    </xf>
    <xf numFmtId="0" fontId="20" fillId="0" borderId="0" pivotButton="0" quotePrefix="0" xfId="0"/>
    <xf numFmtId="164" fontId="20" fillId="0" borderId="0" pivotButton="0" quotePrefix="0" xfId="0"/>
  </cellXfs>
  <cellStyles count="1">
    <cellStyle name="Normal" xfId="0" builtinId="0" hidden="0"/>
  </cellStyles>
  <dxfs count="13">
    <dxf>
      <font>
        <name val="Arial"/>
        <b val="1"/>
        <color rgb="004B0082"/>
        <sz val="7"/>
      </font>
      <fill>
        <patternFill patternType="solid">
          <fgColor rgb="00CC99FF"/>
        </patternFill>
      </fill>
    </dxf>
    <dxf>
      <font>
        <name val="Arial"/>
        <b val="1"/>
        <color rgb="001F4E79"/>
        <sz val="7"/>
      </font>
      <fill>
        <patternFill patternType="solid">
          <fgColor rgb="009DC3E6"/>
        </patternFill>
      </fill>
    </dxf>
    <dxf>
      <fill>
        <patternFill patternType="solid">
          <fgColor rgb="00D9D9D9"/>
        </patternFill>
      </fill>
    </dxf>
    <dxf>
      <font>
        <name val="Arial"/>
        <b val="1"/>
        <color rgb="00FFFFFF"/>
        <sz val="9"/>
      </font>
      <fill>
        <patternFill patternType="solid">
          <fgColor rgb="00FF7C80"/>
        </patternFill>
      </fill>
    </dxf>
    <dxf>
      <font>
        <name val="Arial"/>
        <color rgb="00000000"/>
        <sz val="9"/>
      </font>
      <fill>
        <patternFill patternType="solid">
          <fgColor rgb="00DDEBF7"/>
        </patternFill>
      </fill>
    </dxf>
    <dxf>
      <font>
        <name val="Arial"/>
        <color rgb="00000000"/>
        <sz val="9"/>
      </font>
      <fill>
        <patternFill patternType="solid">
          <fgColor rgb="00E2EFDA"/>
        </patternFill>
      </fill>
    </dxf>
    <dxf>
      <font>
        <name val="Arial"/>
        <color rgb="00000000"/>
        <sz val="9"/>
      </font>
      <fill>
        <patternFill patternType="solid">
          <fgColor rgb="00FCE4D6"/>
        </patternFill>
      </fill>
    </dxf>
    <dxf>
      <font>
        <name val="Arial"/>
        <b val="1"/>
        <color rgb="00000000"/>
        <sz val="9"/>
      </font>
      <fill>
        <patternFill patternType="solid">
          <fgColor rgb="00DDEBF7"/>
        </patternFill>
      </fill>
    </dxf>
    <dxf>
      <font>
        <name val="Arial"/>
        <b val="1"/>
        <color rgb="00000000"/>
        <sz val="9"/>
      </font>
      <fill>
        <patternFill patternType="solid">
          <fgColor rgb="00E2EFDA"/>
        </patternFill>
      </fill>
    </dxf>
    <dxf>
      <font>
        <name val="Arial"/>
        <b val="1"/>
        <color rgb="00000000"/>
        <sz val="9"/>
      </font>
      <fill>
        <patternFill patternType="solid">
          <fgColor rgb="00FCE4D6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  <dxf>
      <font>
        <name val="Arial"/>
        <b val="1"/>
        <color rgb="009C6500"/>
      </font>
      <fill>
        <patternFill patternType="solid">
          <fgColor rgb="00FFEB9C"/>
        </patternFill>
      </fill>
    </dxf>
    <dxf>
      <font>
        <name val="Arial"/>
        <b val="1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m</author>
  </authors>
  <commentList>
    <comment ref="I5" authorId="0" shapeId="0">
      <text>
        <t>1인 하루 근무시간 = 8시간 = 1.0MD. 한 담당자가 같은 날 여러 소재에 걸쳐 이 값을 넘기면 간트에서 빨간색으로 경고합니다.</t>
      </text>
    </comment>
    <comment ref="I13" authorId="0" shapeId="0">
      <text>
        <t>음력 기반(설날/부처님오신날/추석)은 매년 날짜가 바뀝니다. 정부 발표 공식 공휴일로 확인 후 수정하세요.</t>
      </text>
    </comment>
  </commentList>
</comments>
</file>

<file path=xl/comments/comment2.xml><?xml version="1.0" encoding="utf-8"?>
<comments xmlns="http://schemas.openxmlformats.org/spreadsheetml/2006/main">
  <authors>
    <author>m</author>
  </authors>
  <commentList>
    <comment ref="D9" authorId="0" shapeId="0">
      <text>
        <t>1월: 한 소재=직군별 줄. 날짜 칸에 그날 실제 MD를 직접 입력하세요. 시작일/완료일/합계MD는 자동 계산됩니다.</t>
      </text>
    </comment>
  </commentList>
</comments>
</file>

<file path=xl/comments/comment3.xml><?xml version="1.0" encoding="utf-8"?>
<comments xmlns="http://schemas.openxmlformats.org/spreadsheetml/2006/main">
  <authors>
    <author>m</author>
  </authors>
  <commentList>
    <comment ref="D9" authorId="0" shapeId="0">
      <text>
        <t>2월: 한 소재=직군별 줄. 날짜 칸에 그날 실제 MD를 직접 입력하세요. 시작일/완료일/합계MD는 자동 계산됩니다.</t>
      </text>
    </comment>
  </commentList>
</comments>
</file>

<file path=xl/comments/comment4.xml><?xml version="1.0" encoding="utf-8"?>
<comments xmlns="http://schemas.openxmlformats.org/spreadsheetml/2006/main">
  <authors>
    <author>m</author>
  </authors>
  <commentList>
    <comment ref="D9" authorId="0" shapeId="0">
      <text>
        <t>3월: 한 소재=직군별 줄. 날짜 칸에 그날 실제 MD를 직접 입력하세요. 시작일/완료일/합계MD는 자동 계산됩니다.</t>
      </text>
    </comment>
  </commentList>
</comments>
</file>

<file path=xl/comments/comment5.xml><?xml version="1.0" encoding="utf-8"?>
<comments xmlns="http://schemas.openxmlformats.org/spreadsheetml/2006/main">
  <authors>
    <author>m</author>
  </authors>
  <commentList>
    <comment ref="D9" authorId="0" shapeId="0">
      <text>
        <t>4월: 한 소재=직군별 줄. 날짜 칸에 그날 실제 MD를 직접 입력하세요. 시작일/완료일/합계MD는 자동 계산됩니다.</t>
      </text>
    </comment>
  </commentList>
</comments>
</file>

<file path=xl/comments/comment6.xml><?xml version="1.0" encoding="utf-8"?>
<comments xmlns="http://schemas.openxmlformats.org/spreadsheetml/2006/main">
  <authors>
    <author>m</author>
  </authors>
  <commentList>
    <comment ref="D9" authorId="0" shapeId="0">
      <text>
        <t>5월: 한 소재=직군별 줄. 날짜 칸에 그날 실제 MD를 직접 입력하세요. 시작일/완료일/합계MD는 자동 계산됩니다.</t>
      </text>
    </comment>
  </commentList>
</comments>
</file>

<file path=xl/comments/comment7.xml><?xml version="1.0" encoding="utf-8"?>
<comments xmlns="http://schemas.openxmlformats.org/spreadsheetml/2006/main">
  <authors>
    <author>m</author>
  </authors>
  <commentList>
    <comment ref="D9" authorId="0" shapeId="0">
      <text>
        <t>6월: 한 소재=직군별 줄. 날짜 칸에 그날 실제 MD를 직접 입력하세요. 시작일/완료일/합계MD는 자동 계산됩니다.</t>
      </text>
    </comment>
  </commentList>
</comments>
</file>

<file path=xl/comments/comment8.xml><?xml version="1.0" encoding="utf-8"?>
<comments xmlns="http://schemas.openxmlformats.org/spreadsheetml/2006/main">
  <authors>
    <author>m</author>
  </authors>
  <commentList>
    <comment ref="D9" authorId="0" shapeId="0">
      <text>
        <t>7월: 한 소재=직군별 줄. 날짜 칸에 그날 실제 MD를 직접 입력하세요. 시작일/완료일/합계MD는 자동 계산됩니다.</t>
      </text>
    </comment>
  </commentList>
</comments>
</file>

<file path=xl/comments/comment9.xml><?xml version="1.0" encoding="utf-8"?>
<comments xmlns="http://schemas.openxmlformats.org/spreadsheetml/2006/main">
  <authors>
    <author>m</author>
  </authors>
  <commentList>
    <comment ref="D9" authorId="0" shapeId="0">
      <text>
        <t>8월: 한 소재=직군별 줄. 날짜 칸에 그날 실제 MD를 직접 입력하세요. 시작일/완료일/합계MD는 자동 계산됩니다.</t>
      </text>
    </comment>
  </commentList>
</comments>
</file>

<file path=xl/comments/comment10.xml><?xml version="1.0" encoding="utf-8"?>
<comments xmlns="http://schemas.openxmlformats.org/spreadsheetml/2006/main">
  <authors>
    <author>m</author>
  </authors>
  <commentList>
    <comment ref="D9" authorId="0" shapeId="0">
      <text>
        <t>9월: 한 소재=직군별 줄. 날짜 칸에 그날 실제 MD를 직접 입력하세요. 시작일/완료일/합계MD는 자동 계산됩니다.</t>
      </text>
    </comment>
  </commentList>
</comments>
</file>

<file path=xl/comments/comment11.xml><?xml version="1.0" encoding="utf-8"?>
<comments xmlns="http://schemas.openxmlformats.org/spreadsheetml/2006/main">
  <authors>
    <author>m</author>
  </authors>
  <commentList>
    <comment ref="D9" authorId="0" shapeId="0">
      <text>
        <t>10월: 한 소재=직군별 줄. 날짜 칸에 그날 실제 MD를 직접 입력하세요. 시작일/완료일/합계MD는 자동 계산됩니다.</t>
      </text>
    </comment>
  </commentList>
</comments>
</file>

<file path=xl/comments/comment12.xml><?xml version="1.0" encoding="utf-8"?>
<comments xmlns="http://schemas.openxmlformats.org/spreadsheetml/2006/main">
  <authors>
    <author>m</author>
  </authors>
  <commentList>
    <comment ref="D9" authorId="0" shapeId="0">
      <text>
        <t>11월: 한 소재=직군별 줄. 날짜 칸에 그날 실제 MD를 직접 입력하세요. 시작일/완료일/합계MD는 자동 계산됩니다.</t>
      </text>
    </comment>
  </commentList>
</comments>
</file>

<file path=xl/comments/comment13.xml><?xml version="1.0" encoding="utf-8"?>
<comments xmlns="http://schemas.openxmlformats.org/spreadsheetml/2006/main">
  <authors>
    <author>m</author>
  </authors>
  <commentList>
    <comment ref="D9" authorId="0" shapeId="0">
      <text>
        <t>12월: 한 소재=직군별 줄. 날짜 칸에 그날 실제 MD를 직접 입력하세요. 시작일/완료일/합계MD는 자동 계산됩니다.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98" customWidth="1" min="3" max="3"/>
  </cols>
  <sheetData>
    <row r="2">
      <c r="B2" s="1" t="inlineStr">
        <is>
          <t>AI 파이프라인 통합 리소스/스케줄 관리 시트 v11</t>
        </is>
      </c>
    </row>
    <row r="3">
      <c r="B3" s="2" t="inlineStr">
        <is>
          <t>한 소재 = 직군별 줄(최대 3줄, 기획/이미지/영상) - 각 줄이 자기 날짜에 MD를 직접 입력</t>
        </is>
      </c>
    </row>
    <row r="5">
      <c r="B5" s="3" t="inlineStr">
        <is>
          <t>색 표시</t>
        </is>
      </c>
    </row>
    <row r="6">
      <c r="B6" s="4" t="inlineStr">
        <is>
          <t>파랑</t>
        </is>
      </c>
      <c r="C6" s="5" t="inlineStr">
        <is>
          <t>해당 직군 정원(TO)의 80~100% 채워진 상태</t>
        </is>
      </c>
    </row>
    <row r="7">
      <c r="B7" s="6" t="inlineStr">
        <is>
          <t>보라</t>
        </is>
      </c>
      <c r="C7" s="5" t="inlineStr">
        <is>
          <t>정원(TO) 초과 - 조율 필요</t>
        </is>
      </c>
    </row>
    <row r="8">
      <c r="B8" s="7" t="inlineStr">
        <is>
          <t>회색</t>
        </is>
      </c>
      <c r="C8" s="5" t="inlineStr">
        <is>
          <t>주말(토/일) 또는 대한민국 공휴일 - 실제 워킹데이 아님</t>
        </is>
      </c>
    </row>
    <row r="9">
      <c r="B9" s="8" t="inlineStr">
        <is>
          <t>빨강</t>
        </is>
      </c>
      <c r="C9" s="5" t="inlineStr">
        <is>
          <t>같은 담당자가 같은 날 여러 소재에 걸쳐 하루 8시간(1.0MD)을 초과 - 배정 조율 필요</t>
        </is>
      </c>
    </row>
    <row r="10">
      <c r="B10" s="9" t="inlineStr">
        <is>
          <t>1. 한 소재 = 직군별 줄</t>
        </is>
      </c>
      <c r="C10" s="10" t="n"/>
    </row>
    <row r="11">
      <c r="B11" s="11" t="inlineStr">
        <is>
          <t>구조</t>
        </is>
      </c>
      <c r="C11" s="5" t="inlineStr">
        <is>
          <t>소재명 하나에 관여하는 직군(기획/이미지/영상)마다 별도의 줄이 있습니다. 3직군 다 관여하면 3줄, 영상만 있으면 1줄. 소재명은 같은 텍스트로 반복 입력해서 같은 소재임을 표시합니다.</t>
        </is>
      </c>
    </row>
    <row r="12">
      <c r="B12" s="11" t="inlineStr">
        <is>
          <t>각 줄이 독립적</t>
        </is>
      </c>
      <c r="C12" s="5" t="inlineStr">
        <is>
          <t>기획 줄은 기획대로, 영상 줄은 영상대로 자기만의 담당자·날짜·MD를 가집니다. 기획은 8/5 하루만, 영상은 8/6~8/7 이틀만 - 이렇게 서로 다른 기간이 자연스럽게 표현됩니다.</t>
        </is>
      </c>
    </row>
    <row r="13">
      <c r="B13" s="11" t="inlineStr">
        <is>
          <t>수량</t>
        </is>
      </c>
      <c r="C13" s="5" t="inlineStr">
        <is>
          <t>영상 수/사이즈베리/다국어베리는 소재당 한 번만 입력(아무 줄에나, 중복 입력 금지 - 안 그러면 집계가 중복됩니다).</t>
        </is>
      </c>
    </row>
    <row r="15">
      <c r="B15" s="9" t="inlineStr">
        <is>
          <t>2. MD 입력 - 날짜 칸에 직접</t>
        </is>
      </c>
      <c r="C15" s="10" t="n"/>
    </row>
    <row r="16">
      <c r="B16" s="11" t="inlineStr">
        <is>
          <t>직접 입력</t>
        </is>
      </c>
      <c r="C16" s="5" t="inlineStr">
        <is>
          <t>오른쪽 날짜 칸에 그날 실제 투입 MD를 직접 입력합니다(예: 8/6에 1.0, 8/7에 1.0). 균등분산이 아니라 실제 값 그대로.</t>
        </is>
      </c>
    </row>
    <row r="17">
      <c r="B17" s="11" t="inlineStr">
        <is>
          <t>자동 계산</t>
        </is>
      </c>
      <c r="C17" s="5" t="inlineStr">
        <is>
          <t>시작일·완료일은 입력한 날짜 중 가장 이른 날/늦은 날로 자동 계산됩니다. 합계MD도 그 줄에 입력한 숫자를 모두 더한 값입니다.</t>
        </is>
      </c>
    </row>
    <row r="18">
      <c r="B18" s="11" t="inlineStr">
        <is>
          <t>최종완료일(고객전달)</t>
        </is>
      </c>
      <c r="C18" s="5" t="inlineStr">
        <is>
          <t>이 소재를 실제로 고객사에 전달하는 확정일입니다. 기획이 결정해서 입력합니다 - 자동계산이 아니라 사람이 정하는 값입니다. 같은 소재의 기획/이미지/영상 3줄에 전부 동일하게 입력하세요(복사/붙여넣기). 기획 작업 자체가 하루뿐이어도, 최종완료일은 영상까지 다 끝난 뒤의 진짜 고객 전달일이어야 합니다 - 착각하지 않도록 이름을 명확히 구분했습니다.</t>
        </is>
      </c>
    </row>
    <row r="19">
      <c r="B19" s="11" t="inlineStr">
        <is>
          <t>여유</t>
        </is>
      </c>
      <c r="C19" s="5" t="inlineStr">
        <is>
          <t>각 줄의 여유 = 최종완료일(고객전달) − 그 줄의 실제 완료일(자동). 3줄 모두 같은 최종완료일을 기준으로 계산되므로, 어느 직군이 고객 마감에 걸리는지 줄별로 바로 보입니다.</t>
        </is>
      </c>
    </row>
    <row r="20">
      <c r="B20" s="11" t="inlineStr">
        <is>
          <t>담당자 8시간 초과</t>
        </is>
      </c>
      <c r="C20" s="5" t="inlineStr">
        <is>
          <t>같은 담당자 이름으로 같은 날짜에 여러 소재에 걸쳐 입력한 MD를 다 더해서 마스터의 '담당자 1일 캐파(기본 1.0=8시간)'를 넘으면 그 날짜 칸이 빨간색으로 경고됩니다.</t>
        </is>
      </c>
    </row>
    <row r="22">
      <c r="B22" s="9" t="inlineStr">
        <is>
          <t>3. 팀별 색상 구간</t>
        </is>
      </c>
      <c r="C22" s="10" t="n"/>
    </row>
    <row r="23">
      <c r="B23" s="11" t="inlineStr">
        <is>
          <t>30행 구간</t>
        </is>
      </c>
      <c r="C23" s="5" t="inlineStr">
        <is>
          <t>각 월 탭 안에서 마케팅1~4팀 + 기타, 팀마다 30행씩 고정 구간. 한 소재가 여러 줄을 쓰므로 팀당 소재는 대략 10~30개 정도 들어갑니다. 넘으면 행 삽입.</t>
        </is>
      </c>
    </row>
    <row r="24">
      <c r="B24" s="11" t="inlineStr">
        <is>
          <t>고객팀 자동</t>
        </is>
      </c>
      <c r="C24" s="5" t="inlineStr">
        <is>
          <t>구간 안 행의 고객팀 칸은 자동 고정.</t>
        </is>
      </c>
    </row>
    <row r="26">
      <c r="B26" s="9" t="inlineStr">
        <is>
          <t>4. 워킹데이 (주말 + 대한민국 공휴일)</t>
        </is>
      </c>
      <c r="C26" s="10" t="n"/>
    </row>
    <row r="27">
      <c r="B27" s="11" t="inlineStr">
        <is>
          <t>회색 처리</t>
        </is>
      </c>
      <c r="C27" s="5" t="inlineStr">
        <is>
          <t>간트와 상단 TO 상태 모두 토/일 + 마스터의 대한민국 공휴일 목록에 해당하는 날짜는 회색 처리.</t>
        </is>
      </c>
    </row>
    <row r="28">
      <c r="B28" s="11" t="inlineStr">
        <is>
          <t>공휴일 수정</t>
        </is>
      </c>
      <c r="C28" s="5" t="inlineStr">
        <is>
          <t>마스터 시트 공휴일 목록(설날/추석 등 음력 기반 포함)은 참고용 - 정부 발표 기준 확인 후 수정.</t>
        </is>
      </c>
    </row>
    <row r="30">
      <c r="B30" s="9" t="inlineStr">
        <is>
          <t>5. 연간요약</t>
        </is>
      </c>
      <c r="C30" s="10" t="n"/>
    </row>
    <row r="31">
      <c r="B31" s="11" t="inlineStr">
        <is>
          <t>월별/누적</t>
        </is>
      </c>
      <c r="C31" s="5" t="inlineStr">
        <is>
          <t>12개 월 탭에서 직접 집계. 매월 누적, 상반기/하반기/연간 합계, 월별 가동률, 팀x유형, 타이틀별.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" customWidth="1" min="2" max="2"/>
    <col width="12" customWidth="1" min="3" max="3"/>
    <col width="4" customWidth="1" min="4" max="4"/>
    <col width="10" customWidth="1" min="5" max="5"/>
    <col width="4" customWidth="1" min="6" max="6"/>
    <col width="16" customWidth="1" min="7" max="7"/>
    <col width="4" customWidth="1" min="8" max="8"/>
    <col width="14" customWidth="1" min="9" max="9"/>
    <col width="14" customWidth="1" min="10" max="10"/>
  </cols>
  <sheetData>
    <row r="1">
      <c r="A1" s="12" t="inlineStr">
        <is>
          <t>마스터 / 기준정보</t>
        </is>
      </c>
    </row>
    <row r="2">
      <c r="A2" s="13" t="inlineStr">
        <is>
          <t>게임 타이틀 (25)</t>
        </is>
      </c>
      <c r="C2" s="13" t="inlineStr">
        <is>
          <t>고객팀</t>
        </is>
      </c>
      <c r="E2" s="13" t="inlineStr">
        <is>
          <t>직군</t>
        </is>
      </c>
      <c r="G2" s="13" t="inlineStr">
        <is>
          <t>상태</t>
        </is>
      </c>
      <c r="I2" s="14" t="inlineStr">
        <is>
          <t>운영 파라미터</t>
        </is>
      </c>
      <c r="J2" s="15" t="n"/>
    </row>
    <row r="3">
      <c r="A3" s="16" t="inlineStr">
        <is>
          <t>뱀피르</t>
        </is>
      </c>
      <c r="C3" s="16" t="inlineStr">
        <is>
          <t>마케팅1팀</t>
        </is>
      </c>
      <c r="E3" s="16" t="inlineStr">
        <is>
          <t>기획</t>
        </is>
      </c>
      <c r="G3" s="16" t="inlineStr">
        <is>
          <t>대기</t>
        </is>
      </c>
      <c r="I3" s="17" t="inlineStr">
        <is>
          <t>연도</t>
        </is>
      </c>
      <c r="J3" s="18" t="n">
        <v>2026</v>
      </c>
    </row>
    <row r="4">
      <c r="A4" s="16" t="inlineStr">
        <is>
          <t>RF 글로벌</t>
        </is>
      </c>
      <c r="C4" s="16" t="inlineStr">
        <is>
          <t>마케팅2팀</t>
        </is>
      </c>
      <c r="E4" s="16" t="inlineStr">
        <is>
          <t>이미지</t>
        </is>
      </c>
      <c r="G4" s="16" t="inlineStr">
        <is>
          <t>진행</t>
        </is>
      </c>
      <c r="I4" s="17" t="inlineStr">
        <is>
          <t>월 가동일수</t>
        </is>
      </c>
      <c r="J4" s="18" t="n">
        <v>20</v>
      </c>
    </row>
    <row r="5">
      <c r="A5" s="16" t="inlineStr">
        <is>
          <t>SOL 인챈트</t>
        </is>
      </c>
      <c r="C5" s="16" t="inlineStr">
        <is>
          <t>마케팅3팀</t>
        </is>
      </c>
      <c r="E5" s="16" t="inlineStr">
        <is>
          <t>영상</t>
        </is>
      </c>
      <c r="G5" s="16" t="inlineStr">
        <is>
          <t>검수</t>
        </is>
      </c>
      <c r="I5" s="17" t="inlineStr">
        <is>
          <t>담당자 1일 캐파(MD)</t>
        </is>
      </c>
      <c r="J5" s="19" t="n">
        <v>1</v>
      </c>
    </row>
    <row r="6">
      <c r="A6" s="16" t="inlineStr">
        <is>
          <t>스톤에이지펫월드</t>
        </is>
      </c>
      <c r="C6" s="16" t="inlineStr">
        <is>
          <t>마케팅4팀</t>
        </is>
      </c>
      <c r="G6" s="16" t="inlineStr">
        <is>
          <t>완료</t>
        </is>
      </c>
    </row>
    <row r="7">
      <c r="A7" s="16" t="inlineStr">
        <is>
          <t>칠대죄오리진</t>
        </is>
      </c>
      <c r="C7" s="16" t="inlineStr">
        <is>
          <t>기타</t>
        </is>
      </c>
      <c r="I7" s="14" t="inlineStr">
        <is>
          <t>직군 일 TO 정원</t>
        </is>
      </c>
      <c r="J7" s="15" t="n"/>
    </row>
    <row r="8">
      <c r="A8" s="16" t="inlineStr">
        <is>
          <t>세나리버스</t>
        </is>
      </c>
      <c r="I8" s="20" t="inlineStr">
        <is>
          <t>영상</t>
        </is>
      </c>
      <c r="J8" s="21" t="n">
        <v>6</v>
      </c>
    </row>
    <row r="9">
      <c r="A9" s="16" t="inlineStr">
        <is>
          <t>몬길</t>
        </is>
      </c>
      <c r="I9" s="20" t="inlineStr">
        <is>
          <t>이미지</t>
        </is>
      </c>
      <c r="J9" s="21" t="n">
        <v>8</v>
      </c>
    </row>
    <row r="10">
      <c r="A10" s="16" t="inlineStr">
        <is>
          <t>왕겜(GOT)</t>
        </is>
      </c>
      <c r="I10" s="20" t="inlineStr">
        <is>
          <t>기획</t>
        </is>
      </c>
      <c r="J10" s="21" t="n">
        <v>3</v>
      </c>
    </row>
    <row r="11">
      <c r="A11" s="16" t="inlineStr">
        <is>
          <t>몬스터길들이기</t>
        </is>
      </c>
    </row>
    <row r="12">
      <c r="A12" s="16" t="inlineStr">
        <is>
          <t>라이즈오브</t>
        </is>
      </c>
      <c r="I12" s="14" t="inlineStr">
        <is>
          <t>대한민국 공휴일 (참고 - 연도별 확인/수정 필요)</t>
        </is>
      </c>
      <c r="J12" s="15" t="n"/>
    </row>
    <row r="13">
      <c r="A13" s="22" t="inlineStr"/>
      <c r="I13" s="23" t="inlineStr">
        <is>
          <t>신정</t>
        </is>
      </c>
      <c r="J13" s="24">
        <f>DATE(2026,1,1)</f>
        <v/>
      </c>
    </row>
    <row r="14">
      <c r="A14" s="22" t="inlineStr"/>
      <c r="I14" s="23" t="inlineStr">
        <is>
          <t>설날연휴</t>
        </is>
      </c>
      <c r="J14" s="24">
        <f>DATE(2026,2,16)</f>
        <v/>
      </c>
    </row>
    <row r="15">
      <c r="A15" s="22" t="inlineStr"/>
      <c r="I15" s="23" t="inlineStr">
        <is>
          <t>설날</t>
        </is>
      </c>
      <c r="J15" s="24">
        <f>DATE(2026,2,17)</f>
        <v/>
      </c>
    </row>
    <row r="16">
      <c r="A16" s="22" t="inlineStr"/>
      <c r="I16" s="23" t="inlineStr">
        <is>
          <t>설날연휴</t>
        </is>
      </c>
      <c r="J16" s="24">
        <f>DATE(2026,2,18)</f>
        <v/>
      </c>
    </row>
    <row r="17">
      <c r="A17" s="22" t="inlineStr"/>
      <c r="I17" s="23" t="inlineStr">
        <is>
          <t>삼일절(대체)</t>
        </is>
      </c>
      <c r="J17" s="24">
        <f>DATE(2026,3,2)</f>
        <v/>
      </c>
    </row>
    <row r="18">
      <c r="A18" s="22" t="inlineStr"/>
      <c r="I18" s="23" t="inlineStr">
        <is>
          <t>어린이날</t>
        </is>
      </c>
      <c r="J18" s="24">
        <f>DATE(2026,5,5)</f>
        <v/>
      </c>
    </row>
    <row r="19">
      <c r="A19" s="22" t="inlineStr"/>
      <c r="I19" s="23" t="inlineStr">
        <is>
          <t>부처님오신날(음력,확인필요)</t>
        </is>
      </c>
      <c r="J19" s="24">
        <f>DATE(2026,5,24)</f>
        <v/>
      </c>
    </row>
    <row r="20">
      <c r="A20" s="22" t="inlineStr"/>
      <c r="I20" s="23" t="inlineStr">
        <is>
          <t>현충일</t>
        </is>
      </c>
      <c r="J20" s="24">
        <f>DATE(2026,6,6)</f>
        <v/>
      </c>
    </row>
    <row r="21">
      <c r="A21" s="22" t="inlineStr"/>
      <c r="I21" s="23" t="inlineStr">
        <is>
          <t>광복절</t>
        </is>
      </c>
      <c r="J21" s="24">
        <f>DATE(2026,8,15)</f>
        <v/>
      </c>
    </row>
    <row r="22">
      <c r="A22" s="22" t="inlineStr"/>
      <c r="I22" s="23" t="inlineStr">
        <is>
          <t>추석연휴(음력,확인필요)</t>
        </is>
      </c>
      <c r="J22" s="24">
        <f>DATE(2026,9,24)</f>
        <v/>
      </c>
    </row>
    <row r="23">
      <c r="A23" s="22" t="inlineStr"/>
      <c r="I23" s="23" t="inlineStr">
        <is>
          <t>추석(음력,확인필요)</t>
        </is>
      </c>
      <c r="J23" s="24">
        <f>DATE(2026,9,25)</f>
        <v/>
      </c>
    </row>
    <row r="24">
      <c r="A24" s="22" t="inlineStr"/>
      <c r="I24" s="23" t="inlineStr">
        <is>
          <t>추석연휴(음력,확인필요)</t>
        </is>
      </c>
      <c r="J24" s="24">
        <f>DATE(2026,9,26)</f>
        <v/>
      </c>
    </row>
    <row r="25">
      <c r="A25" s="22" t="inlineStr"/>
      <c r="I25" s="23" t="inlineStr">
        <is>
          <t>개천절</t>
        </is>
      </c>
      <c r="J25" s="24">
        <f>DATE(2026,10,3)</f>
        <v/>
      </c>
    </row>
    <row r="26">
      <c r="A26" s="22" t="inlineStr"/>
      <c r="I26" s="23" t="inlineStr">
        <is>
          <t>한글날</t>
        </is>
      </c>
      <c r="J26" s="24">
        <f>DATE(2026,10,9)</f>
        <v/>
      </c>
    </row>
    <row r="27">
      <c r="A27" s="22" t="inlineStr"/>
      <c r="I27" s="23" t="inlineStr">
        <is>
          <t>성탄절</t>
        </is>
      </c>
      <c r="J27" s="24">
        <f>DATE(2026,12,25)</f>
        <v/>
      </c>
    </row>
    <row r="30">
      <c r="A30" s="25" t="inlineStr">
        <is>
          <t>비나(VINA) 운영 시나리오 (참고)</t>
        </is>
      </c>
    </row>
    <row r="31">
      <c r="A31" s="26" t="inlineStr">
        <is>
          <t>방안 1</t>
        </is>
      </c>
      <c r="C31" s="27" t="inlineStr">
        <is>
          <t>기획+내부디자인+비나영상 - 비나 영상공수는 영상실 매출 귀속</t>
        </is>
      </c>
    </row>
    <row r="32">
      <c r="A32" s="26" t="inlineStr">
        <is>
          <t>방안 2</t>
        </is>
      </c>
      <c r="C32" s="27" t="inlineStr">
        <is>
          <t>비나=사이즈베리만 - 영상 베리는 디자인 흡수</t>
        </is>
      </c>
    </row>
    <row r="33">
      <c r="A33" s="26" t="inlineStr">
        <is>
          <t>방안 3</t>
        </is>
      </c>
      <c r="C33" s="27" t="inlineStr">
        <is>
          <t>비나 이미지TO 추가발주+추가비용</t>
        </is>
      </c>
    </row>
    <row r="34">
      <c r="A34" s="26" t="inlineStr">
        <is>
          <t>방안 4</t>
        </is>
      </c>
      <c r="C34" s="27" t="inlineStr">
        <is>
          <t>본사 프로세스 통합(이미지TO 추가X)</t>
        </is>
      </c>
    </row>
  </sheetData>
  <mergeCells count="7">
    <mergeCell ref="C34:J34"/>
    <mergeCell ref="I12:J12"/>
    <mergeCell ref="I7:J7"/>
    <mergeCell ref="I2:J2"/>
    <mergeCell ref="C32:J32"/>
    <mergeCell ref="C33:J33"/>
    <mergeCell ref="C31:J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11" customWidth="1" min="7" max="7"/>
    <col width="8" customWidth="1" min="8" max="8"/>
    <col width="9" customWidth="1" min="9" max="9"/>
    <col width="9" customWidth="1" min="10" max="10"/>
    <col width="9" customWidth="1" min="11" max="11"/>
  </cols>
  <sheetData>
    <row r="2">
      <c r="B2" s="28" t="inlineStr">
        <is>
          <t>연간요약 - 월별 / 상하반기 / 매월 누적</t>
        </is>
      </c>
    </row>
    <row r="3">
      <c r="B3" s="29" t="inlineStr">
        <is>
          <t>각 월 탭에서 직접 집계. 입력은 해당 월 탭에서.</t>
        </is>
      </c>
    </row>
    <row r="5">
      <c r="B5" s="13" t="inlineStr">
        <is>
          <t>월</t>
        </is>
      </c>
      <c r="C5" s="13" t="inlineStr">
        <is>
          <t>영상MD</t>
        </is>
      </c>
      <c r="D5" s="13" t="inlineStr">
        <is>
          <t>이미지MD</t>
        </is>
      </c>
      <c r="E5" s="13" t="inlineStr">
        <is>
          <t>기획MD</t>
        </is>
      </c>
      <c r="F5" s="13" t="inlineStr">
        <is>
          <t>합계MD</t>
        </is>
      </c>
      <c r="G5" s="13" t="inlineStr">
        <is>
          <t>누적MD</t>
        </is>
      </c>
      <c r="H5" s="13" t="inlineStr">
        <is>
          <t>영상수</t>
        </is>
      </c>
      <c r="I5" s="13" t="inlineStr">
        <is>
          <t>사이즈베리</t>
        </is>
      </c>
      <c r="J5" s="13" t="inlineStr">
        <is>
          <t>다국어베리</t>
        </is>
      </c>
      <c r="K5" s="13" t="inlineStr">
        <is>
          <t>가동률</t>
        </is>
      </c>
    </row>
    <row r="6">
      <c r="B6" s="26" t="inlineStr">
        <is>
          <t>1월</t>
        </is>
      </c>
      <c r="C6" s="30">
        <f>SUMIF('1월'!$E$8:$E$162,"영상",'1월'!$K$8:$K$162)</f>
        <v/>
      </c>
      <c r="D6" s="30">
        <f>SUMIF('1월'!$E$8:$E$162,"이미지",'1월'!$K$8:$K$162)</f>
        <v/>
      </c>
      <c r="E6" s="30">
        <f>SUMIF('1월'!$E$8:$E$162,"기획",'1월'!$K$8:$K$162)</f>
        <v/>
      </c>
      <c r="F6" s="30">
        <f>SUM(C6:E6)</f>
        <v/>
      </c>
      <c r="G6" s="30">
        <f>SUM($F$6:F6)</f>
        <v/>
      </c>
      <c r="H6" s="30">
        <f>SUM('1월'!H8:H162)</f>
        <v/>
      </c>
      <c r="I6" s="30">
        <f>SUM('1월'!I8:I162)</f>
        <v/>
      </c>
      <c r="J6" s="30">
        <f>SUM('1월'!J8:J162)</f>
        <v/>
      </c>
      <c r="K6" s="31">
        <f>IFERROR(F6/(SUM('마스터'!$J$8:$J$10)*'마스터'!$J$4),0)</f>
        <v/>
      </c>
    </row>
    <row r="7">
      <c r="B7" s="26" t="inlineStr">
        <is>
          <t>2월</t>
        </is>
      </c>
      <c r="C7" s="30">
        <f>SUMIF('2월'!$E$8:$E$162,"영상",'2월'!$K$8:$K$162)</f>
        <v/>
      </c>
      <c r="D7" s="30">
        <f>SUMIF('2월'!$E$8:$E$162,"이미지",'2월'!$K$8:$K$162)</f>
        <v/>
      </c>
      <c r="E7" s="30">
        <f>SUMIF('2월'!$E$8:$E$162,"기획",'2월'!$K$8:$K$162)</f>
        <v/>
      </c>
      <c r="F7" s="30">
        <f>SUM(C7:E7)</f>
        <v/>
      </c>
      <c r="G7" s="30">
        <f>SUM($F$6:F7)</f>
        <v/>
      </c>
      <c r="H7" s="30">
        <f>SUM('2월'!H8:H162)</f>
        <v/>
      </c>
      <c r="I7" s="30">
        <f>SUM('2월'!I8:I162)</f>
        <v/>
      </c>
      <c r="J7" s="30">
        <f>SUM('2월'!J8:J162)</f>
        <v/>
      </c>
      <c r="K7" s="31">
        <f>IFERROR(F7/(SUM('마스터'!$J$8:$J$10)*'마스터'!$J$4),0)</f>
        <v/>
      </c>
    </row>
    <row r="8">
      <c r="B8" s="26" t="inlineStr">
        <is>
          <t>3월</t>
        </is>
      </c>
      <c r="C8" s="30">
        <f>SUMIF('3월'!$E$8:$E$162,"영상",'3월'!$K$8:$K$162)</f>
        <v/>
      </c>
      <c r="D8" s="30">
        <f>SUMIF('3월'!$E$8:$E$162,"이미지",'3월'!$K$8:$K$162)</f>
        <v/>
      </c>
      <c r="E8" s="30">
        <f>SUMIF('3월'!$E$8:$E$162,"기획",'3월'!$K$8:$K$162)</f>
        <v/>
      </c>
      <c r="F8" s="30">
        <f>SUM(C8:E8)</f>
        <v/>
      </c>
      <c r="G8" s="30">
        <f>SUM($F$6:F8)</f>
        <v/>
      </c>
      <c r="H8" s="30">
        <f>SUM('3월'!H8:H162)</f>
        <v/>
      </c>
      <c r="I8" s="30">
        <f>SUM('3월'!I8:I162)</f>
        <v/>
      </c>
      <c r="J8" s="30">
        <f>SUM('3월'!J8:J162)</f>
        <v/>
      </c>
      <c r="K8" s="31">
        <f>IFERROR(F8/(SUM('마스터'!$J$8:$J$10)*'마스터'!$J$4),0)</f>
        <v/>
      </c>
    </row>
    <row r="9">
      <c r="B9" s="26" t="inlineStr">
        <is>
          <t>4월</t>
        </is>
      </c>
      <c r="C9" s="30">
        <f>SUMIF('4월'!$E$8:$E$162,"영상",'4월'!$K$8:$K$162)</f>
        <v/>
      </c>
      <c r="D9" s="30">
        <f>SUMIF('4월'!$E$8:$E$162,"이미지",'4월'!$K$8:$K$162)</f>
        <v/>
      </c>
      <c r="E9" s="30">
        <f>SUMIF('4월'!$E$8:$E$162,"기획",'4월'!$K$8:$K$162)</f>
        <v/>
      </c>
      <c r="F9" s="30">
        <f>SUM(C9:E9)</f>
        <v/>
      </c>
      <c r="G9" s="30">
        <f>SUM($F$6:F9)</f>
        <v/>
      </c>
      <c r="H9" s="30">
        <f>SUM('4월'!H8:H162)</f>
        <v/>
      </c>
      <c r="I9" s="30">
        <f>SUM('4월'!I8:I162)</f>
        <v/>
      </c>
      <c r="J9" s="30">
        <f>SUM('4월'!J8:J162)</f>
        <v/>
      </c>
      <c r="K9" s="31">
        <f>IFERROR(F9/(SUM('마스터'!$J$8:$J$10)*'마스터'!$J$4),0)</f>
        <v/>
      </c>
    </row>
    <row r="10">
      <c r="B10" s="26" t="inlineStr">
        <is>
          <t>5월</t>
        </is>
      </c>
      <c r="C10" s="30">
        <f>SUMIF('5월'!$E$8:$E$162,"영상",'5월'!$K$8:$K$162)</f>
        <v/>
      </c>
      <c r="D10" s="30">
        <f>SUMIF('5월'!$E$8:$E$162,"이미지",'5월'!$K$8:$K$162)</f>
        <v/>
      </c>
      <c r="E10" s="30">
        <f>SUMIF('5월'!$E$8:$E$162,"기획",'5월'!$K$8:$K$162)</f>
        <v/>
      </c>
      <c r="F10" s="30">
        <f>SUM(C10:E10)</f>
        <v/>
      </c>
      <c r="G10" s="30">
        <f>SUM($F$6:F10)</f>
        <v/>
      </c>
      <c r="H10" s="30">
        <f>SUM('5월'!H8:H162)</f>
        <v/>
      </c>
      <c r="I10" s="30">
        <f>SUM('5월'!I8:I162)</f>
        <v/>
      </c>
      <c r="J10" s="30">
        <f>SUM('5월'!J8:J162)</f>
        <v/>
      </c>
      <c r="K10" s="31">
        <f>IFERROR(F10/(SUM('마스터'!$J$8:$J$10)*'마스터'!$J$4),0)</f>
        <v/>
      </c>
    </row>
    <row r="11">
      <c r="B11" s="26" t="inlineStr">
        <is>
          <t>6월</t>
        </is>
      </c>
      <c r="C11" s="30">
        <f>SUMIF('6월'!$E$8:$E$162,"영상",'6월'!$K$8:$K$162)</f>
        <v/>
      </c>
      <c r="D11" s="30">
        <f>SUMIF('6월'!$E$8:$E$162,"이미지",'6월'!$K$8:$K$162)</f>
        <v/>
      </c>
      <c r="E11" s="30">
        <f>SUMIF('6월'!$E$8:$E$162,"기획",'6월'!$K$8:$K$162)</f>
        <v/>
      </c>
      <c r="F11" s="30">
        <f>SUM(C11:E11)</f>
        <v/>
      </c>
      <c r="G11" s="30">
        <f>SUM($F$6:F11)</f>
        <v/>
      </c>
      <c r="H11" s="30">
        <f>SUM('6월'!H8:H162)</f>
        <v/>
      </c>
      <c r="I11" s="30">
        <f>SUM('6월'!I8:I162)</f>
        <v/>
      </c>
      <c r="J11" s="30">
        <f>SUM('6월'!J8:J162)</f>
        <v/>
      </c>
      <c r="K11" s="31">
        <f>IFERROR(F11/(SUM('마스터'!$J$8:$J$10)*'마스터'!$J$4),0)</f>
        <v/>
      </c>
    </row>
    <row r="12">
      <c r="B12" s="26" t="inlineStr">
        <is>
          <t>7월</t>
        </is>
      </c>
      <c r="C12" s="30">
        <f>SUMIF('7월'!$E$8:$E$162,"영상",'7월'!$K$8:$K$162)</f>
        <v/>
      </c>
      <c r="D12" s="30">
        <f>SUMIF('7월'!$E$8:$E$162,"이미지",'7월'!$K$8:$K$162)</f>
        <v/>
      </c>
      <c r="E12" s="30">
        <f>SUMIF('7월'!$E$8:$E$162,"기획",'7월'!$K$8:$K$162)</f>
        <v/>
      </c>
      <c r="F12" s="30">
        <f>SUM(C12:E12)</f>
        <v/>
      </c>
      <c r="G12" s="30">
        <f>SUM($F$6:F12)</f>
        <v/>
      </c>
      <c r="H12" s="30">
        <f>SUM('7월'!H8:H162)</f>
        <v/>
      </c>
      <c r="I12" s="30">
        <f>SUM('7월'!I8:I162)</f>
        <v/>
      </c>
      <c r="J12" s="30">
        <f>SUM('7월'!J8:J162)</f>
        <v/>
      </c>
      <c r="K12" s="31">
        <f>IFERROR(F12/(SUM('마스터'!$J$8:$J$10)*'마스터'!$J$4),0)</f>
        <v/>
      </c>
    </row>
    <row r="13">
      <c r="B13" s="26" t="inlineStr">
        <is>
          <t>8월</t>
        </is>
      </c>
      <c r="C13" s="30">
        <f>SUMIF('8월'!$E$8:$E$162,"영상",'8월'!$K$8:$K$162)</f>
        <v/>
      </c>
      <c r="D13" s="30">
        <f>SUMIF('8월'!$E$8:$E$162,"이미지",'8월'!$K$8:$K$162)</f>
        <v/>
      </c>
      <c r="E13" s="30">
        <f>SUMIF('8월'!$E$8:$E$162,"기획",'8월'!$K$8:$K$162)</f>
        <v/>
      </c>
      <c r="F13" s="30">
        <f>SUM(C13:E13)</f>
        <v/>
      </c>
      <c r="G13" s="30">
        <f>SUM($F$6:F13)</f>
        <v/>
      </c>
      <c r="H13" s="30">
        <f>SUM('8월'!H8:H162)</f>
        <v/>
      </c>
      <c r="I13" s="30">
        <f>SUM('8월'!I8:I162)</f>
        <v/>
      </c>
      <c r="J13" s="30">
        <f>SUM('8월'!J8:J162)</f>
        <v/>
      </c>
      <c r="K13" s="31">
        <f>IFERROR(F13/(SUM('마스터'!$J$8:$J$10)*'마스터'!$J$4),0)</f>
        <v/>
      </c>
    </row>
    <row r="14">
      <c r="B14" s="26" t="inlineStr">
        <is>
          <t>9월</t>
        </is>
      </c>
      <c r="C14" s="30">
        <f>SUMIF('9월'!$E$8:$E$162,"영상",'9월'!$K$8:$K$162)</f>
        <v/>
      </c>
      <c r="D14" s="30">
        <f>SUMIF('9월'!$E$8:$E$162,"이미지",'9월'!$K$8:$K$162)</f>
        <v/>
      </c>
      <c r="E14" s="30">
        <f>SUMIF('9월'!$E$8:$E$162,"기획",'9월'!$K$8:$K$162)</f>
        <v/>
      </c>
      <c r="F14" s="30">
        <f>SUM(C14:E14)</f>
        <v/>
      </c>
      <c r="G14" s="30">
        <f>SUM($F$6:F14)</f>
        <v/>
      </c>
      <c r="H14" s="30">
        <f>SUM('9월'!H8:H162)</f>
        <v/>
      </c>
      <c r="I14" s="30">
        <f>SUM('9월'!I8:I162)</f>
        <v/>
      </c>
      <c r="J14" s="30">
        <f>SUM('9월'!J8:J162)</f>
        <v/>
      </c>
      <c r="K14" s="31">
        <f>IFERROR(F14/(SUM('마스터'!$J$8:$J$10)*'마스터'!$J$4),0)</f>
        <v/>
      </c>
    </row>
    <row r="15">
      <c r="B15" s="26" t="inlineStr">
        <is>
          <t>10월</t>
        </is>
      </c>
      <c r="C15" s="30">
        <f>SUMIF('10월'!$E$8:$E$162,"영상",'10월'!$K$8:$K$162)</f>
        <v/>
      </c>
      <c r="D15" s="30">
        <f>SUMIF('10월'!$E$8:$E$162,"이미지",'10월'!$K$8:$K$162)</f>
        <v/>
      </c>
      <c r="E15" s="30">
        <f>SUMIF('10월'!$E$8:$E$162,"기획",'10월'!$K$8:$K$162)</f>
        <v/>
      </c>
      <c r="F15" s="30">
        <f>SUM(C15:E15)</f>
        <v/>
      </c>
      <c r="G15" s="30">
        <f>SUM($F$6:F15)</f>
        <v/>
      </c>
      <c r="H15" s="30">
        <f>SUM('10월'!H8:H162)</f>
        <v/>
      </c>
      <c r="I15" s="30">
        <f>SUM('10월'!I8:I162)</f>
        <v/>
      </c>
      <c r="J15" s="30">
        <f>SUM('10월'!J8:J162)</f>
        <v/>
      </c>
      <c r="K15" s="31">
        <f>IFERROR(F15/(SUM('마스터'!$J$8:$J$10)*'마스터'!$J$4),0)</f>
        <v/>
      </c>
    </row>
    <row r="16">
      <c r="B16" s="26" t="inlineStr">
        <is>
          <t>11월</t>
        </is>
      </c>
      <c r="C16" s="30">
        <f>SUMIF('11월'!$E$8:$E$162,"영상",'11월'!$K$8:$K$162)</f>
        <v/>
      </c>
      <c r="D16" s="30">
        <f>SUMIF('11월'!$E$8:$E$162,"이미지",'11월'!$K$8:$K$162)</f>
        <v/>
      </c>
      <c r="E16" s="30">
        <f>SUMIF('11월'!$E$8:$E$162,"기획",'11월'!$K$8:$K$162)</f>
        <v/>
      </c>
      <c r="F16" s="30">
        <f>SUM(C16:E16)</f>
        <v/>
      </c>
      <c r="G16" s="30">
        <f>SUM($F$6:F16)</f>
        <v/>
      </c>
      <c r="H16" s="30">
        <f>SUM('11월'!H8:H162)</f>
        <v/>
      </c>
      <c r="I16" s="30">
        <f>SUM('11월'!I8:I162)</f>
        <v/>
      </c>
      <c r="J16" s="30">
        <f>SUM('11월'!J8:J162)</f>
        <v/>
      </c>
      <c r="K16" s="31">
        <f>IFERROR(F16/(SUM('마스터'!$J$8:$J$10)*'마스터'!$J$4),0)</f>
        <v/>
      </c>
    </row>
    <row r="17">
      <c r="B17" s="26" t="inlineStr">
        <is>
          <t>12월</t>
        </is>
      </c>
      <c r="C17" s="30">
        <f>SUMIF('12월'!$E$8:$E$162,"영상",'12월'!$K$8:$K$162)</f>
        <v/>
      </c>
      <c r="D17" s="30">
        <f>SUMIF('12월'!$E$8:$E$162,"이미지",'12월'!$K$8:$K$162)</f>
        <v/>
      </c>
      <c r="E17" s="30">
        <f>SUMIF('12월'!$E$8:$E$162,"기획",'12월'!$K$8:$K$162)</f>
        <v/>
      </c>
      <c r="F17" s="30">
        <f>SUM(C17:E17)</f>
        <v/>
      </c>
      <c r="G17" s="30">
        <f>SUM($F$6:F17)</f>
        <v/>
      </c>
      <c r="H17" s="30">
        <f>SUM('12월'!H8:H162)</f>
        <v/>
      </c>
      <c r="I17" s="30">
        <f>SUM('12월'!I8:I162)</f>
        <v/>
      </c>
      <c r="J17" s="30">
        <f>SUM('12월'!J8:J162)</f>
        <v/>
      </c>
      <c r="K17" s="31">
        <f>IFERROR(F17/(SUM('마스터'!$J$8:$J$10)*'마스터'!$J$4),0)</f>
        <v/>
      </c>
    </row>
    <row r="18">
      <c r="B18" s="32" t="inlineStr">
        <is>
          <t>상반기(1-6)</t>
        </is>
      </c>
      <c r="C18" s="33">
        <f>SUM(C6:C11)</f>
        <v/>
      </c>
      <c r="D18" s="33">
        <f>SUM(D6:D11)</f>
        <v/>
      </c>
      <c r="E18" s="33">
        <f>SUM(E6:E11)</f>
        <v/>
      </c>
      <c r="F18" s="33">
        <f>SUM(F6:F11)</f>
        <v/>
      </c>
      <c r="G18" s="34" t="inlineStr"/>
      <c r="H18" s="33">
        <f>SUM(H6:H11)</f>
        <v/>
      </c>
      <c r="I18" s="33">
        <f>SUM(I6:I11)</f>
        <v/>
      </c>
      <c r="J18" s="33">
        <f>SUM(J6:J11)</f>
        <v/>
      </c>
      <c r="K18" s="35">
        <f>IFERROR(F18/(SUM('마스터'!$J$8:$J$10)*'마스터'!$J$4*(11-6+1)),0)</f>
        <v/>
      </c>
    </row>
    <row r="19">
      <c r="B19" s="32" t="inlineStr">
        <is>
          <t>하반기(7-12)</t>
        </is>
      </c>
      <c r="C19" s="33">
        <f>SUM(C12:C17)</f>
        <v/>
      </c>
      <c r="D19" s="33">
        <f>SUM(D12:D17)</f>
        <v/>
      </c>
      <c r="E19" s="33">
        <f>SUM(E12:E17)</f>
        <v/>
      </c>
      <c r="F19" s="33">
        <f>SUM(F12:F17)</f>
        <v/>
      </c>
      <c r="G19" s="34" t="inlineStr"/>
      <c r="H19" s="33">
        <f>SUM(H12:H17)</f>
        <v/>
      </c>
      <c r="I19" s="33">
        <f>SUM(I12:I17)</f>
        <v/>
      </c>
      <c r="J19" s="33">
        <f>SUM(J12:J17)</f>
        <v/>
      </c>
      <c r="K19" s="35">
        <f>IFERROR(F19/(SUM('마스터'!$J$8:$J$10)*'마스터'!$J$4*(17-12+1)),0)</f>
        <v/>
      </c>
    </row>
    <row r="20">
      <c r="B20" s="32" t="inlineStr">
        <is>
          <t>연간 합계</t>
        </is>
      </c>
      <c r="C20" s="33">
        <f>SUM(C6:C17)</f>
        <v/>
      </c>
      <c r="D20" s="33">
        <f>SUM(D6:D17)</f>
        <v/>
      </c>
      <c r="E20" s="33">
        <f>SUM(E6:E17)</f>
        <v/>
      </c>
      <c r="F20" s="33">
        <f>SUM(F6:F17)</f>
        <v/>
      </c>
      <c r="G20" s="34" t="inlineStr"/>
      <c r="H20" s="33">
        <f>SUM(H6:H17)</f>
        <v/>
      </c>
      <c r="I20" s="33">
        <f>SUM(I6:I17)</f>
        <v/>
      </c>
      <c r="J20" s="33">
        <f>SUM(J6:J17)</f>
        <v/>
      </c>
      <c r="K20" s="35">
        <f>IFERROR(F20/(SUM('마스터'!$J$8:$J$10)*'마스터'!$J$4*(17-6+1)),0)</f>
        <v/>
      </c>
    </row>
    <row r="23">
      <c r="B23" s="25" t="inlineStr">
        <is>
          <t>고객팀 x 직군 (연간 건수)</t>
        </is>
      </c>
      <c r="H23" s="25" t="inlineStr">
        <is>
          <t>게임타이틀별 (연간 MD)</t>
        </is>
      </c>
    </row>
    <row r="24">
      <c r="B24" s="36" t="inlineStr">
        <is>
          <t>팀\직군</t>
        </is>
      </c>
      <c r="C24" s="36" t="inlineStr">
        <is>
          <t>기획</t>
        </is>
      </c>
      <c r="D24" s="36" t="inlineStr">
        <is>
          <t>이미지</t>
        </is>
      </c>
      <c r="E24" s="36" t="inlineStr">
        <is>
          <t>영상</t>
        </is>
      </c>
      <c r="H24" s="36" t="inlineStr">
        <is>
          <t>타이틀</t>
        </is>
      </c>
      <c r="I24" s="36" t="inlineStr">
        <is>
          <t>건수</t>
        </is>
      </c>
      <c r="J24" s="36" t="inlineStr">
        <is>
          <t>MD</t>
        </is>
      </c>
    </row>
    <row r="25">
      <c r="B25" s="37" t="inlineStr">
        <is>
          <t>마케팅1팀</t>
        </is>
      </c>
      <c r="C25" s="38">
        <f>COUNTIFS('1월'!$C$8:$C$162,$B25,'1월'!$E$8:$E$162,C$24)+COUNTIFS('2월'!$C$8:$C$162,$B25,'2월'!$E$8:$E$162,C$24)+COUNTIFS('3월'!$C$8:$C$162,$B25,'3월'!$E$8:$E$162,C$24)+COUNTIFS('4월'!$C$8:$C$162,$B25,'4월'!$E$8:$E$162,C$24)+COUNTIFS('5월'!$C$8:$C$162,$B25,'5월'!$E$8:$E$162,C$24)+COUNTIFS('6월'!$C$8:$C$162,$B25,'6월'!$E$8:$E$162,C$24)+COUNTIFS('7월'!$C$8:$C$162,$B25,'7월'!$E$8:$E$162,C$24)+COUNTIFS('8월'!$C$8:$C$162,$B25,'8월'!$E$8:$E$162,C$24)+COUNTIFS('9월'!$C$8:$C$162,$B25,'9월'!$E$8:$E$162,C$24)+COUNTIFS('10월'!$C$8:$C$162,$B25,'10월'!$E$8:$E$162,C$24)+COUNTIFS('11월'!$C$8:$C$162,$B25,'11월'!$E$8:$E$162,C$24)+COUNTIFS('12월'!$C$8:$C$162,$B25,'12월'!$E$8:$E$162,C$24)</f>
        <v/>
      </c>
      <c r="D25" s="38">
        <f>COUNTIFS('1월'!$C$8:$C$162,$B25,'1월'!$E$8:$E$162,D$24)+COUNTIFS('2월'!$C$8:$C$162,$B25,'2월'!$E$8:$E$162,D$24)+COUNTIFS('3월'!$C$8:$C$162,$B25,'3월'!$E$8:$E$162,D$24)+COUNTIFS('4월'!$C$8:$C$162,$B25,'4월'!$E$8:$E$162,D$24)+COUNTIFS('5월'!$C$8:$C$162,$B25,'5월'!$E$8:$E$162,D$24)+COUNTIFS('6월'!$C$8:$C$162,$B25,'6월'!$E$8:$E$162,D$24)+COUNTIFS('7월'!$C$8:$C$162,$B25,'7월'!$E$8:$E$162,D$24)+COUNTIFS('8월'!$C$8:$C$162,$B25,'8월'!$E$8:$E$162,D$24)+COUNTIFS('9월'!$C$8:$C$162,$B25,'9월'!$E$8:$E$162,D$24)+COUNTIFS('10월'!$C$8:$C$162,$B25,'10월'!$E$8:$E$162,D$24)+COUNTIFS('11월'!$C$8:$C$162,$B25,'11월'!$E$8:$E$162,D$24)+COUNTIFS('12월'!$C$8:$C$162,$B25,'12월'!$E$8:$E$162,D$24)</f>
        <v/>
      </c>
      <c r="E25" s="38">
        <f>COUNTIFS('1월'!$C$8:$C$162,$B25,'1월'!$E$8:$E$162,E$24)+COUNTIFS('2월'!$C$8:$C$162,$B25,'2월'!$E$8:$E$162,E$24)+COUNTIFS('3월'!$C$8:$C$162,$B25,'3월'!$E$8:$E$162,E$24)+COUNTIFS('4월'!$C$8:$C$162,$B25,'4월'!$E$8:$E$162,E$24)+COUNTIFS('5월'!$C$8:$C$162,$B25,'5월'!$E$8:$E$162,E$24)+COUNTIFS('6월'!$C$8:$C$162,$B25,'6월'!$E$8:$E$162,E$24)+COUNTIFS('7월'!$C$8:$C$162,$B25,'7월'!$E$8:$E$162,E$24)+COUNTIFS('8월'!$C$8:$C$162,$B25,'8월'!$E$8:$E$162,E$24)+COUNTIFS('9월'!$C$8:$C$162,$B25,'9월'!$E$8:$E$162,E$24)+COUNTIFS('10월'!$C$8:$C$162,$B25,'10월'!$E$8:$E$162,E$24)+COUNTIFS('11월'!$C$8:$C$162,$B25,'11월'!$E$8:$E$162,E$24)+COUNTIFS('12월'!$C$8:$C$162,$B25,'12월'!$E$8:$E$162,E$24)</f>
        <v/>
      </c>
      <c r="H25" s="37" t="inlineStr">
        <is>
          <t>뱀피르</t>
        </is>
      </c>
      <c r="I25" s="38">
        <f>COUNTIF('1월'!$B$8:$B$162,$H25)+COUNTIF('2월'!$B$8:$B$162,$H25)+COUNTIF('3월'!$B$8:$B$162,$H25)+COUNTIF('4월'!$B$8:$B$162,$H25)+COUNTIF('5월'!$B$8:$B$162,$H25)+COUNTIF('6월'!$B$8:$B$162,$H25)+COUNTIF('7월'!$B$8:$B$162,$H25)+COUNTIF('8월'!$B$8:$B$162,$H25)+COUNTIF('9월'!$B$8:$B$162,$H25)+COUNTIF('10월'!$B$8:$B$162,$H25)+COUNTIF('11월'!$B$8:$B$162,$H25)+COUNTIF('12월'!$B$8:$B$162,$H25)</f>
        <v/>
      </c>
      <c r="J25" s="39">
        <f>SUMIF('1월'!$B$8:$B$162,$H25,'1월'!$K$8:$K$162)+SUMIF('2월'!$B$8:$B$162,$H25,'2월'!$K$8:$K$162)+SUMIF('3월'!$B$8:$B$162,$H25,'3월'!$K$8:$K$162)+SUMIF('4월'!$B$8:$B$162,$H25,'4월'!$K$8:$K$162)+SUMIF('5월'!$B$8:$B$162,$H25,'5월'!$K$8:$K$162)+SUMIF('6월'!$B$8:$B$162,$H25,'6월'!$K$8:$K$162)+SUMIF('7월'!$B$8:$B$162,$H25,'7월'!$K$8:$K$162)+SUMIF('8월'!$B$8:$B$162,$H25,'8월'!$K$8:$K$162)+SUMIF('9월'!$B$8:$B$162,$H25,'9월'!$K$8:$K$162)+SUMIF('10월'!$B$8:$B$162,$H25,'10월'!$K$8:$K$162)+SUMIF('11월'!$B$8:$B$162,$H25,'11월'!$K$8:$K$162)+SUMIF('12월'!$B$8:$B$162,$H25,'12월'!$K$8:$K$162)</f>
        <v/>
      </c>
    </row>
    <row r="26">
      <c r="B26" s="37" t="inlineStr">
        <is>
          <t>마케팅2팀</t>
        </is>
      </c>
      <c r="C26" s="38">
        <f>COUNTIFS('1월'!$C$8:$C$162,$B26,'1월'!$E$8:$E$162,C$24)+COUNTIFS('2월'!$C$8:$C$162,$B26,'2월'!$E$8:$E$162,C$24)+COUNTIFS('3월'!$C$8:$C$162,$B26,'3월'!$E$8:$E$162,C$24)+COUNTIFS('4월'!$C$8:$C$162,$B26,'4월'!$E$8:$E$162,C$24)+COUNTIFS('5월'!$C$8:$C$162,$B26,'5월'!$E$8:$E$162,C$24)+COUNTIFS('6월'!$C$8:$C$162,$B26,'6월'!$E$8:$E$162,C$24)+COUNTIFS('7월'!$C$8:$C$162,$B26,'7월'!$E$8:$E$162,C$24)+COUNTIFS('8월'!$C$8:$C$162,$B26,'8월'!$E$8:$E$162,C$24)+COUNTIFS('9월'!$C$8:$C$162,$B26,'9월'!$E$8:$E$162,C$24)+COUNTIFS('10월'!$C$8:$C$162,$B26,'10월'!$E$8:$E$162,C$24)+COUNTIFS('11월'!$C$8:$C$162,$B26,'11월'!$E$8:$E$162,C$24)+COUNTIFS('12월'!$C$8:$C$162,$B26,'12월'!$E$8:$E$162,C$24)</f>
        <v/>
      </c>
      <c r="D26" s="38">
        <f>COUNTIFS('1월'!$C$8:$C$162,$B26,'1월'!$E$8:$E$162,D$24)+COUNTIFS('2월'!$C$8:$C$162,$B26,'2월'!$E$8:$E$162,D$24)+COUNTIFS('3월'!$C$8:$C$162,$B26,'3월'!$E$8:$E$162,D$24)+COUNTIFS('4월'!$C$8:$C$162,$B26,'4월'!$E$8:$E$162,D$24)+COUNTIFS('5월'!$C$8:$C$162,$B26,'5월'!$E$8:$E$162,D$24)+COUNTIFS('6월'!$C$8:$C$162,$B26,'6월'!$E$8:$E$162,D$24)+COUNTIFS('7월'!$C$8:$C$162,$B26,'7월'!$E$8:$E$162,D$24)+COUNTIFS('8월'!$C$8:$C$162,$B26,'8월'!$E$8:$E$162,D$24)+COUNTIFS('9월'!$C$8:$C$162,$B26,'9월'!$E$8:$E$162,D$24)+COUNTIFS('10월'!$C$8:$C$162,$B26,'10월'!$E$8:$E$162,D$24)+COUNTIFS('11월'!$C$8:$C$162,$B26,'11월'!$E$8:$E$162,D$24)+COUNTIFS('12월'!$C$8:$C$162,$B26,'12월'!$E$8:$E$162,D$24)</f>
        <v/>
      </c>
      <c r="E26" s="38">
        <f>COUNTIFS('1월'!$C$8:$C$162,$B26,'1월'!$E$8:$E$162,E$24)+COUNTIFS('2월'!$C$8:$C$162,$B26,'2월'!$E$8:$E$162,E$24)+COUNTIFS('3월'!$C$8:$C$162,$B26,'3월'!$E$8:$E$162,E$24)+COUNTIFS('4월'!$C$8:$C$162,$B26,'4월'!$E$8:$E$162,E$24)+COUNTIFS('5월'!$C$8:$C$162,$B26,'5월'!$E$8:$E$162,E$24)+COUNTIFS('6월'!$C$8:$C$162,$B26,'6월'!$E$8:$E$162,E$24)+COUNTIFS('7월'!$C$8:$C$162,$B26,'7월'!$E$8:$E$162,E$24)+COUNTIFS('8월'!$C$8:$C$162,$B26,'8월'!$E$8:$E$162,E$24)+COUNTIFS('9월'!$C$8:$C$162,$B26,'9월'!$E$8:$E$162,E$24)+COUNTIFS('10월'!$C$8:$C$162,$B26,'10월'!$E$8:$E$162,E$24)+COUNTIFS('11월'!$C$8:$C$162,$B26,'11월'!$E$8:$E$162,E$24)+COUNTIFS('12월'!$C$8:$C$162,$B26,'12월'!$E$8:$E$162,E$24)</f>
        <v/>
      </c>
      <c r="H26" s="37" t="inlineStr">
        <is>
          <t>RF 글로벌</t>
        </is>
      </c>
      <c r="I26" s="38">
        <f>COUNTIF('1월'!$B$8:$B$162,$H26)+COUNTIF('2월'!$B$8:$B$162,$H26)+COUNTIF('3월'!$B$8:$B$162,$H26)+COUNTIF('4월'!$B$8:$B$162,$H26)+COUNTIF('5월'!$B$8:$B$162,$H26)+COUNTIF('6월'!$B$8:$B$162,$H26)+COUNTIF('7월'!$B$8:$B$162,$H26)+COUNTIF('8월'!$B$8:$B$162,$H26)+COUNTIF('9월'!$B$8:$B$162,$H26)+COUNTIF('10월'!$B$8:$B$162,$H26)+COUNTIF('11월'!$B$8:$B$162,$H26)+COUNTIF('12월'!$B$8:$B$162,$H26)</f>
        <v/>
      </c>
      <c r="J26" s="39">
        <f>SUMIF('1월'!$B$8:$B$162,$H26,'1월'!$K$8:$K$162)+SUMIF('2월'!$B$8:$B$162,$H26,'2월'!$K$8:$K$162)+SUMIF('3월'!$B$8:$B$162,$H26,'3월'!$K$8:$K$162)+SUMIF('4월'!$B$8:$B$162,$H26,'4월'!$K$8:$K$162)+SUMIF('5월'!$B$8:$B$162,$H26,'5월'!$K$8:$K$162)+SUMIF('6월'!$B$8:$B$162,$H26,'6월'!$K$8:$K$162)+SUMIF('7월'!$B$8:$B$162,$H26,'7월'!$K$8:$K$162)+SUMIF('8월'!$B$8:$B$162,$H26,'8월'!$K$8:$K$162)+SUMIF('9월'!$B$8:$B$162,$H26,'9월'!$K$8:$K$162)+SUMIF('10월'!$B$8:$B$162,$H26,'10월'!$K$8:$K$162)+SUMIF('11월'!$B$8:$B$162,$H26,'11월'!$K$8:$K$162)+SUMIF('12월'!$B$8:$B$162,$H26,'12월'!$K$8:$K$162)</f>
        <v/>
      </c>
    </row>
    <row r="27">
      <c r="B27" s="37" t="inlineStr">
        <is>
          <t>마케팅3팀</t>
        </is>
      </c>
      <c r="C27" s="38">
        <f>COUNTIFS('1월'!$C$8:$C$162,$B27,'1월'!$E$8:$E$162,C$24)+COUNTIFS('2월'!$C$8:$C$162,$B27,'2월'!$E$8:$E$162,C$24)+COUNTIFS('3월'!$C$8:$C$162,$B27,'3월'!$E$8:$E$162,C$24)+COUNTIFS('4월'!$C$8:$C$162,$B27,'4월'!$E$8:$E$162,C$24)+COUNTIFS('5월'!$C$8:$C$162,$B27,'5월'!$E$8:$E$162,C$24)+COUNTIFS('6월'!$C$8:$C$162,$B27,'6월'!$E$8:$E$162,C$24)+COUNTIFS('7월'!$C$8:$C$162,$B27,'7월'!$E$8:$E$162,C$24)+COUNTIFS('8월'!$C$8:$C$162,$B27,'8월'!$E$8:$E$162,C$24)+COUNTIFS('9월'!$C$8:$C$162,$B27,'9월'!$E$8:$E$162,C$24)+COUNTIFS('10월'!$C$8:$C$162,$B27,'10월'!$E$8:$E$162,C$24)+COUNTIFS('11월'!$C$8:$C$162,$B27,'11월'!$E$8:$E$162,C$24)+COUNTIFS('12월'!$C$8:$C$162,$B27,'12월'!$E$8:$E$162,C$24)</f>
        <v/>
      </c>
      <c r="D27" s="38">
        <f>COUNTIFS('1월'!$C$8:$C$162,$B27,'1월'!$E$8:$E$162,D$24)+COUNTIFS('2월'!$C$8:$C$162,$B27,'2월'!$E$8:$E$162,D$24)+COUNTIFS('3월'!$C$8:$C$162,$B27,'3월'!$E$8:$E$162,D$24)+COUNTIFS('4월'!$C$8:$C$162,$B27,'4월'!$E$8:$E$162,D$24)+COUNTIFS('5월'!$C$8:$C$162,$B27,'5월'!$E$8:$E$162,D$24)+COUNTIFS('6월'!$C$8:$C$162,$B27,'6월'!$E$8:$E$162,D$24)+COUNTIFS('7월'!$C$8:$C$162,$B27,'7월'!$E$8:$E$162,D$24)+COUNTIFS('8월'!$C$8:$C$162,$B27,'8월'!$E$8:$E$162,D$24)+COUNTIFS('9월'!$C$8:$C$162,$B27,'9월'!$E$8:$E$162,D$24)+COUNTIFS('10월'!$C$8:$C$162,$B27,'10월'!$E$8:$E$162,D$24)+COUNTIFS('11월'!$C$8:$C$162,$B27,'11월'!$E$8:$E$162,D$24)+COUNTIFS('12월'!$C$8:$C$162,$B27,'12월'!$E$8:$E$162,D$24)</f>
        <v/>
      </c>
      <c r="E27" s="38">
        <f>COUNTIFS('1월'!$C$8:$C$162,$B27,'1월'!$E$8:$E$162,E$24)+COUNTIFS('2월'!$C$8:$C$162,$B27,'2월'!$E$8:$E$162,E$24)+COUNTIFS('3월'!$C$8:$C$162,$B27,'3월'!$E$8:$E$162,E$24)+COUNTIFS('4월'!$C$8:$C$162,$B27,'4월'!$E$8:$E$162,E$24)+COUNTIFS('5월'!$C$8:$C$162,$B27,'5월'!$E$8:$E$162,E$24)+COUNTIFS('6월'!$C$8:$C$162,$B27,'6월'!$E$8:$E$162,E$24)+COUNTIFS('7월'!$C$8:$C$162,$B27,'7월'!$E$8:$E$162,E$24)+COUNTIFS('8월'!$C$8:$C$162,$B27,'8월'!$E$8:$E$162,E$24)+COUNTIFS('9월'!$C$8:$C$162,$B27,'9월'!$E$8:$E$162,E$24)+COUNTIFS('10월'!$C$8:$C$162,$B27,'10월'!$E$8:$E$162,E$24)+COUNTIFS('11월'!$C$8:$C$162,$B27,'11월'!$E$8:$E$162,E$24)+COUNTIFS('12월'!$C$8:$C$162,$B27,'12월'!$E$8:$E$162,E$24)</f>
        <v/>
      </c>
      <c r="H27" s="37" t="inlineStr">
        <is>
          <t>SOL 인챈트</t>
        </is>
      </c>
      <c r="I27" s="38">
        <f>COUNTIF('1월'!$B$8:$B$162,$H27)+COUNTIF('2월'!$B$8:$B$162,$H27)+COUNTIF('3월'!$B$8:$B$162,$H27)+COUNTIF('4월'!$B$8:$B$162,$H27)+COUNTIF('5월'!$B$8:$B$162,$H27)+COUNTIF('6월'!$B$8:$B$162,$H27)+COUNTIF('7월'!$B$8:$B$162,$H27)+COUNTIF('8월'!$B$8:$B$162,$H27)+COUNTIF('9월'!$B$8:$B$162,$H27)+COUNTIF('10월'!$B$8:$B$162,$H27)+COUNTIF('11월'!$B$8:$B$162,$H27)+COUNTIF('12월'!$B$8:$B$162,$H27)</f>
        <v/>
      </c>
      <c r="J27" s="39">
        <f>SUMIF('1월'!$B$8:$B$162,$H27,'1월'!$K$8:$K$162)+SUMIF('2월'!$B$8:$B$162,$H27,'2월'!$K$8:$K$162)+SUMIF('3월'!$B$8:$B$162,$H27,'3월'!$K$8:$K$162)+SUMIF('4월'!$B$8:$B$162,$H27,'4월'!$K$8:$K$162)+SUMIF('5월'!$B$8:$B$162,$H27,'5월'!$K$8:$K$162)+SUMIF('6월'!$B$8:$B$162,$H27,'6월'!$K$8:$K$162)+SUMIF('7월'!$B$8:$B$162,$H27,'7월'!$K$8:$K$162)+SUMIF('8월'!$B$8:$B$162,$H27,'8월'!$K$8:$K$162)+SUMIF('9월'!$B$8:$B$162,$H27,'9월'!$K$8:$K$162)+SUMIF('10월'!$B$8:$B$162,$H27,'10월'!$K$8:$K$162)+SUMIF('11월'!$B$8:$B$162,$H27,'11월'!$K$8:$K$162)+SUMIF('12월'!$B$8:$B$162,$H27,'12월'!$K$8:$K$162)</f>
        <v/>
      </c>
    </row>
    <row r="28">
      <c r="B28" s="37" t="inlineStr">
        <is>
          <t>마케팅4팀</t>
        </is>
      </c>
      <c r="C28" s="38">
        <f>COUNTIFS('1월'!$C$8:$C$162,$B28,'1월'!$E$8:$E$162,C$24)+COUNTIFS('2월'!$C$8:$C$162,$B28,'2월'!$E$8:$E$162,C$24)+COUNTIFS('3월'!$C$8:$C$162,$B28,'3월'!$E$8:$E$162,C$24)+COUNTIFS('4월'!$C$8:$C$162,$B28,'4월'!$E$8:$E$162,C$24)+COUNTIFS('5월'!$C$8:$C$162,$B28,'5월'!$E$8:$E$162,C$24)+COUNTIFS('6월'!$C$8:$C$162,$B28,'6월'!$E$8:$E$162,C$24)+COUNTIFS('7월'!$C$8:$C$162,$B28,'7월'!$E$8:$E$162,C$24)+COUNTIFS('8월'!$C$8:$C$162,$B28,'8월'!$E$8:$E$162,C$24)+COUNTIFS('9월'!$C$8:$C$162,$B28,'9월'!$E$8:$E$162,C$24)+COUNTIFS('10월'!$C$8:$C$162,$B28,'10월'!$E$8:$E$162,C$24)+COUNTIFS('11월'!$C$8:$C$162,$B28,'11월'!$E$8:$E$162,C$24)+COUNTIFS('12월'!$C$8:$C$162,$B28,'12월'!$E$8:$E$162,C$24)</f>
        <v/>
      </c>
      <c r="D28" s="38">
        <f>COUNTIFS('1월'!$C$8:$C$162,$B28,'1월'!$E$8:$E$162,D$24)+COUNTIFS('2월'!$C$8:$C$162,$B28,'2월'!$E$8:$E$162,D$24)+COUNTIFS('3월'!$C$8:$C$162,$B28,'3월'!$E$8:$E$162,D$24)+COUNTIFS('4월'!$C$8:$C$162,$B28,'4월'!$E$8:$E$162,D$24)+COUNTIFS('5월'!$C$8:$C$162,$B28,'5월'!$E$8:$E$162,D$24)+COUNTIFS('6월'!$C$8:$C$162,$B28,'6월'!$E$8:$E$162,D$24)+COUNTIFS('7월'!$C$8:$C$162,$B28,'7월'!$E$8:$E$162,D$24)+COUNTIFS('8월'!$C$8:$C$162,$B28,'8월'!$E$8:$E$162,D$24)+COUNTIFS('9월'!$C$8:$C$162,$B28,'9월'!$E$8:$E$162,D$24)+COUNTIFS('10월'!$C$8:$C$162,$B28,'10월'!$E$8:$E$162,D$24)+COUNTIFS('11월'!$C$8:$C$162,$B28,'11월'!$E$8:$E$162,D$24)+COUNTIFS('12월'!$C$8:$C$162,$B28,'12월'!$E$8:$E$162,D$24)</f>
        <v/>
      </c>
      <c r="E28" s="38">
        <f>COUNTIFS('1월'!$C$8:$C$162,$B28,'1월'!$E$8:$E$162,E$24)+COUNTIFS('2월'!$C$8:$C$162,$B28,'2월'!$E$8:$E$162,E$24)+COUNTIFS('3월'!$C$8:$C$162,$B28,'3월'!$E$8:$E$162,E$24)+COUNTIFS('4월'!$C$8:$C$162,$B28,'4월'!$E$8:$E$162,E$24)+COUNTIFS('5월'!$C$8:$C$162,$B28,'5월'!$E$8:$E$162,E$24)+COUNTIFS('6월'!$C$8:$C$162,$B28,'6월'!$E$8:$E$162,E$24)+COUNTIFS('7월'!$C$8:$C$162,$B28,'7월'!$E$8:$E$162,E$24)+COUNTIFS('8월'!$C$8:$C$162,$B28,'8월'!$E$8:$E$162,E$24)+COUNTIFS('9월'!$C$8:$C$162,$B28,'9월'!$E$8:$E$162,E$24)+COUNTIFS('10월'!$C$8:$C$162,$B28,'10월'!$E$8:$E$162,E$24)+COUNTIFS('11월'!$C$8:$C$162,$B28,'11월'!$E$8:$E$162,E$24)+COUNTIFS('12월'!$C$8:$C$162,$B28,'12월'!$E$8:$E$162,E$24)</f>
        <v/>
      </c>
      <c r="H28" s="37" t="inlineStr">
        <is>
          <t>스톤에이지펫월드</t>
        </is>
      </c>
      <c r="I28" s="38">
        <f>COUNTIF('1월'!$B$8:$B$162,$H28)+COUNTIF('2월'!$B$8:$B$162,$H28)+COUNTIF('3월'!$B$8:$B$162,$H28)+COUNTIF('4월'!$B$8:$B$162,$H28)+COUNTIF('5월'!$B$8:$B$162,$H28)+COUNTIF('6월'!$B$8:$B$162,$H28)+COUNTIF('7월'!$B$8:$B$162,$H28)+COUNTIF('8월'!$B$8:$B$162,$H28)+COUNTIF('9월'!$B$8:$B$162,$H28)+COUNTIF('10월'!$B$8:$B$162,$H28)+COUNTIF('11월'!$B$8:$B$162,$H28)+COUNTIF('12월'!$B$8:$B$162,$H28)</f>
        <v/>
      </c>
      <c r="J28" s="39">
        <f>SUMIF('1월'!$B$8:$B$162,$H28,'1월'!$K$8:$K$162)+SUMIF('2월'!$B$8:$B$162,$H28,'2월'!$K$8:$K$162)+SUMIF('3월'!$B$8:$B$162,$H28,'3월'!$K$8:$K$162)+SUMIF('4월'!$B$8:$B$162,$H28,'4월'!$K$8:$K$162)+SUMIF('5월'!$B$8:$B$162,$H28,'5월'!$K$8:$K$162)+SUMIF('6월'!$B$8:$B$162,$H28,'6월'!$K$8:$K$162)+SUMIF('7월'!$B$8:$B$162,$H28,'7월'!$K$8:$K$162)+SUMIF('8월'!$B$8:$B$162,$H28,'8월'!$K$8:$K$162)+SUMIF('9월'!$B$8:$B$162,$H28,'9월'!$K$8:$K$162)+SUMIF('10월'!$B$8:$B$162,$H28,'10월'!$K$8:$K$162)+SUMIF('11월'!$B$8:$B$162,$H28,'11월'!$K$8:$K$162)+SUMIF('12월'!$B$8:$B$162,$H28,'12월'!$K$8:$K$162)</f>
        <v/>
      </c>
    </row>
    <row r="29">
      <c r="B29" s="37" t="inlineStr">
        <is>
          <t>기타</t>
        </is>
      </c>
      <c r="C29" s="38">
        <f>COUNTIFS('1월'!$C$8:$C$162,$B29,'1월'!$E$8:$E$162,C$24)+COUNTIFS('2월'!$C$8:$C$162,$B29,'2월'!$E$8:$E$162,C$24)+COUNTIFS('3월'!$C$8:$C$162,$B29,'3월'!$E$8:$E$162,C$24)+COUNTIFS('4월'!$C$8:$C$162,$B29,'4월'!$E$8:$E$162,C$24)+COUNTIFS('5월'!$C$8:$C$162,$B29,'5월'!$E$8:$E$162,C$24)+COUNTIFS('6월'!$C$8:$C$162,$B29,'6월'!$E$8:$E$162,C$24)+COUNTIFS('7월'!$C$8:$C$162,$B29,'7월'!$E$8:$E$162,C$24)+COUNTIFS('8월'!$C$8:$C$162,$B29,'8월'!$E$8:$E$162,C$24)+COUNTIFS('9월'!$C$8:$C$162,$B29,'9월'!$E$8:$E$162,C$24)+COUNTIFS('10월'!$C$8:$C$162,$B29,'10월'!$E$8:$E$162,C$24)+COUNTIFS('11월'!$C$8:$C$162,$B29,'11월'!$E$8:$E$162,C$24)+COUNTIFS('12월'!$C$8:$C$162,$B29,'12월'!$E$8:$E$162,C$24)</f>
        <v/>
      </c>
      <c r="D29" s="38">
        <f>COUNTIFS('1월'!$C$8:$C$162,$B29,'1월'!$E$8:$E$162,D$24)+COUNTIFS('2월'!$C$8:$C$162,$B29,'2월'!$E$8:$E$162,D$24)+COUNTIFS('3월'!$C$8:$C$162,$B29,'3월'!$E$8:$E$162,D$24)+COUNTIFS('4월'!$C$8:$C$162,$B29,'4월'!$E$8:$E$162,D$24)+COUNTIFS('5월'!$C$8:$C$162,$B29,'5월'!$E$8:$E$162,D$24)+COUNTIFS('6월'!$C$8:$C$162,$B29,'6월'!$E$8:$E$162,D$24)+COUNTIFS('7월'!$C$8:$C$162,$B29,'7월'!$E$8:$E$162,D$24)+COUNTIFS('8월'!$C$8:$C$162,$B29,'8월'!$E$8:$E$162,D$24)+COUNTIFS('9월'!$C$8:$C$162,$B29,'9월'!$E$8:$E$162,D$24)+COUNTIFS('10월'!$C$8:$C$162,$B29,'10월'!$E$8:$E$162,D$24)+COUNTIFS('11월'!$C$8:$C$162,$B29,'11월'!$E$8:$E$162,D$24)+COUNTIFS('12월'!$C$8:$C$162,$B29,'12월'!$E$8:$E$162,D$24)</f>
        <v/>
      </c>
      <c r="E29" s="38">
        <f>COUNTIFS('1월'!$C$8:$C$162,$B29,'1월'!$E$8:$E$162,E$24)+COUNTIFS('2월'!$C$8:$C$162,$B29,'2월'!$E$8:$E$162,E$24)+COUNTIFS('3월'!$C$8:$C$162,$B29,'3월'!$E$8:$E$162,E$24)+COUNTIFS('4월'!$C$8:$C$162,$B29,'4월'!$E$8:$E$162,E$24)+COUNTIFS('5월'!$C$8:$C$162,$B29,'5월'!$E$8:$E$162,E$24)+COUNTIFS('6월'!$C$8:$C$162,$B29,'6월'!$E$8:$E$162,E$24)+COUNTIFS('7월'!$C$8:$C$162,$B29,'7월'!$E$8:$E$162,E$24)+COUNTIFS('8월'!$C$8:$C$162,$B29,'8월'!$E$8:$E$162,E$24)+COUNTIFS('9월'!$C$8:$C$162,$B29,'9월'!$E$8:$E$162,E$24)+COUNTIFS('10월'!$C$8:$C$162,$B29,'10월'!$E$8:$E$162,E$24)+COUNTIFS('11월'!$C$8:$C$162,$B29,'11월'!$E$8:$E$162,E$24)+COUNTIFS('12월'!$C$8:$C$162,$B29,'12월'!$E$8:$E$162,E$24)</f>
        <v/>
      </c>
      <c r="H29" s="37" t="inlineStr">
        <is>
          <t>칠대죄오리진</t>
        </is>
      </c>
      <c r="I29" s="38">
        <f>COUNTIF('1월'!$B$8:$B$162,$H29)+COUNTIF('2월'!$B$8:$B$162,$H29)+COUNTIF('3월'!$B$8:$B$162,$H29)+COUNTIF('4월'!$B$8:$B$162,$H29)+COUNTIF('5월'!$B$8:$B$162,$H29)+COUNTIF('6월'!$B$8:$B$162,$H29)+COUNTIF('7월'!$B$8:$B$162,$H29)+COUNTIF('8월'!$B$8:$B$162,$H29)+COUNTIF('9월'!$B$8:$B$162,$H29)+COUNTIF('10월'!$B$8:$B$162,$H29)+COUNTIF('11월'!$B$8:$B$162,$H29)+COUNTIF('12월'!$B$8:$B$162,$H29)</f>
        <v/>
      </c>
      <c r="J29" s="39">
        <f>SUMIF('1월'!$B$8:$B$162,$H29,'1월'!$K$8:$K$162)+SUMIF('2월'!$B$8:$B$162,$H29,'2월'!$K$8:$K$162)+SUMIF('3월'!$B$8:$B$162,$H29,'3월'!$K$8:$K$162)+SUMIF('4월'!$B$8:$B$162,$H29,'4월'!$K$8:$K$162)+SUMIF('5월'!$B$8:$B$162,$H29,'5월'!$K$8:$K$162)+SUMIF('6월'!$B$8:$B$162,$H29,'6월'!$K$8:$K$162)+SUMIF('7월'!$B$8:$B$162,$H29,'7월'!$K$8:$K$162)+SUMIF('8월'!$B$8:$B$162,$H29,'8월'!$K$8:$K$162)+SUMIF('9월'!$B$8:$B$162,$H29,'9월'!$K$8:$K$162)+SUMIF('10월'!$B$8:$B$162,$H29,'10월'!$K$8:$K$162)+SUMIF('11월'!$B$8:$B$162,$H29,'11월'!$K$8:$K$162)+SUMIF('12월'!$B$8:$B$162,$H29,'12월'!$K$8:$K$162)</f>
        <v/>
      </c>
    </row>
    <row r="30">
      <c r="H30" s="37" t="inlineStr">
        <is>
          <t>세나리버스</t>
        </is>
      </c>
      <c r="I30" s="38">
        <f>COUNTIF('1월'!$B$8:$B$162,$H30)+COUNTIF('2월'!$B$8:$B$162,$H30)+COUNTIF('3월'!$B$8:$B$162,$H30)+COUNTIF('4월'!$B$8:$B$162,$H30)+COUNTIF('5월'!$B$8:$B$162,$H30)+COUNTIF('6월'!$B$8:$B$162,$H30)+COUNTIF('7월'!$B$8:$B$162,$H30)+COUNTIF('8월'!$B$8:$B$162,$H30)+COUNTIF('9월'!$B$8:$B$162,$H30)+COUNTIF('10월'!$B$8:$B$162,$H30)+COUNTIF('11월'!$B$8:$B$162,$H30)+COUNTIF('12월'!$B$8:$B$162,$H30)</f>
        <v/>
      </c>
      <c r="J30" s="39">
        <f>SUMIF('1월'!$B$8:$B$162,$H30,'1월'!$K$8:$K$162)+SUMIF('2월'!$B$8:$B$162,$H30,'2월'!$K$8:$K$162)+SUMIF('3월'!$B$8:$B$162,$H30,'3월'!$K$8:$K$162)+SUMIF('4월'!$B$8:$B$162,$H30,'4월'!$K$8:$K$162)+SUMIF('5월'!$B$8:$B$162,$H30,'5월'!$K$8:$K$162)+SUMIF('6월'!$B$8:$B$162,$H30,'6월'!$K$8:$K$162)+SUMIF('7월'!$B$8:$B$162,$H30,'7월'!$K$8:$K$162)+SUMIF('8월'!$B$8:$B$162,$H30,'8월'!$K$8:$K$162)+SUMIF('9월'!$B$8:$B$162,$H30,'9월'!$K$8:$K$162)+SUMIF('10월'!$B$8:$B$162,$H30,'10월'!$K$8:$K$162)+SUMIF('11월'!$B$8:$B$162,$H30,'11월'!$K$8:$K$162)+SUMIF('12월'!$B$8:$B$162,$H30,'12월'!$K$8:$K$162)</f>
        <v/>
      </c>
    </row>
    <row r="31">
      <c r="H31" s="37" t="inlineStr">
        <is>
          <t>몬길</t>
        </is>
      </c>
      <c r="I31" s="38">
        <f>COUNTIF('1월'!$B$8:$B$162,$H31)+COUNTIF('2월'!$B$8:$B$162,$H31)+COUNTIF('3월'!$B$8:$B$162,$H31)+COUNTIF('4월'!$B$8:$B$162,$H31)+COUNTIF('5월'!$B$8:$B$162,$H31)+COUNTIF('6월'!$B$8:$B$162,$H31)+COUNTIF('7월'!$B$8:$B$162,$H31)+COUNTIF('8월'!$B$8:$B$162,$H31)+COUNTIF('9월'!$B$8:$B$162,$H31)+COUNTIF('10월'!$B$8:$B$162,$H31)+COUNTIF('11월'!$B$8:$B$162,$H31)+COUNTIF('12월'!$B$8:$B$162,$H31)</f>
        <v/>
      </c>
      <c r="J31" s="39">
        <f>SUMIF('1월'!$B$8:$B$162,$H31,'1월'!$K$8:$K$162)+SUMIF('2월'!$B$8:$B$162,$H31,'2월'!$K$8:$K$162)+SUMIF('3월'!$B$8:$B$162,$H31,'3월'!$K$8:$K$162)+SUMIF('4월'!$B$8:$B$162,$H31,'4월'!$K$8:$K$162)+SUMIF('5월'!$B$8:$B$162,$H31,'5월'!$K$8:$K$162)+SUMIF('6월'!$B$8:$B$162,$H31,'6월'!$K$8:$K$162)+SUMIF('7월'!$B$8:$B$162,$H31,'7월'!$K$8:$K$162)+SUMIF('8월'!$B$8:$B$162,$H31,'8월'!$K$8:$K$162)+SUMIF('9월'!$B$8:$B$162,$H31,'9월'!$K$8:$K$162)+SUMIF('10월'!$B$8:$B$162,$H31,'10월'!$K$8:$K$162)+SUMIF('11월'!$B$8:$B$162,$H31,'11월'!$K$8:$K$162)+SUMIF('12월'!$B$8:$B$162,$H31,'12월'!$K$8:$K$162)</f>
        <v/>
      </c>
    </row>
    <row r="32">
      <c r="H32" s="37" t="inlineStr">
        <is>
          <t>왕겜(GOT)</t>
        </is>
      </c>
      <c r="I32" s="38">
        <f>COUNTIF('1월'!$B$8:$B$162,$H32)+COUNTIF('2월'!$B$8:$B$162,$H32)+COUNTIF('3월'!$B$8:$B$162,$H32)+COUNTIF('4월'!$B$8:$B$162,$H32)+COUNTIF('5월'!$B$8:$B$162,$H32)+COUNTIF('6월'!$B$8:$B$162,$H32)+COUNTIF('7월'!$B$8:$B$162,$H32)+COUNTIF('8월'!$B$8:$B$162,$H32)+COUNTIF('9월'!$B$8:$B$162,$H32)+COUNTIF('10월'!$B$8:$B$162,$H32)+COUNTIF('11월'!$B$8:$B$162,$H32)+COUNTIF('12월'!$B$8:$B$162,$H32)</f>
        <v/>
      </c>
      <c r="J32" s="39">
        <f>SUMIF('1월'!$B$8:$B$162,$H32,'1월'!$K$8:$K$162)+SUMIF('2월'!$B$8:$B$162,$H32,'2월'!$K$8:$K$162)+SUMIF('3월'!$B$8:$B$162,$H32,'3월'!$K$8:$K$162)+SUMIF('4월'!$B$8:$B$162,$H32,'4월'!$K$8:$K$162)+SUMIF('5월'!$B$8:$B$162,$H32,'5월'!$K$8:$K$162)+SUMIF('6월'!$B$8:$B$162,$H32,'6월'!$K$8:$K$162)+SUMIF('7월'!$B$8:$B$162,$H32,'7월'!$K$8:$K$162)+SUMIF('8월'!$B$8:$B$162,$H32,'8월'!$K$8:$K$162)+SUMIF('9월'!$B$8:$B$162,$H32,'9월'!$K$8:$K$162)+SUMIF('10월'!$B$8:$B$162,$H32,'10월'!$K$8:$K$162)+SUMIF('11월'!$B$8:$B$162,$H32,'11월'!$K$8:$K$162)+SUMIF('12월'!$B$8:$B$162,$H32,'12월'!$K$8:$K$162)</f>
        <v/>
      </c>
    </row>
    <row r="33">
      <c r="H33" s="37" t="inlineStr">
        <is>
          <t>몬스터길들이기</t>
        </is>
      </c>
      <c r="I33" s="38">
        <f>COUNTIF('1월'!$B$8:$B$162,$H33)+COUNTIF('2월'!$B$8:$B$162,$H33)+COUNTIF('3월'!$B$8:$B$162,$H33)+COUNTIF('4월'!$B$8:$B$162,$H33)+COUNTIF('5월'!$B$8:$B$162,$H33)+COUNTIF('6월'!$B$8:$B$162,$H33)+COUNTIF('7월'!$B$8:$B$162,$H33)+COUNTIF('8월'!$B$8:$B$162,$H33)+COUNTIF('9월'!$B$8:$B$162,$H33)+COUNTIF('10월'!$B$8:$B$162,$H33)+COUNTIF('11월'!$B$8:$B$162,$H33)+COUNTIF('12월'!$B$8:$B$162,$H33)</f>
        <v/>
      </c>
      <c r="J33" s="39">
        <f>SUMIF('1월'!$B$8:$B$162,$H33,'1월'!$K$8:$K$162)+SUMIF('2월'!$B$8:$B$162,$H33,'2월'!$K$8:$K$162)+SUMIF('3월'!$B$8:$B$162,$H33,'3월'!$K$8:$K$162)+SUMIF('4월'!$B$8:$B$162,$H33,'4월'!$K$8:$K$162)+SUMIF('5월'!$B$8:$B$162,$H33,'5월'!$K$8:$K$162)+SUMIF('6월'!$B$8:$B$162,$H33,'6월'!$K$8:$K$162)+SUMIF('7월'!$B$8:$B$162,$H33,'7월'!$K$8:$K$162)+SUMIF('8월'!$B$8:$B$162,$H33,'8월'!$K$8:$K$162)+SUMIF('9월'!$B$8:$B$162,$H33,'9월'!$K$8:$K$162)+SUMIF('10월'!$B$8:$B$162,$H33,'10월'!$K$8:$K$162)+SUMIF('11월'!$B$8:$B$162,$H33,'11월'!$K$8:$K$162)+SUMIF('12월'!$B$8:$B$162,$H33,'12월'!$K$8:$K$162)</f>
        <v/>
      </c>
    </row>
    <row r="34">
      <c r="H34" s="37" t="inlineStr">
        <is>
          <t>라이즈오브</t>
        </is>
      </c>
      <c r="I34" s="38">
        <f>COUNTIF('1월'!$B$8:$B$162,$H34)+COUNTIF('2월'!$B$8:$B$162,$H34)+COUNTIF('3월'!$B$8:$B$162,$H34)+COUNTIF('4월'!$B$8:$B$162,$H34)+COUNTIF('5월'!$B$8:$B$162,$H34)+COUNTIF('6월'!$B$8:$B$162,$H34)+COUNTIF('7월'!$B$8:$B$162,$H34)+COUNTIF('8월'!$B$8:$B$162,$H34)+COUNTIF('9월'!$B$8:$B$162,$H34)+COUNTIF('10월'!$B$8:$B$162,$H34)+COUNTIF('11월'!$B$8:$B$162,$H34)+COUNTIF('12월'!$B$8:$B$162,$H34)</f>
        <v/>
      </c>
      <c r="J34" s="39">
        <f>SUMIF('1월'!$B$8:$B$162,$H34,'1월'!$K$8:$K$162)+SUMIF('2월'!$B$8:$B$162,$H34,'2월'!$K$8:$K$162)+SUMIF('3월'!$B$8:$B$162,$H34,'3월'!$K$8:$K$162)+SUMIF('4월'!$B$8:$B$162,$H34,'4월'!$K$8:$K$162)+SUMIF('5월'!$B$8:$B$162,$H34,'5월'!$K$8:$K$162)+SUMIF('6월'!$B$8:$B$162,$H34,'6월'!$K$8:$K$162)+SUMIF('7월'!$B$8:$B$162,$H34,'7월'!$K$8:$K$162)+SUMIF('8월'!$B$8:$B$162,$H34,'8월'!$K$8:$K$162)+SUMIF('9월'!$B$8:$B$162,$H34,'9월'!$K$8:$K$162)+SUMIF('10월'!$B$8:$B$162,$H34,'10월'!$K$8:$K$162)+SUMIF('11월'!$B$8:$B$162,$H34,'11월'!$K$8:$K$162)+SUMIF('12월'!$B$8:$B$162,$H34,'12월'!$K$8:$K$162)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179"/>
  <sheetViews>
    <sheetView showGridLines="0" workbookViewId="0">
      <pane xSplit="7" ySplit="7" topLeftCell="H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20" customWidth="1" min="4" max="4"/>
    <col width="7" customWidth="1" min="5" max="5"/>
    <col width="9" customWidth="1" min="6" max="6"/>
    <col width="9" customWidth="1" min="7" max="7"/>
    <col width="5" customWidth="1" min="8" max="8"/>
    <col width="5" customWidth="1" min="9" max="9"/>
    <col width="5" customWidth="1" min="10" max="10"/>
    <col width="6" customWidth="1" min="11" max="11"/>
    <col width="8" customWidth="1" min="12" max="12"/>
    <col width="8" customWidth="1" min="13" max="13"/>
    <col width="6" customWidth="1" min="14" max="14"/>
    <col width="7" customWidth="1" min="15" max="15"/>
    <col width="12" customWidth="1" min="16" max="16"/>
    <col width="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</cols>
  <sheetData>
    <row r="1">
      <c r="A1" s="40" t="inlineStr">
        <is>
          <t>1월 업무 정보 (소재명 = 직군별 줄)</t>
        </is>
      </c>
      <c r="H1" s="41" t="inlineStr">
        <is>
          <t>수량 (소재당 1번만)</t>
        </is>
      </c>
      <c r="K1" s="42" t="inlineStr">
        <is>
          <t>집계 / 일정 (자동)</t>
        </is>
      </c>
      <c r="U1" s="14" t="inlineStr">
        <is>
          <t>1월 간트 - 날짜 칸에 MD 직접 입력 (주말+공휴일 회색)  상단 4줄=일자별 직군 TO 상태</t>
        </is>
      </c>
    </row>
    <row r="2">
      <c r="A2" s="43" t="inlineStr">
        <is>
          <t>No</t>
        </is>
      </c>
      <c r="B2" s="43" t="inlineStr">
        <is>
          <t>게임 타이틀명</t>
        </is>
      </c>
      <c r="C2" s="43" t="inlineStr">
        <is>
          <t>고객팀</t>
        </is>
      </c>
      <c r="D2" s="43" t="inlineStr">
        <is>
          <t>소재명(업무명)</t>
        </is>
      </c>
      <c r="E2" s="43" t="inlineStr">
        <is>
          <t>직군</t>
        </is>
      </c>
      <c r="F2" s="43" t="inlineStr">
        <is>
          <t>담당자</t>
        </is>
      </c>
      <c r="G2" s="43" t="inlineStr">
        <is>
          <t>최종완료일
(고객전달)</t>
        </is>
      </c>
      <c r="H2" s="43" t="inlineStr">
        <is>
          <t>영상
수</t>
        </is>
      </c>
      <c r="I2" s="43" t="inlineStr">
        <is>
          <t>사이즈
베리</t>
        </is>
      </c>
      <c r="J2" s="43" t="inlineStr">
        <is>
          <t>다국어
베리</t>
        </is>
      </c>
      <c r="K2" s="43" t="inlineStr">
        <is>
          <t>합계
MD</t>
        </is>
      </c>
      <c r="L2" s="43" t="inlineStr">
        <is>
          <t>시작일
(자동)</t>
        </is>
      </c>
      <c r="M2" s="43" t="inlineStr">
        <is>
          <t>완료일
(자동)</t>
        </is>
      </c>
      <c r="N2" s="43" t="inlineStr">
        <is>
          <t>여유</t>
        </is>
      </c>
      <c r="O2" s="43" t="inlineStr">
        <is>
          <t>상태</t>
        </is>
      </c>
      <c r="P2" s="43" t="inlineStr">
        <is>
          <t>비고</t>
        </is>
      </c>
      <c r="U2" s="44">
        <f>DATE('마스터'!$J$3,1,1)</f>
        <v/>
      </c>
      <c r="V2" s="44">
        <f>U2+1</f>
        <v/>
      </c>
      <c r="W2" s="44">
        <f>V2+1</f>
        <v/>
      </c>
      <c r="X2" s="44">
        <f>W2+1</f>
        <v/>
      </c>
      <c r="Y2" s="44">
        <f>X2+1</f>
        <v/>
      </c>
      <c r="Z2" s="44">
        <f>Y2+1</f>
        <v/>
      </c>
      <c r="AA2" s="44">
        <f>Z2+1</f>
        <v/>
      </c>
      <c r="AB2" s="44">
        <f>AA2+1</f>
        <v/>
      </c>
      <c r="AC2" s="44">
        <f>AB2+1</f>
        <v/>
      </c>
      <c r="AD2" s="44">
        <f>AC2+1</f>
        <v/>
      </c>
      <c r="AE2" s="44">
        <f>AD2+1</f>
        <v/>
      </c>
      <c r="AF2" s="44">
        <f>AE2+1</f>
        <v/>
      </c>
      <c r="AG2" s="44">
        <f>AF2+1</f>
        <v/>
      </c>
      <c r="AH2" s="44">
        <f>AG2+1</f>
        <v/>
      </c>
      <c r="AI2" s="44">
        <f>AH2+1</f>
        <v/>
      </c>
      <c r="AJ2" s="44">
        <f>AI2+1</f>
        <v/>
      </c>
      <c r="AK2" s="44">
        <f>AJ2+1</f>
        <v/>
      </c>
      <c r="AL2" s="44">
        <f>AK2+1</f>
        <v/>
      </c>
      <c r="AM2" s="44">
        <f>AL2+1</f>
        <v/>
      </c>
      <c r="AN2" s="44">
        <f>AM2+1</f>
        <v/>
      </c>
      <c r="AO2" s="44">
        <f>AN2+1</f>
        <v/>
      </c>
      <c r="AP2" s="44">
        <f>AO2+1</f>
        <v/>
      </c>
      <c r="AQ2" s="44">
        <f>AP2+1</f>
        <v/>
      </c>
      <c r="AR2" s="44">
        <f>AQ2+1</f>
        <v/>
      </c>
      <c r="AS2" s="44">
        <f>AR2+1</f>
        <v/>
      </c>
      <c r="AT2" s="44">
        <f>AS2+1</f>
        <v/>
      </c>
      <c r="AU2" s="44">
        <f>AT2+1</f>
        <v/>
      </c>
      <c r="AV2" s="44">
        <f>AU2+1</f>
        <v/>
      </c>
      <c r="AW2" s="44">
        <f>AV2+1</f>
        <v/>
      </c>
      <c r="AX2" s="44">
        <f>AW2+1</f>
        <v/>
      </c>
      <c r="AY2" s="44">
        <f>AX2+1</f>
        <v/>
      </c>
    </row>
    <row r="3">
      <c r="A3" s="45" t="inlineStr">
        <is>
          <t>전체 TO (일자별 부하)</t>
        </is>
      </c>
      <c r="G3" s="46" t="inlineStr">
        <is>
          <t>정원</t>
        </is>
      </c>
      <c r="H3" s="47">
        <f>SUM('마스터'!$J$8:$J$10)</f>
        <v/>
      </c>
      <c r="I3" s="48" t="n"/>
      <c r="J3" s="48" t="n"/>
      <c r="K3" s="48" t="n"/>
      <c r="L3" s="48" t="n"/>
      <c r="M3" s="48" t="n"/>
      <c r="N3" s="48" t="n"/>
      <c r="O3" s="48" t="n"/>
      <c r="P3" s="48" t="n"/>
      <c r="U3" s="49">
        <f>SUM(U$8:U$162)</f>
        <v/>
      </c>
      <c r="V3" s="49">
        <f>SUM(V$8:V$162)</f>
        <v/>
      </c>
      <c r="W3" s="49">
        <f>SUM(W$8:W$162)</f>
        <v/>
      </c>
      <c r="X3" s="49">
        <f>SUM(X$8:X$162)</f>
        <v/>
      </c>
      <c r="Y3" s="49">
        <f>SUM(Y$8:Y$162)</f>
        <v/>
      </c>
      <c r="Z3" s="49">
        <f>SUM(Z$8:Z$162)</f>
        <v/>
      </c>
      <c r="AA3" s="49">
        <f>SUM(AA$8:AA$162)</f>
        <v/>
      </c>
      <c r="AB3" s="49">
        <f>SUM(AB$8:AB$162)</f>
        <v/>
      </c>
      <c r="AC3" s="49">
        <f>SUM(AC$8:AC$162)</f>
        <v/>
      </c>
      <c r="AD3" s="49">
        <f>SUM(AD$8:AD$162)</f>
        <v/>
      </c>
      <c r="AE3" s="49">
        <f>SUM(AE$8:AE$162)</f>
        <v/>
      </c>
      <c r="AF3" s="49">
        <f>SUM(AF$8:AF$162)</f>
        <v/>
      </c>
      <c r="AG3" s="49">
        <f>SUM(AG$8:AG$162)</f>
        <v/>
      </c>
      <c r="AH3" s="49">
        <f>SUM(AH$8:AH$162)</f>
        <v/>
      </c>
      <c r="AI3" s="49">
        <f>SUM(AI$8:AI$162)</f>
        <v/>
      </c>
      <c r="AJ3" s="49">
        <f>SUM(AJ$8:AJ$162)</f>
        <v/>
      </c>
      <c r="AK3" s="49">
        <f>SUM(AK$8:AK$162)</f>
        <v/>
      </c>
      <c r="AL3" s="49">
        <f>SUM(AL$8:AL$162)</f>
        <v/>
      </c>
      <c r="AM3" s="49">
        <f>SUM(AM$8:AM$162)</f>
        <v/>
      </c>
      <c r="AN3" s="49">
        <f>SUM(AN$8:AN$162)</f>
        <v/>
      </c>
      <c r="AO3" s="49">
        <f>SUM(AO$8:AO$162)</f>
        <v/>
      </c>
      <c r="AP3" s="49">
        <f>SUM(AP$8:AP$162)</f>
        <v/>
      </c>
      <c r="AQ3" s="49">
        <f>SUM(AQ$8:AQ$162)</f>
        <v/>
      </c>
      <c r="AR3" s="49">
        <f>SUM(AR$8:AR$162)</f>
        <v/>
      </c>
      <c r="AS3" s="49">
        <f>SUM(AS$8:AS$162)</f>
        <v/>
      </c>
      <c r="AT3" s="49">
        <f>SUM(AT$8:AT$162)</f>
        <v/>
      </c>
      <c r="AU3" s="49">
        <f>SUM(AU$8:AU$162)</f>
        <v/>
      </c>
      <c r="AV3" s="49">
        <f>SUM(AV$8:AV$162)</f>
        <v/>
      </c>
      <c r="AW3" s="49">
        <f>SUM(AW$8:AW$162)</f>
        <v/>
      </c>
      <c r="AX3" s="49">
        <f>SUM(AX$8:AX$162)</f>
        <v/>
      </c>
      <c r="AY3" s="49">
        <f>SUM(AY$8:AY$162)</f>
        <v/>
      </c>
    </row>
    <row r="4">
      <c r="A4" s="45" t="inlineStr">
        <is>
          <t>영상 TO</t>
        </is>
      </c>
      <c r="G4" s="46" t="inlineStr">
        <is>
          <t>정원</t>
        </is>
      </c>
      <c r="H4" s="47">
        <f>'마스터'!$J$8</f>
        <v/>
      </c>
      <c r="I4" s="48" t="n"/>
      <c r="J4" s="48" t="n"/>
      <c r="K4" s="48" t="n"/>
      <c r="L4" s="48" t="n"/>
      <c r="M4" s="48" t="n"/>
      <c r="N4" s="48" t="n"/>
      <c r="O4" s="48" t="n"/>
      <c r="P4" s="48" t="n"/>
      <c r="U4" s="49">
        <f>SUMIF($E$8:$E$162,"영상",U$8:U$162)</f>
        <v/>
      </c>
      <c r="V4" s="49">
        <f>SUMIF($E$8:$E$162,"영상",V$8:V$162)</f>
        <v/>
      </c>
      <c r="W4" s="49">
        <f>SUMIF($E$8:$E$162,"영상",W$8:W$162)</f>
        <v/>
      </c>
      <c r="X4" s="49">
        <f>SUMIF($E$8:$E$162,"영상",X$8:X$162)</f>
        <v/>
      </c>
      <c r="Y4" s="49">
        <f>SUMIF($E$8:$E$162,"영상",Y$8:Y$162)</f>
        <v/>
      </c>
      <c r="Z4" s="49">
        <f>SUMIF($E$8:$E$162,"영상",Z$8:Z$162)</f>
        <v/>
      </c>
      <c r="AA4" s="49">
        <f>SUMIF($E$8:$E$162,"영상",AA$8:AA$162)</f>
        <v/>
      </c>
      <c r="AB4" s="49">
        <f>SUMIF($E$8:$E$162,"영상",AB$8:AB$162)</f>
        <v/>
      </c>
      <c r="AC4" s="49">
        <f>SUMIF($E$8:$E$162,"영상",AC$8:AC$162)</f>
        <v/>
      </c>
      <c r="AD4" s="49">
        <f>SUMIF($E$8:$E$162,"영상",AD$8:AD$162)</f>
        <v/>
      </c>
      <c r="AE4" s="49">
        <f>SUMIF($E$8:$E$162,"영상",AE$8:AE$162)</f>
        <v/>
      </c>
      <c r="AF4" s="49">
        <f>SUMIF($E$8:$E$162,"영상",AF$8:AF$162)</f>
        <v/>
      </c>
      <c r="AG4" s="49">
        <f>SUMIF($E$8:$E$162,"영상",AG$8:AG$162)</f>
        <v/>
      </c>
      <c r="AH4" s="49">
        <f>SUMIF($E$8:$E$162,"영상",AH$8:AH$162)</f>
        <v/>
      </c>
      <c r="AI4" s="49">
        <f>SUMIF($E$8:$E$162,"영상",AI$8:AI$162)</f>
        <v/>
      </c>
      <c r="AJ4" s="49">
        <f>SUMIF($E$8:$E$162,"영상",AJ$8:AJ$162)</f>
        <v/>
      </c>
      <c r="AK4" s="49">
        <f>SUMIF($E$8:$E$162,"영상",AK$8:AK$162)</f>
        <v/>
      </c>
      <c r="AL4" s="49">
        <f>SUMIF($E$8:$E$162,"영상",AL$8:AL$162)</f>
        <v/>
      </c>
      <c r="AM4" s="49">
        <f>SUMIF($E$8:$E$162,"영상",AM$8:AM$162)</f>
        <v/>
      </c>
      <c r="AN4" s="49">
        <f>SUMIF($E$8:$E$162,"영상",AN$8:AN$162)</f>
        <v/>
      </c>
      <c r="AO4" s="49">
        <f>SUMIF($E$8:$E$162,"영상",AO$8:AO$162)</f>
        <v/>
      </c>
      <c r="AP4" s="49">
        <f>SUMIF($E$8:$E$162,"영상",AP$8:AP$162)</f>
        <v/>
      </c>
      <c r="AQ4" s="49">
        <f>SUMIF($E$8:$E$162,"영상",AQ$8:AQ$162)</f>
        <v/>
      </c>
      <c r="AR4" s="49">
        <f>SUMIF($E$8:$E$162,"영상",AR$8:AR$162)</f>
        <v/>
      </c>
      <c r="AS4" s="49">
        <f>SUMIF($E$8:$E$162,"영상",AS$8:AS$162)</f>
        <v/>
      </c>
      <c r="AT4" s="49">
        <f>SUMIF($E$8:$E$162,"영상",AT$8:AT$162)</f>
        <v/>
      </c>
      <c r="AU4" s="49">
        <f>SUMIF($E$8:$E$162,"영상",AU$8:AU$162)</f>
        <v/>
      </c>
      <c r="AV4" s="49">
        <f>SUMIF($E$8:$E$162,"영상",AV$8:AV$162)</f>
        <v/>
      </c>
      <c r="AW4" s="49">
        <f>SUMIF($E$8:$E$162,"영상",AW$8:AW$162)</f>
        <v/>
      </c>
      <c r="AX4" s="49">
        <f>SUMIF($E$8:$E$162,"영상",AX$8:AX$162)</f>
        <v/>
      </c>
      <c r="AY4" s="49">
        <f>SUMIF($E$8:$E$162,"영상",AY$8:AY$162)</f>
        <v/>
      </c>
    </row>
    <row r="5">
      <c r="A5" s="45" t="inlineStr">
        <is>
          <t>이미지 TO</t>
        </is>
      </c>
      <c r="G5" s="46" t="inlineStr">
        <is>
          <t>정원</t>
        </is>
      </c>
      <c r="H5" s="47">
        <f>'마스터'!$J$9</f>
        <v/>
      </c>
      <c r="I5" s="48" t="n"/>
      <c r="J5" s="48" t="n"/>
      <c r="K5" s="48" t="n"/>
      <c r="L5" s="48" t="n"/>
      <c r="M5" s="48" t="n"/>
      <c r="N5" s="48" t="n"/>
      <c r="O5" s="48" t="n"/>
      <c r="P5" s="48" t="n"/>
      <c r="U5" s="49">
        <f>SUMIF($E$8:$E$162,"이미지",U$8:U$162)</f>
        <v/>
      </c>
      <c r="V5" s="49">
        <f>SUMIF($E$8:$E$162,"이미지",V$8:V$162)</f>
        <v/>
      </c>
      <c r="W5" s="49">
        <f>SUMIF($E$8:$E$162,"이미지",W$8:W$162)</f>
        <v/>
      </c>
      <c r="X5" s="49">
        <f>SUMIF($E$8:$E$162,"이미지",X$8:X$162)</f>
        <v/>
      </c>
      <c r="Y5" s="49">
        <f>SUMIF($E$8:$E$162,"이미지",Y$8:Y$162)</f>
        <v/>
      </c>
      <c r="Z5" s="49">
        <f>SUMIF($E$8:$E$162,"이미지",Z$8:Z$162)</f>
        <v/>
      </c>
      <c r="AA5" s="49">
        <f>SUMIF($E$8:$E$162,"이미지",AA$8:AA$162)</f>
        <v/>
      </c>
      <c r="AB5" s="49">
        <f>SUMIF($E$8:$E$162,"이미지",AB$8:AB$162)</f>
        <v/>
      </c>
      <c r="AC5" s="49">
        <f>SUMIF($E$8:$E$162,"이미지",AC$8:AC$162)</f>
        <v/>
      </c>
      <c r="AD5" s="49">
        <f>SUMIF($E$8:$E$162,"이미지",AD$8:AD$162)</f>
        <v/>
      </c>
      <c r="AE5" s="49">
        <f>SUMIF($E$8:$E$162,"이미지",AE$8:AE$162)</f>
        <v/>
      </c>
      <c r="AF5" s="49">
        <f>SUMIF($E$8:$E$162,"이미지",AF$8:AF$162)</f>
        <v/>
      </c>
      <c r="AG5" s="49">
        <f>SUMIF($E$8:$E$162,"이미지",AG$8:AG$162)</f>
        <v/>
      </c>
      <c r="AH5" s="49">
        <f>SUMIF($E$8:$E$162,"이미지",AH$8:AH$162)</f>
        <v/>
      </c>
      <c r="AI5" s="49">
        <f>SUMIF($E$8:$E$162,"이미지",AI$8:AI$162)</f>
        <v/>
      </c>
      <c r="AJ5" s="49">
        <f>SUMIF($E$8:$E$162,"이미지",AJ$8:AJ$162)</f>
        <v/>
      </c>
      <c r="AK5" s="49">
        <f>SUMIF($E$8:$E$162,"이미지",AK$8:AK$162)</f>
        <v/>
      </c>
      <c r="AL5" s="49">
        <f>SUMIF($E$8:$E$162,"이미지",AL$8:AL$162)</f>
        <v/>
      </c>
      <c r="AM5" s="49">
        <f>SUMIF($E$8:$E$162,"이미지",AM$8:AM$162)</f>
        <v/>
      </c>
      <c r="AN5" s="49">
        <f>SUMIF($E$8:$E$162,"이미지",AN$8:AN$162)</f>
        <v/>
      </c>
      <c r="AO5" s="49">
        <f>SUMIF($E$8:$E$162,"이미지",AO$8:AO$162)</f>
        <v/>
      </c>
      <c r="AP5" s="49">
        <f>SUMIF($E$8:$E$162,"이미지",AP$8:AP$162)</f>
        <v/>
      </c>
      <c r="AQ5" s="49">
        <f>SUMIF($E$8:$E$162,"이미지",AQ$8:AQ$162)</f>
        <v/>
      </c>
      <c r="AR5" s="49">
        <f>SUMIF($E$8:$E$162,"이미지",AR$8:AR$162)</f>
        <v/>
      </c>
      <c r="AS5" s="49">
        <f>SUMIF($E$8:$E$162,"이미지",AS$8:AS$162)</f>
        <v/>
      </c>
      <c r="AT5" s="49">
        <f>SUMIF($E$8:$E$162,"이미지",AT$8:AT$162)</f>
        <v/>
      </c>
      <c r="AU5" s="49">
        <f>SUMIF($E$8:$E$162,"이미지",AU$8:AU$162)</f>
        <v/>
      </c>
      <c r="AV5" s="49">
        <f>SUMIF($E$8:$E$162,"이미지",AV$8:AV$162)</f>
        <v/>
      </c>
      <c r="AW5" s="49">
        <f>SUMIF($E$8:$E$162,"이미지",AW$8:AW$162)</f>
        <v/>
      </c>
      <c r="AX5" s="49">
        <f>SUMIF($E$8:$E$162,"이미지",AX$8:AX$162)</f>
        <v/>
      </c>
      <c r="AY5" s="49">
        <f>SUMIF($E$8:$E$162,"이미지",AY$8:AY$162)</f>
        <v/>
      </c>
    </row>
    <row r="6">
      <c r="A6" s="45" t="inlineStr">
        <is>
          <t>기획 TO</t>
        </is>
      </c>
      <c r="G6" s="46" t="inlineStr">
        <is>
          <t>정원</t>
        </is>
      </c>
      <c r="H6" s="47">
        <f>'마스터'!$J$10</f>
        <v/>
      </c>
      <c r="I6" s="48" t="n"/>
      <c r="J6" s="48" t="n"/>
      <c r="K6" s="48" t="n"/>
      <c r="L6" s="48" t="n"/>
      <c r="M6" s="48" t="n"/>
      <c r="N6" s="48" t="n"/>
      <c r="O6" s="48" t="n"/>
      <c r="P6" s="48" t="n"/>
      <c r="U6" s="49">
        <f>SUMIF($E$8:$E$162,"기획",U$8:U$162)</f>
        <v/>
      </c>
      <c r="V6" s="49">
        <f>SUMIF($E$8:$E$162,"기획",V$8:V$162)</f>
        <v/>
      </c>
      <c r="W6" s="49">
        <f>SUMIF($E$8:$E$162,"기획",W$8:W$162)</f>
        <v/>
      </c>
      <c r="X6" s="49">
        <f>SUMIF($E$8:$E$162,"기획",X$8:X$162)</f>
        <v/>
      </c>
      <c r="Y6" s="49">
        <f>SUMIF($E$8:$E$162,"기획",Y$8:Y$162)</f>
        <v/>
      </c>
      <c r="Z6" s="49">
        <f>SUMIF($E$8:$E$162,"기획",Z$8:Z$162)</f>
        <v/>
      </c>
      <c r="AA6" s="49">
        <f>SUMIF($E$8:$E$162,"기획",AA$8:AA$162)</f>
        <v/>
      </c>
      <c r="AB6" s="49">
        <f>SUMIF($E$8:$E$162,"기획",AB$8:AB$162)</f>
        <v/>
      </c>
      <c r="AC6" s="49">
        <f>SUMIF($E$8:$E$162,"기획",AC$8:AC$162)</f>
        <v/>
      </c>
      <c r="AD6" s="49">
        <f>SUMIF($E$8:$E$162,"기획",AD$8:AD$162)</f>
        <v/>
      </c>
      <c r="AE6" s="49">
        <f>SUMIF($E$8:$E$162,"기획",AE$8:AE$162)</f>
        <v/>
      </c>
      <c r="AF6" s="49">
        <f>SUMIF($E$8:$E$162,"기획",AF$8:AF$162)</f>
        <v/>
      </c>
      <c r="AG6" s="49">
        <f>SUMIF($E$8:$E$162,"기획",AG$8:AG$162)</f>
        <v/>
      </c>
      <c r="AH6" s="49">
        <f>SUMIF($E$8:$E$162,"기획",AH$8:AH$162)</f>
        <v/>
      </c>
      <c r="AI6" s="49">
        <f>SUMIF($E$8:$E$162,"기획",AI$8:AI$162)</f>
        <v/>
      </c>
      <c r="AJ6" s="49">
        <f>SUMIF($E$8:$E$162,"기획",AJ$8:AJ$162)</f>
        <v/>
      </c>
      <c r="AK6" s="49">
        <f>SUMIF($E$8:$E$162,"기획",AK$8:AK$162)</f>
        <v/>
      </c>
      <c r="AL6" s="49">
        <f>SUMIF($E$8:$E$162,"기획",AL$8:AL$162)</f>
        <v/>
      </c>
      <c r="AM6" s="49">
        <f>SUMIF($E$8:$E$162,"기획",AM$8:AM$162)</f>
        <v/>
      </c>
      <c r="AN6" s="49">
        <f>SUMIF($E$8:$E$162,"기획",AN$8:AN$162)</f>
        <v/>
      </c>
      <c r="AO6" s="49">
        <f>SUMIF($E$8:$E$162,"기획",AO$8:AO$162)</f>
        <v/>
      </c>
      <c r="AP6" s="49">
        <f>SUMIF($E$8:$E$162,"기획",AP$8:AP$162)</f>
        <v/>
      </c>
      <c r="AQ6" s="49">
        <f>SUMIF($E$8:$E$162,"기획",AQ$8:AQ$162)</f>
        <v/>
      </c>
      <c r="AR6" s="49">
        <f>SUMIF($E$8:$E$162,"기획",AR$8:AR$162)</f>
        <v/>
      </c>
      <c r="AS6" s="49">
        <f>SUMIF($E$8:$E$162,"기획",AS$8:AS$162)</f>
        <v/>
      </c>
      <c r="AT6" s="49">
        <f>SUMIF($E$8:$E$162,"기획",AT$8:AT$162)</f>
        <v/>
      </c>
      <c r="AU6" s="49">
        <f>SUMIF($E$8:$E$162,"기획",AU$8:AU$162)</f>
        <v/>
      </c>
      <c r="AV6" s="49">
        <f>SUMIF($E$8:$E$162,"기획",AV$8:AV$162)</f>
        <v/>
      </c>
      <c r="AW6" s="49">
        <f>SUMIF($E$8:$E$162,"기획",AW$8:AW$162)</f>
        <v/>
      </c>
      <c r="AX6" s="49">
        <f>SUMIF($E$8:$E$162,"기획",AX$8:AX$162)</f>
        <v/>
      </c>
      <c r="AY6" s="49">
        <f>SUMIF($E$8:$E$162,"기획",AY$8:AY$162)</f>
        <v/>
      </c>
    </row>
    <row r="8">
      <c r="A8" s="50" t="inlineStr">
        <is>
          <t>마케팅1팀  (9~38행)</t>
        </is>
      </c>
      <c r="U8" s="51" t="n"/>
      <c r="V8" s="51" t="n"/>
      <c r="W8" s="51" t="n"/>
      <c r="X8" s="51" t="n"/>
      <c r="Y8" s="51" t="n"/>
      <c r="Z8" s="51" t="n"/>
      <c r="AA8" s="51" t="n"/>
      <c r="AB8" s="51" t="n"/>
      <c r="AC8" s="51" t="n"/>
      <c r="AD8" s="51" t="n"/>
      <c r="AE8" s="51" t="n"/>
      <c r="AF8" s="51" t="n"/>
      <c r="AG8" s="51" t="n"/>
      <c r="AH8" s="51" t="n"/>
      <c r="AI8" s="51" t="n"/>
      <c r="AJ8" s="51" t="n"/>
      <c r="AK8" s="51" t="n"/>
      <c r="AL8" s="51" t="n"/>
      <c r="AM8" s="51" t="n"/>
      <c r="AN8" s="51" t="n"/>
      <c r="AO8" s="51" t="n"/>
      <c r="AP8" s="51" t="n"/>
      <c r="AQ8" s="51" t="n"/>
      <c r="AR8" s="51" t="n"/>
      <c r="AS8" s="51" t="n"/>
      <c r="AT8" s="51" t="n"/>
      <c r="AU8" s="51" t="n"/>
      <c r="AV8" s="51" t="n"/>
      <c r="AW8" s="51" t="n"/>
      <c r="AX8" s="51" t="n"/>
      <c r="AY8" s="51" t="n"/>
    </row>
    <row r="9">
      <c r="A9" s="38">
        <f>IF(D9="","",COUNTA($D$9:D9))</f>
        <v/>
      </c>
      <c r="B9" s="52" t="n"/>
      <c r="C9" s="53" t="inlineStr">
        <is>
          <t>마케팅1팀</t>
        </is>
      </c>
      <c r="D9" s="52" t="n"/>
      <c r="E9" s="54" t="n"/>
      <c r="F9" s="52" t="n"/>
      <c r="G9" s="55" t="n"/>
      <c r="H9" s="54" t="n"/>
      <c r="I9" s="54" t="n"/>
      <c r="J9" s="54" t="n"/>
      <c r="K9" s="56">
        <f>IF(SUM(U9:AY9)=0,"",SUM(U9:AY9))</f>
        <v/>
      </c>
      <c r="L9" s="57">
        <f>IFERROR(INDEX(U$2:AY$2,MATCH(TRUE,U9:AY9&lt;&gt;"",0)),"")</f>
        <v/>
      </c>
      <c r="M9" s="58">
        <f>IFERROR(LOOKUP(2,1/(U9:AY9&lt;&gt;""),U$2:AY$2),"")</f>
        <v/>
      </c>
      <c r="N9" s="59">
        <f>IF(OR(G9="",M9=""),"",G9-M9)</f>
        <v/>
      </c>
      <c r="O9" s="60" t="n"/>
      <c r="P9" s="61" t="n"/>
      <c r="U9" s="62" t="n"/>
      <c r="V9" s="62" t="n"/>
      <c r="W9" s="62" t="n"/>
      <c r="X9" s="62" t="n"/>
      <c r="Y9" s="62" t="n"/>
      <c r="Z9" s="62" t="n"/>
      <c r="AA9" s="62" t="n"/>
      <c r="AB9" s="62" t="n"/>
      <c r="AC9" s="62" t="n"/>
      <c r="AD9" s="62" t="n"/>
      <c r="AE9" s="62" t="n"/>
      <c r="AF9" s="62" t="n"/>
      <c r="AG9" s="62" t="n"/>
      <c r="AH9" s="62" t="n"/>
      <c r="AI9" s="62" t="n"/>
      <c r="AJ9" s="62" t="n"/>
      <c r="AK9" s="62" t="n"/>
      <c r="AL9" s="62" t="n"/>
      <c r="AM9" s="62" t="n"/>
      <c r="AN9" s="62" t="n"/>
      <c r="AO9" s="62" t="n"/>
      <c r="AP9" s="62" t="n"/>
      <c r="AQ9" s="62" t="n"/>
      <c r="AR9" s="62" t="n"/>
      <c r="AS9" s="62" t="n"/>
      <c r="AT9" s="62" t="n"/>
      <c r="AU9" s="62" t="n"/>
      <c r="AV9" s="62" t="n"/>
      <c r="AW9" s="62" t="n"/>
      <c r="AX9" s="62" t="n"/>
      <c r="AY9" s="62" t="n"/>
    </row>
    <row r="10">
      <c r="A10" s="38">
        <f>IF(D10="","",COUNTA($D$9:D10))</f>
        <v/>
      </c>
      <c r="B10" s="52" t="n"/>
      <c r="C10" s="53" t="inlineStr">
        <is>
          <t>마케팅1팀</t>
        </is>
      </c>
      <c r="D10" s="52" t="n"/>
      <c r="E10" s="54" t="n"/>
      <c r="F10" s="52" t="n"/>
      <c r="G10" s="55" t="n"/>
      <c r="H10" s="54" t="n"/>
      <c r="I10" s="54" t="n"/>
      <c r="J10" s="54" t="n"/>
      <c r="K10" s="56">
        <f>IF(SUM(U10:AY10)=0,"",SUM(U10:AY10))</f>
        <v/>
      </c>
      <c r="L10" s="57">
        <f>IFERROR(INDEX(U$2:AY$2,MATCH(TRUE,U10:AY10&lt;&gt;"",0)),"")</f>
        <v/>
      </c>
      <c r="M10" s="58">
        <f>IFERROR(LOOKUP(2,1/(U10:AY10&lt;&gt;""),U$2:AY$2),"")</f>
        <v/>
      </c>
      <c r="N10" s="59">
        <f>IF(OR(G10="",M10=""),"",G10-M10)</f>
        <v/>
      </c>
      <c r="O10" s="60" t="n"/>
      <c r="P10" s="61" t="n"/>
      <c r="U10" s="62" t="n"/>
      <c r="V10" s="62" t="n"/>
      <c r="W10" s="62" t="n"/>
      <c r="X10" s="62" t="n"/>
      <c r="Y10" s="62" t="n"/>
      <c r="Z10" s="62" t="n"/>
      <c r="AA10" s="62" t="n"/>
      <c r="AB10" s="62" t="n"/>
      <c r="AC10" s="62" t="n"/>
      <c r="AD10" s="62" t="n"/>
      <c r="AE10" s="62" t="n"/>
      <c r="AF10" s="62" t="n"/>
      <c r="AG10" s="62" t="n"/>
      <c r="AH10" s="62" t="n"/>
      <c r="AI10" s="62" t="n"/>
      <c r="AJ10" s="62" t="n"/>
      <c r="AK10" s="62" t="n"/>
      <c r="AL10" s="62" t="n"/>
      <c r="AM10" s="62" t="n"/>
      <c r="AN10" s="62" t="n"/>
      <c r="AO10" s="62" t="n"/>
      <c r="AP10" s="62" t="n"/>
      <c r="AQ10" s="62" t="n"/>
      <c r="AR10" s="62" t="n"/>
      <c r="AS10" s="62" t="n"/>
      <c r="AT10" s="62" t="n"/>
      <c r="AU10" s="62" t="n"/>
      <c r="AV10" s="62" t="n"/>
      <c r="AW10" s="62" t="n"/>
      <c r="AX10" s="62" t="n"/>
      <c r="AY10" s="62" t="n"/>
    </row>
    <row r="11">
      <c r="A11" s="38">
        <f>IF(D11="","",COUNTA($D$9:D11))</f>
        <v/>
      </c>
      <c r="B11" s="52" t="n"/>
      <c r="C11" s="53" t="inlineStr">
        <is>
          <t>마케팅1팀</t>
        </is>
      </c>
      <c r="D11" s="52" t="n"/>
      <c r="E11" s="54" t="n"/>
      <c r="F11" s="52" t="n"/>
      <c r="G11" s="55" t="n"/>
      <c r="H11" s="54" t="n"/>
      <c r="I11" s="54" t="n"/>
      <c r="J11" s="54" t="n"/>
      <c r="K11" s="56">
        <f>IF(SUM(U11:AY11)=0,"",SUM(U11:AY11))</f>
        <v/>
      </c>
      <c r="L11" s="57">
        <f>IFERROR(INDEX(U$2:AY$2,MATCH(TRUE,U11:AY11&lt;&gt;"",0)),"")</f>
        <v/>
      </c>
      <c r="M11" s="58">
        <f>IFERROR(LOOKUP(2,1/(U11:AY11&lt;&gt;""),U$2:AY$2),"")</f>
        <v/>
      </c>
      <c r="N11" s="59">
        <f>IF(OR(G11="",M11=""),"",G11-M11)</f>
        <v/>
      </c>
      <c r="O11" s="60" t="n"/>
      <c r="P11" s="61" t="n"/>
      <c r="U11" s="62" t="n"/>
      <c r="V11" s="62" t="n"/>
      <c r="W11" s="62" t="n"/>
      <c r="X11" s="62" t="n"/>
      <c r="Y11" s="62" t="n"/>
      <c r="Z11" s="62" t="n"/>
      <c r="AA11" s="62" t="n"/>
      <c r="AB11" s="62" t="n"/>
      <c r="AC11" s="62" t="n"/>
      <c r="AD11" s="62" t="n"/>
      <c r="AE11" s="62" t="n"/>
      <c r="AF11" s="62" t="n"/>
      <c r="AG11" s="62" t="n"/>
      <c r="AH11" s="62" t="n"/>
      <c r="AI11" s="62" t="n"/>
      <c r="AJ11" s="62" t="n"/>
      <c r="AK11" s="62" t="n"/>
      <c r="AL11" s="62" t="n"/>
      <c r="AM11" s="62" t="n"/>
      <c r="AN11" s="62" t="n"/>
      <c r="AO11" s="62" t="n"/>
      <c r="AP11" s="62" t="n"/>
      <c r="AQ11" s="62" t="n"/>
      <c r="AR11" s="62" t="n"/>
      <c r="AS11" s="62" t="n"/>
      <c r="AT11" s="62" t="n"/>
      <c r="AU11" s="62" t="n"/>
      <c r="AV11" s="62" t="n"/>
      <c r="AW11" s="62" t="n"/>
      <c r="AX11" s="62" t="n"/>
      <c r="AY11" s="62" t="n"/>
    </row>
    <row r="12">
      <c r="A12" s="38">
        <f>IF(D12="","",COUNTA($D$9:D12))</f>
        <v/>
      </c>
      <c r="B12" s="52" t="n"/>
      <c r="C12" s="53" t="inlineStr">
        <is>
          <t>마케팅1팀</t>
        </is>
      </c>
      <c r="D12" s="52" t="n"/>
      <c r="E12" s="54" t="n"/>
      <c r="F12" s="52" t="n"/>
      <c r="G12" s="55" t="n"/>
      <c r="H12" s="54" t="n"/>
      <c r="I12" s="54" t="n"/>
      <c r="J12" s="54" t="n"/>
      <c r="K12" s="56">
        <f>IF(SUM(U12:AY12)=0,"",SUM(U12:AY12))</f>
        <v/>
      </c>
      <c r="L12" s="57">
        <f>IFERROR(INDEX(U$2:AY$2,MATCH(TRUE,U12:AY12&lt;&gt;"",0)),"")</f>
        <v/>
      </c>
      <c r="M12" s="58">
        <f>IFERROR(LOOKUP(2,1/(U12:AY12&lt;&gt;""),U$2:AY$2),"")</f>
        <v/>
      </c>
      <c r="N12" s="59">
        <f>IF(OR(G12="",M12=""),"",G12-M12)</f>
        <v/>
      </c>
      <c r="O12" s="60" t="n"/>
      <c r="P12" s="61" t="n"/>
      <c r="U12" s="62" t="n"/>
      <c r="V12" s="62" t="n"/>
      <c r="W12" s="62" t="n"/>
      <c r="X12" s="62" t="n"/>
      <c r="Y12" s="62" t="n"/>
      <c r="Z12" s="62" t="n"/>
      <c r="AA12" s="62" t="n"/>
      <c r="AB12" s="62" t="n"/>
      <c r="AC12" s="62" t="n"/>
      <c r="AD12" s="62" t="n"/>
      <c r="AE12" s="62" t="n"/>
      <c r="AF12" s="62" t="n"/>
      <c r="AG12" s="62" t="n"/>
      <c r="AH12" s="62" t="n"/>
      <c r="AI12" s="62" t="n"/>
      <c r="AJ12" s="62" t="n"/>
      <c r="AK12" s="62" t="n"/>
      <c r="AL12" s="62" t="n"/>
      <c r="AM12" s="62" t="n"/>
      <c r="AN12" s="62" t="n"/>
      <c r="AO12" s="62" t="n"/>
      <c r="AP12" s="62" t="n"/>
      <c r="AQ12" s="62" t="n"/>
      <c r="AR12" s="62" t="n"/>
      <c r="AS12" s="62" t="n"/>
      <c r="AT12" s="62" t="n"/>
      <c r="AU12" s="62" t="n"/>
      <c r="AV12" s="62" t="n"/>
      <c r="AW12" s="62" t="n"/>
      <c r="AX12" s="62" t="n"/>
      <c r="AY12" s="62" t="n"/>
    </row>
    <row r="13">
      <c r="A13" s="38">
        <f>IF(D13="","",COUNTA($D$9:D13))</f>
        <v/>
      </c>
      <c r="B13" s="52" t="n"/>
      <c r="C13" s="53" t="inlineStr">
        <is>
          <t>마케팅1팀</t>
        </is>
      </c>
      <c r="D13" s="52" t="n"/>
      <c r="E13" s="54" t="n"/>
      <c r="F13" s="52" t="n"/>
      <c r="G13" s="55" t="n"/>
      <c r="H13" s="54" t="n"/>
      <c r="I13" s="54" t="n"/>
      <c r="J13" s="54" t="n"/>
      <c r="K13" s="56">
        <f>IF(SUM(U13:AY13)=0,"",SUM(U13:AY13))</f>
        <v/>
      </c>
      <c r="L13" s="57">
        <f>IFERROR(INDEX(U$2:AY$2,MATCH(TRUE,U13:AY13&lt;&gt;"",0)),"")</f>
        <v/>
      </c>
      <c r="M13" s="58">
        <f>IFERROR(LOOKUP(2,1/(U13:AY13&lt;&gt;""),U$2:AY$2),"")</f>
        <v/>
      </c>
      <c r="N13" s="59">
        <f>IF(OR(G13="",M13=""),"",G13-M13)</f>
        <v/>
      </c>
      <c r="O13" s="60" t="n"/>
      <c r="P13" s="61" t="n"/>
      <c r="U13" s="62" t="n"/>
      <c r="V13" s="62" t="n"/>
      <c r="W13" s="62" t="n"/>
      <c r="X13" s="62" t="n"/>
      <c r="Y13" s="62" t="n"/>
      <c r="Z13" s="62" t="n"/>
      <c r="AA13" s="62" t="n"/>
      <c r="AB13" s="62" t="n"/>
      <c r="AC13" s="62" t="n"/>
      <c r="AD13" s="62" t="n"/>
      <c r="AE13" s="62" t="n"/>
      <c r="AF13" s="62" t="n"/>
      <c r="AG13" s="62" t="n"/>
      <c r="AH13" s="62" t="n"/>
      <c r="AI13" s="62" t="n"/>
      <c r="AJ13" s="62" t="n"/>
      <c r="AK13" s="62" t="n"/>
      <c r="AL13" s="62" t="n"/>
      <c r="AM13" s="62" t="n"/>
      <c r="AN13" s="62" t="n"/>
      <c r="AO13" s="62" t="n"/>
      <c r="AP13" s="62" t="n"/>
      <c r="AQ13" s="62" t="n"/>
      <c r="AR13" s="62" t="n"/>
      <c r="AS13" s="62" t="n"/>
      <c r="AT13" s="62" t="n"/>
      <c r="AU13" s="62" t="n"/>
      <c r="AV13" s="62" t="n"/>
      <c r="AW13" s="62" t="n"/>
      <c r="AX13" s="62" t="n"/>
      <c r="AY13" s="62" t="n"/>
    </row>
    <row r="14">
      <c r="A14" s="38">
        <f>IF(D14="","",COUNTA($D$9:D14))</f>
        <v/>
      </c>
      <c r="B14" s="52" t="n"/>
      <c r="C14" s="53" t="inlineStr">
        <is>
          <t>마케팅1팀</t>
        </is>
      </c>
      <c r="D14" s="52" t="n"/>
      <c r="E14" s="54" t="n"/>
      <c r="F14" s="52" t="n"/>
      <c r="G14" s="55" t="n"/>
      <c r="H14" s="54" t="n"/>
      <c r="I14" s="54" t="n"/>
      <c r="J14" s="54" t="n"/>
      <c r="K14" s="56">
        <f>IF(SUM(U14:AY14)=0,"",SUM(U14:AY14))</f>
        <v/>
      </c>
      <c r="L14" s="57">
        <f>IFERROR(INDEX(U$2:AY$2,MATCH(TRUE,U14:AY14&lt;&gt;"",0)),"")</f>
        <v/>
      </c>
      <c r="M14" s="58">
        <f>IFERROR(LOOKUP(2,1/(U14:AY14&lt;&gt;""),U$2:AY$2),"")</f>
        <v/>
      </c>
      <c r="N14" s="59">
        <f>IF(OR(G14="",M14=""),"",G14-M14)</f>
        <v/>
      </c>
      <c r="O14" s="60" t="n"/>
      <c r="P14" s="61" t="n"/>
      <c r="U14" s="62" t="n"/>
      <c r="V14" s="62" t="n"/>
      <c r="W14" s="62" t="n"/>
      <c r="X14" s="62" t="n"/>
      <c r="Y14" s="62" t="n"/>
      <c r="Z14" s="62" t="n"/>
      <c r="AA14" s="62" t="n"/>
      <c r="AB14" s="62" t="n"/>
      <c r="AC14" s="62" t="n"/>
      <c r="AD14" s="62" t="n"/>
      <c r="AE14" s="62" t="n"/>
      <c r="AF14" s="62" t="n"/>
      <c r="AG14" s="62" t="n"/>
      <c r="AH14" s="62" t="n"/>
      <c r="AI14" s="62" t="n"/>
      <c r="AJ14" s="62" t="n"/>
      <c r="AK14" s="62" t="n"/>
      <c r="AL14" s="62" t="n"/>
      <c r="AM14" s="62" t="n"/>
      <c r="AN14" s="62" t="n"/>
      <c r="AO14" s="62" t="n"/>
      <c r="AP14" s="62" t="n"/>
      <c r="AQ14" s="62" t="n"/>
      <c r="AR14" s="62" t="n"/>
      <c r="AS14" s="62" t="n"/>
      <c r="AT14" s="62" t="n"/>
      <c r="AU14" s="62" t="n"/>
      <c r="AV14" s="62" t="n"/>
      <c r="AW14" s="62" t="n"/>
      <c r="AX14" s="62" t="n"/>
      <c r="AY14" s="62" t="n"/>
    </row>
    <row r="15">
      <c r="A15" s="38">
        <f>IF(D15="","",COUNTA($D$9:D15))</f>
        <v/>
      </c>
      <c r="B15" s="52" t="n"/>
      <c r="C15" s="53" t="inlineStr">
        <is>
          <t>마케팅1팀</t>
        </is>
      </c>
      <c r="D15" s="52" t="n"/>
      <c r="E15" s="54" t="n"/>
      <c r="F15" s="52" t="n"/>
      <c r="G15" s="55" t="n"/>
      <c r="H15" s="54" t="n"/>
      <c r="I15" s="54" t="n"/>
      <c r="J15" s="54" t="n"/>
      <c r="K15" s="56">
        <f>IF(SUM(U15:AY15)=0,"",SUM(U15:AY15))</f>
        <v/>
      </c>
      <c r="L15" s="57">
        <f>IFERROR(INDEX(U$2:AY$2,MATCH(TRUE,U15:AY15&lt;&gt;"",0)),"")</f>
        <v/>
      </c>
      <c r="M15" s="58">
        <f>IFERROR(LOOKUP(2,1/(U15:AY15&lt;&gt;""),U$2:AY$2),"")</f>
        <v/>
      </c>
      <c r="N15" s="59">
        <f>IF(OR(G15="",M15=""),"",G15-M15)</f>
        <v/>
      </c>
      <c r="O15" s="60" t="n"/>
      <c r="P15" s="61" t="n"/>
      <c r="U15" s="62" t="n"/>
      <c r="V15" s="62" t="n"/>
      <c r="W15" s="62" t="n"/>
      <c r="X15" s="62" t="n"/>
      <c r="Y15" s="62" t="n"/>
      <c r="Z15" s="62" t="n"/>
      <c r="AA15" s="62" t="n"/>
      <c r="AB15" s="62" t="n"/>
      <c r="AC15" s="62" t="n"/>
      <c r="AD15" s="62" t="n"/>
      <c r="AE15" s="62" t="n"/>
      <c r="AF15" s="62" t="n"/>
      <c r="AG15" s="62" t="n"/>
      <c r="AH15" s="62" t="n"/>
      <c r="AI15" s="62" t="n"/>
      <c r="AJ15" s="62" t="n"/>
      <c r="AK15" s="62" t="n"/>
      <c r="AL15" s="62" t="n"/>
      <c r="AM15" s="62" t="n"/>
      <c r="AN15" s="62" t="n"/>
      <c r="AO15" s="62" t="n"/>
      <c r="AP15" s="62" t="n"/>
      <c r="AQ15" s="62" t="n"/>
      <c r="AR15" s="62" t="n"/>
      <c r="AS15" s="62" t="n"/>
      <c r="AT15" s="62" t="n"/>
      <c r="AU15" s="62" t="n"/>
      <c r="AV15" s="62" t="n"/>
      <c r="AW15" s="62" t="n"/>
      <c r="AX15" s="62" t="n"/>
      <c r="AY15" s="62" t="n"/>
    </row>
    <row r="16">
      <c r="A16" s="38">
        <f>IF(D16="","",COUNTA($D$9:D16))</f>
        <v/>
      </c>
      <c r="B16" s="52" t="n"/>
      <c r="C16" s="53" t="inlineStr">
        <is>
          <t>마케팅1팀</t>
        </is>
      </c>
      <c r="D16" s="52" t="n"/>
      <c r="E16" s="54" t="n"/>
      <c r="F16" s="52" t="n"/>
      <c r="G16" s="55" t="n"/>
      <c r="H16" s="54" t="n"/>
      <c r="I16" s="54" t="n"/>
      <c r="J16" s="54" t="n"/>
      <c r="K16" s="56">
        <f>IF(SUM(U16:AY16)=0,"",SUM(U16:AY16))</f>
        <v/>
      </c>
      <c r="L16" s="57">
        <f>IFERROR(INDEX(U$2:AY$2,MATCH(TRUE,U16:AY16&lt;&gt;"",0)),"")</f>
        <v/>
      </c>
      <c r="M16" s="58">
        <f>IFERROR(LOOKUP(2,1/(U16:AY16&lt;&gt;""),U$2:AY$2),"")</f>
        <v/>
      </c>
      <c r="N16" s="59">
        <f>IF(OR(G16="",M16=""),"",G16-M16)</f>
        <v/>
      </c>
      <c r="O16" s="60" t="n"/>
      <c r="P16" s="61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  <c r="AG16" s="62" t="n"/>
      <c r="AH16" s="62" t="n"/>
      <c r="AI16" s="62" t="n"/>
      <c r="AJ16" s="62" t="n"/>
      <c r="AK16" s="62" t="n"/>
      <c r="AL16" s="62" t="n"/>
      <c r="AM16" s="62" t="n"/>
      <c r="AN16" s="62" t="n"/>
      <c r="AO16" s="62" t="n"/>
      <c r="AP16" s="62" t="n"/>
      <c r="AQ16" s="62" t="n"/>
      <c r="AR16" s="62" t="n"/>
      <c r="AS16" s="62" t="n"/>
      <c r="AT16" s="62" t="n"/>
      <c r="AU16" s="62" t="n"/>
      <c r="AV16" s="62" t="n"/>
      <c r="AW16" s="62" t="n"/>
      <c r="AX16" s="62" t="n"/>
      <c r="AY16" s="62" t="n"/>
    </row>
    <row r="17">
      <c r="A17" s="38">
        <f>IF(D17="","",COUNTA($D$9:D17))</f>
        <v/>
      </c>
      <c r="B17" s="52" t="n"/>
      <c r="C17" s="53" t="inlineStr">
        <is>
          <t>마케팅1팀</t>
        </is>
      </c>
      <c r="D17" s="52" t="n"/>
      <c r="E17" s="54" t="n"/>
      <c r="F17" s="52" t="n"/>
      <c r="G17" s="55" t="n"/>
      <c r="H17" s="54" t="n"/>
      <c r="I17" s="54" t="n"/>
      <c r="J17" s="54" t="n"/>
      <c r="K17" s="56">
        <f>IF(SUM(U17:AY17)=0,"",SUM(U17:AY17))</f>
        <v/>
      </c>
      <c r="L17" s="57">
        <f>IFERROR(INDEX(U$2:AY$2,MATCH(TRUE,U17:AY17&lt;&gt;"",0)),"")</f>
        <v/>
      </c>
      <c r="M17" s="58">
        <f>IFERROR(LOOKUP(2,1/(U17:AY17&lt;&gt;""),U$2:AY$2),"")</f>
        <v/>
      </c>
      <c r="N17" s="59">
        <f>IF(OR(G17="",M17=""),"",G17-M17)</f>
        <v/>
      </c>
      <c r="O17" s="60" t="n"/>
      <c r="P17" s="61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  <c r="AG17" s="62" t="n"/>
      <c r="AH17" s="62" t="n"/>
      <c r="AI17" s="62" t="n"/>
      <c r="AJ17" s="62" t="n"/>
      <c r="AK17" s="62" t="n"/>
      <c r="AL17" s="62" t="n"/>
      <c r="AM17" s="62" t="n"/>
      <c r="AN17" s="62" t="n"/>
      <c r="AO17" s="62" t="n"/>
      <c r="AP17" s="62" t="n"/>
      <c r="AQ17" s="62" t="n"/>
      <c r="AR17" s="62" t="n"/>
      <c r="AS17" s="62" t="n"/>
      <c r="AT17" s="62" t="n"/>
      <c r="AU17" s="62" t="n"/>
      <c r="AV17" s="62" t="n"/>
      <c r="AW17" s="62" t="n"/>
      <c r="AX17" s="62" t="n"/>
      <c r="AY17" s="62" t="n"/>
    </row>
    <row r="18">
      <c r="A18" s="38">
        <f>IF(D18="","",COUNTA($D$9:D18))</f>
        <v/>
      </c>
      <c r="B18" s="52" t="n"/>
      <c r="C18" s="53" t="inlineStr">
        <is>
          <t>마케팅1팀</t>
        </is>
      </c>
      <c r="D18" s="52" t="n"/>
      <c r="E18" s="54" t="n"/>
      <c r="F18" s="52" t="n"/>
      <c r="G18" s="55" t="n"/>
      <c r="H18" s="54" t="n"/>
      <c r="I18" s="54" t="n"/>
      <c r="J18" s="54" t="n"/>
      <c r="K18" s="56">
        <f>IF(SUM(U18:AY18)=0,"",SUM(U18:AY18))</f>
        <v/>
      </c>
      <c r="L18" s="57">
        <f>IFERROR(INDEX(U$2:AY$2,MATCH(TRUE,U18:AY18&lt;&gt;"",0)),"")</f>
        <v/>
      </c>
      <c r="M18" s="58">
        <f>IFERROR(LOOKUP(2,1/(U18:AY18&lt;&gt;""),U$2:AY$2),"")</f>
        <v/>
      </c>
      <c r="N18" s="59">
        <f>IF(OR(G18="",M18=""),"",G18-M18)</f>
        <v/>
      </c>
      <c r="O18" s="60" t="n"/>
      <c r="P18" s="61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  <c r="AG18" s="62" t="n"/>
      <c r="AH18" s="62" t="n"/>
      <c r="AI18" s="62" t="n"/>
      <c r="AJ18" s="62" t="n"/>
      <c r="AK18" s="62" t="n"/>
      <c r="AL18" s="62" t="n"/>
      <c r="AM18" s="62" t="n"/>
      <c r="AN18" s="62" t="n"/>
      <c r="AO18" s="62" t="n"/>
      <c r="AP18" s="62" t="n"/>
      <c r="AQ18" s="62" t="n"/>
      <c r="AR18" s="62" t="n"/>
      <c r="AS18" s="62" t="n"/>
      <c r="AT18" s="62" t="n"/>
      <c r="AU18" s="62" t="n"/>
      <c r="AV18" s="62" t="n"/>
      <c r="AW18" s="62" t="n"/>
      <c r="AX18" s="62" t="n"/>
      <c r="AY18" s="62" t="n"/>
    </row>
    <row r="19">
      <c r="A19" s="38">
        <f>IF(D19="","",COUNTA($D$9:D19))</f>
        <v/>
      </c>
      <c r="B19" s="52" t="n"/>
      <c r="C19" s="53" t="inlineStr">
        <is>
          <t>마케팅1팀</t>
        </is>
      </c>
      <c r="D19" s="52" t="n"/>
      <c r="E19" s="54" t="n"/>
      <c r="F19" s="52" t="n"/>
      <c r="G19" s="55" t="n"/>
      <c r="H19" s="54" t="n"/>
      <c r="I19" s="54" t="n"/>
      <c r="J19" s="54" t="n"/>
      <c r="K19" s="56">
        <f>IF(SUM(U19:AY19)=0,"",SUM(U19:AY19))</f>
        <v/>
      </c>
      <c r="L19" s="57">
        <f>IFERROR(INDEX(U$2:AY$2,MATCH(TRUE,U19:AY19&lt;&gt;"",0)),"")</f>
        <v/>
      </c>
      <c r="M19" s="58">
        <f>IFERROR(LOOKUP(2,1/(U19:AY19&lt;&gt;""),U$2:AY$2),"")</f>
        <v/>
      </c>
      <c r="N19" s="59">
        <f>IF(OR(G19="",M19=""),"",G19-M19)</f>
        <v/>
      </c>
      <c r="O19" s="60" t="n"/>
      <c r="P19" s="61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  <c r="AG19" s="62" t="n"/>
      <c r="AH19" s="62" t="n"/>
      <c r="AI19" s="62" t="n"/>
      <c r="AJ19" s="62" t="n"/>
      <c r="AK19" s="62" t="n"/>
      <c r="AL19" s="62" t="n"/>
      <c r="AM19" s="62" t="n"/>
      <c r="AN19" s="62" t="n"/>
      <c r="AO19" s="62" t="n"/>
      <c r="AP19" s="62" t="n"/>
      <c r="AQ19" s="62" t="n"/>
      <c r="AR19" s="62" t="n"/>
      <c r="AS19" s="62" t="n"/>
      <c r="AT19" s="62" t="n"/>
      <c r="AU19" s="62" t="n"/>
      <c r="AV19" s="62" t="n"/>
      <c r="AW19" s="62" t="n"/>
      <c r="AX19" s="62" t="n"/>
      <c r="AY19" s="62" t="n"/>
    </row>
    <row r="20">
      <c r="A20" s="38">
        <f>IF(D20="","",COUNTA($D$9:D20))</f>
        <v/>
      </c>
      <c r="B20" s="52" t="n"/>
      <c r="C20" s="53" t="inlineStr">
        <is>
          <t>마케팅1팀</t>
        </is>
      </c>
      <c r="D20" s="52" t="n"/>
      <c r="E20" s="54" t="n"/>
      <c r="F20" s="52" t="n"/>
      <c r="G20" s="55" t="n"/>
      <c r="H20" s="54" t="n"/>
      <c r="I20" s="54" t="n"/>
      <c r="J20" s="54" t="n"/>
      <c r="K20" s="56">
        <f>IF(SUM(U20:AY20)=0,"",SUM(U20:AY20))</f>
        <v/>
      </c>
      <c r="L20" s="57">
        <f>IFERROR(INDEX(U$2:AY$2,MATCH(TRUE,U20:AY20&lt;&gt;"",0)),"")</f>
        <v/>
      </c>
      <c r="M20" s="58">
        <f>IFERROR(LOOKUP(2,1/(U20:AY20&lt;&gt;""),U$2:AY$2),"")</f>
        <v/>
      </c>
      <c r="N20" s="59">
        <f>IF(OR(G20="",M20=""),"",G20-M20)</f>
        <v/>
      </c>
      <c r="O20" s="60" t="n"/>
      <c r="P20" s="61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  <c r="AG20" s="62" t="n"/>
      <c r="AH20" s="62" t="n"/>
      <c r="AI20" s="62" t="n"/>
      <c r="AJ20" s="62" t="n"/>
      <c r="AK20" s="62" t="n"/>
      <c r="AL20" s="62" t="n"/>
      <c r="AM20" s="62" t="n"/>
      <c r="AN20" s="62" t="n"/>
      <c r="AO20" s="62" t="n"/>
      <c r="AP20" s="62" t="n"/>
      <c r="AQ20" s="62" t="n"/>
      <c r="AR20" s="62" t="n"/>
      <c r="AS20" s="62" t="n"/>
      <c r="AT20" s="62" t="n"/>
      <c r="AU20" s="62" t="n"/>
      <c r="AV20" s="62" t="n"/>
      <c r="AW20" s="62" t="n"/>
      <c r="AX20" s="62" t="n"/>
      <c r="AY20" s="62" t="n"/>
    </row>
    <row r="21">
      <c r="A21" s="38">
        <f>IF(D21="","",COUNTA($D$9:D21))</f>
        <v/>
      </c>
      <c r="B21" s="52" t="n"/>
      <c r="C21" s="53" t="inlineStr">
        <is>
          <t>마케팅1팀</t>
        </is>
      </c>
      <c r="D21" s="52" t="n"/>
      <c r="E21" s="54" t="n"/>
      <c r="F21" s="52" t="n"/>
      <c r="G21" s="55" t="n"/>
      <c r="H21" s="54" t="n"/>
      <c r="I21" s="54" t="n"/>
      <c r="J21" s="54" t="n"/>
      <c r="K21" s="56">
        <f>IF(SUM(U21:AY21)=0,"",SUM(U21:AY21))</f>
        <v/>
      </c>
      <c r="L21" s="57">
        <f>IFERROR(INDEX(U$2:AY$2,MATCH(TRUE,U21:AY21&lt;&gt;"",0)),"")</f>
        <v/>
      </c>
      <c r="M21" s="58">
        <f>IFERROR(LOOKUP(2,1/(U21:AY21&lt;&gt;""),U$2:AY$2),"")</f>
        <v/>
      </c>
      <c r="N21" s="59">
        <f>IF(OR(G21="",M21=""),"",G21-M21)</f>
        <v/>
      </c>
      <c r="O21" s="60" t="n"/>
      <c r="P21" s="61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  <c r="AG21" s="62" t="n"/>
      <c r="AH21" s="62" t="n"/>
      <c r="AI21" s="62" t="n"/>
      <c r="AJ21" s="62" t="n"/>
      <c r="AK21" s="62" t="n"/>
      <c r="AL21" s="62" t="n"/>
      <c r="AM21" s="62" t="n"/>
      <c r="AN21" s="62" t="n"/>
      <c r="AO21" s="62" t="n"/>
      <c r="AP21" s="62" t="n"/>
      <c r="AQ21" s="62" t="n"/>
      <c r="AR21" s="62" t="n"/>
      <c r="AS21" s="62" t="n"/>
      <c r="AT21" s="62" t="n"/>
      <c r="AU21" s="62" t="n"/>
      <c r="AV21" s="62" t="n"/>
      <c r="AW21" s="62" t="n"/>
      <c r="AX21" s="62" t="n"/>
      <c r="AY21" s="62" t="n"/>
    </row>
    <row r="22">
      <c r="A22" s="38">
        <f>IF(D22="","",COUNTA($D$9:D22))</f>
        <v/>
      </c>
      <c r="B22" s="52" t="n"/>
      <c r="C22" s="53" t="inlineStr">
        <is>
          <t>마케팅1팀</t>
        </is>
      </c>
      <c r="D22" s="52" t="n"/>
      <c r="E22" s="54" t="n"/>
      <c r="F22" s="52" t="n"/>
      <c r="G22" s="55" t="n"/>
      <c r="H22" s="54" t="n"/>
      <c r="I22" s="54" t="n"/>
      <c r="J22" s="54" t="n"/>
      <c r="K22" s="56">
        <f>IF(SUM(U22:AY22)=0,"",SUM(U22:AY22))</f>
        <v/>
      </c>
      <c r="L22" s="57">
        <f>IFERROR(INDEX(U$2:AY$2,MATCH(TRUE,U22:AY22&lt;&gt;"",0)),"")</f>
        <v/>
      </c>
      <c r="M22" s="58">
        <f>IFERROR(LOOKUP(2,1/(U22:AY22&lt;&gt;""),U$2:AY$2),"")</f>
        <v/>
      </c>
      <c r="N22" s="59">
        <f>IF(OR(G22="",M22=""),"",G22-M22)</f>
        <v/>
      </c>
      <c r="O22" s="60" t="n"/>
      <c r="P22" s="61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  <c r="AG22" s="62" t="n"/>
      <c r="AH22" s="62" t="n"/>
      <c r="AI22" s="62" t="n"/>
      <c r="AJ22" s="62" t="n"/>
      <c r="AK22" s="62" t="n"/>
      <c r="AL22" s="62" t="n"/>
      <c r="AM22" s="62" t="n"/>
      <c r="AN22" s="62" t="n"/>
      <c r="AO22" s="62" t="n"/>
      <c r="AP22" s="62" t="n"/>
      <c r="AQ22" s="62" t="n"/>
      <c r="AR22" s="62" t="n"/>
      <c r="AS22" s="62" t="n"/>
      <c r="AT22" s="62" t="n"/>
      <c r="AU22" s="62" t="n"/>
      <c r="AV22" s="62" t="n"/>
      <c r="AW22" s="62" t="n"/>
      <c r="AX22" s="62" t="n"/>
      <c r="AY22" s="62" t="n"/>
    </row>
    <row r="23">
      <c r="A23" s="38">
        <f>IF(D23="","",COUNTA($D$9:D23))</f>
        <v/>
      </c>
      <c r="B23" s="52" t="n"/>
      <c r="C23" s="53" t="inlineStr">
        <is>
          <t>마케팅1팀</t>
        </is>
      </c>
      <c r="D23" s="52" t="n"/>
      <c r="E23" s="54" t="n"/>
      <c r="F23" s="52" t="n"/>
      <c r="G23" s="55" t="n"/>
      <c r="H23" s="54" t="n"/>
      <c r="I23" s="54" t="n"/>
      <c r="J23" s="54" t="n"/>
      <c r="K23" s="56">
        <f>IF(SUM(U23:AY23)=0,"",SUM(U23:AY23))</f>
        <v/>
      </c>
      <c r="L23" s="57">
        <f>IFERROR(INDEX(U$2:AY$2,MATCH(TRUE,U23:AY23&lt;&gt;"",0)),"")</f>
        <v/>
      </c>
      <c r="M23" s="58">
        <f>IFERROR(LOOKUP(2,1/(U23:AY23&lt;&gt;""),U$2:AY$2),"")</f>
        <v/>
      </c>
      <c r="N23" s="59">
        <f>IF(OR(G23="",M23=""),"",G23-M23)</f>
        <v/>
      </c>
      <c r="O23" s="60" t="n"/>
      <c r="P23" s="61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  <c r="AG23" s="62" t="n"/>
      <c r="AH23" s="62" t="n"/>
      <c r="AI23" s="62" t="n"/>
      <c r="AJ23" s="62" t="n"/>
      <c r="AK23" s="62" t="n"/>
      <c r="AL23" s="62" t="n"/>
      <c r="AM23" s="62" t="n"/>
      <c r="AN23" s="62" t="n"/>
      <c r="AO23" s="62" t="n"/>
      <c r="AP23" s="62" t="n"/>
      <c r="AQ23" s="62" t="n"/>
      <c r="AR23" s="62" t="n"/>
      <c r="AS23" s="62" t="n"/>
      <c r="AT23" s="62" t="n"/>
      <c r="AU23" s="62" t="n"/>
      <c r="AV23" s="62" t="n"/>
      <c r="AW23" s="62" t="n"/>
      <c r="AX23" s="62" t="n"/>
      <c r="AY23" s="62" t="n"/>
    </row>
    <row r="24">
      <c r="A24" s="38">
        <f>IF(D24="","",COUNTA($D$9:D24))</f>
        <v/>
      </c>
      <c r="B24" s="52" t="n"/>
      <c r="C24" s="53" t="inlineStr">
        <is>
          <t>마케팅1팀</t>
        </is>
      </c>
      <c r="D24" s="52" t="n"/>
      <c r="E24" s="54" t="n"/>
      <c r="F24" s="52" t="n"/>
      <c r="G24" s="55" t="n"/>
      <c r="H24" s="54" t="n"/>
      <c r="I24" s="54" t="n"/>
      <c r="J24" s="54" t="n"/>
      <c r="K24" s="56">
        <f>IF(SUM(U24:AY24)=0,"",SUM(U24:AY24))</f>
        <v/>
      </c>
      <c r="L24" s="57">
        <f>IFERROR(INDEX(U$2:AY$2,MATCH(TRUE,U24:AY24&lt;&gt;"",0)),"")</f>
        <v/>
      </c>
      <c r="M24" s="58">
        <f>IFERROR(LOOKUP(2,1/(U24:AY24&lt;&gt;""),U$2:AY$2),"")</f>
        <v/>
      </c>
      <c r="N24" s="59">
        <f>IF(OR(G24="",M24=""),"",G24-M24)</f>
        <v/>
      </c>
      <c r="O24" s="60" t="n"/>
      <c r="P24" s="61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  <c r="AG24" s="62" t="n"/>
      <c r="AH24" s="62" t="n"/>
      <c r="AI24" s="62" t="n"/>
      <c r="AJ24" s="62" t="n"/>
      <c r="AK24" s="62" t="n"/>
      <c r="AL24" s="62" t="n"/>
      <c r="AM24" s="62" t="n"/>
      <c r="AN24" s="62" t="n"/>
      <c r="AO24" s="62" t="n"/>
      <c r="AP24" s="62" t="n"/>
      <c r="AQ24" s="62" t="n"/>
      <c r="AR24" s="62" t="n"/>
      <c r="AS24" s="62" t="n"/>
      <c r="AT24" s="62" t="n"/>
      <c r="AU24" s="62" t="n"/>
      <c r="AV24" s="62" t="n"/>
      <c r="AW24" s="62" t="n"/>
      <c r="AX24" s="62" t="n"/>
      <c r="AY24" s="62" t="n"/>
    </row>
    <row r="25">
      <c r="A25" s="38">
        <f>IF(D25="","",COUNTA($D$9:D25))</f>
        <v/>
      </c>
      <c r="B25" s="52" t="n"/>
      <c r="C25" s="53" t="inlineStr">
        <is>
          <t>마케팅1팀</t>
        </is>
      </c>
      <c r="D25" s="52" t="n"/>
      <c r="E25" s="54" t="n"/>
      <c r="F25" s="52" t="n"/>
      <c r="G25" s="55" t="n"/>
      <c r="H25" s="54" t="n"/>
      <c r="I25" s="54" t="n"/>
      <c r="J25" s="54" t="n"/>
      <c r="K25" s="56">
        <f>IF(SUM(U25:AY25)=0,"",SUM(U25:AY25))</f>
        <v/>
      </c>
      <c r="L25" s="57">
        <f>IFERROR(INDEX(U$2:AY$2,MATCH(TRUE,U25:AY25&lt;&gt;"",0)),"")</f>
        <v/>
      </c>
      <c r="M25" s="58">
        <f>IFERROR(LOOKUP(2,1/(U25:AY25&lt;&gt;""),U$2:AY$2),"")</f>
        <v/>
      </c>
      <c r="N25" s="59">
        <f>IF(OR(G25="",M25=""),"",G25-M25)</f>
        <v/>
      </c>
      <c r="O25" s="60" t="n"/>
      <c r="P25" s="61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  <c r="AG25" s="62" t="n"/>
      <c r="AH25" s="62" t="n"/>
      <c r="AI25" s="62" t="n"/>
      <c r="AJ25" s="62" t="n"/>
      <c r="AK25" s="62" t="n"/>
      <c r="AL25" s="62" t="n"/>
      <c r="AM25" s="62" t="n"/>
      <c r="AN25" s="62" t="n"/>
      <c r="AO25" s="62" t="n"/>
      <c r="AP25" s="62" t="n"/>
      <c r="AQ25" s="62" t="n"/>
      <c r="AR25" s="62" t="n"/>
      <c r="AS25" s="62" t="n"/>
      <c r="AT25" s="62" t="n"/>
      <c r="AU25" s="62" t="n"/>
      <c r="AV25" s="62" t="n"/>
      <c r="AW25" s="62" t="n"/>
      <c r="AX25" s="62" t="n"/>
      <c r="AY25" s="62" t="n"/>
    </row>
    <row r="26">
      <c r="A26" s="38">
        <f>IF(D26="","",COUNTA($D$9:D26))</f>
        <v/>
      </c>
      <c r="B26" s="52" t="n"/>
      <c r="C26" s="53" t="inlineStr">
        <is>
          <t>마케팅1팀</t>
        </is>
      </c>
      <c r="D26" s="52" t="n"/>
      <c r="E26" s="54" t="n"/>
      <c r="F26" s="52" t="n"/>
      <c r="G26" s="55" t="n"/>
      <c r="H26" s="54" t="n"/>
      <c r="I26" s="54" t="n"/>
      <c r="J26" s="54" t="n"/>
      <c r="K26" s="56">
        <f>IF(SUM(U26:AY26)=0,"",SUM(U26:AY26))</f>
        <v/>
      </c>
      <c r="L26" s="57">
        <f>IFERROR(INDEX(U$2:AY$2,MATCH(TRUE,U26:AY26&lt;&gt;"",0)),"")</f>
        <v/>
      </c>
      <c r="M26" s="58">
        <f>IFERROR(LOOKUP(2,1/(U26:AY26&lt;&gt;""),U$2:AY$2),"")</f>
        <v/>
      </c>
      <c r="N26" s="59">
        <f>IF(OR(G26="",M26=""),"",G26-M26)</f>
        <v/>
      </c>
      <c r="O26" s="60" t="n"/>
      <c r="P26" s="61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  <c r="AG26" s="62" t="n"/>
      <c r="AH26" s="62" t="n"/>
      <c r="AI26" s="62" t="n"/>
      <c r="AJ26" s="62" t="n"/>
      <c r="AK26" s="62" t="n"/>
      <c r="AL26" s="62" t="n"/>
      <c r="AM26" s="62" t="n"/>
      <c r="AN26" s="62" t="n"/>
      <c r="AO26" s="62" t="n"/>
      <c r="AP26" s="62" t="n"/>
      <c r="AQ26" s="62" t="n"/>
      <c r="AR26" s="62" t="n"/>
      <c r="AS26" s="62" t="n"/>
      <c r="AT26" s="62" t="n"/>
      <c r="AU26" s="62" t="n"/>
      <c r="AV26" s="62" t="n"/>
      <c r="AW26" s="62" t="n"/>
      <c r="AX26" s="62" t="n"/>
      <c r="AY26" s="62" t="n"/>
    </row>
    <row r="27">
      <c r="A27" s="38">
        <f>IF(D27="","",COUNTA($D$9:D27))</f>
        <v/>
      </c>
      <c r="B27" s="52" t="n"/>
      <c r="C27" s="53" t="inlineStr">
        <is>
          <t>마케팅1팀</t>
        </is>
      </c>
      <c r="D27" s="52" t="n"/>
      <c r="E27" s="54" t="n"/>
      <c r="F27" s="52" t="n"/>
      <c r="G27" s="55" t="n"/>
      <c r="H27" s="54" t="n"/>
      <c r="I27" s="54" t="n"/>
      <c r="J27" s="54" t="n"/>
      <c r="K27" s="56">
        <f>IF(SUM(U27:AY27)=0,"",SUM(U27:AY27))</f>
        <v/>
      </c>
      <c r="L27" s="57">
        <f>IFERROR(INDEX(U$2:AY$2,MATCH(TRUE,U27:AY27&lt;&gt;"",0)),"")</f>
        <v/>
      </c>
      <c r="M27" s="58">
        <f>IFERROR(LOOKUP(2,1/(U27:AY27&lt;&gt;""),U$2:AY$2),"")</f>
        <v/>
      </c>
      <c r="N27" s="59">
        <f>IF(OR(G27="",M27=""),"",G27-M27)</f>
        <v/>
      </c>
      <c r="O27" s="60" t="n"/>
      <c r="P27" s="61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  <c r="AG27" s="62" t="n"/>
      <c r="AH27" s="62" t="n"/>
      <c r="AI27" s="62" t="n"/>
      <c r="AJ27" s="62" t="n"/>
      <c r="AK27" s="62" t="n"/>
      <c r="AL27" s="62" t="n"/>
      <c r="AM27" s="62" t="n"/>
      <c r="AN27" s="62" t="n"/>
      <c r="AO27" s="62" t="n"/>
      <c r="AP27" s="62" t="n"/>
      <c r="AQ27" s="62" t="n"/>
      <c r="AR27" s="62" t="n"/>
      <c r="AS27" s="62" t="n"/>
      <c r="AT27" s="62" t="n"/>
      <c r="AU27" s="62" t="n"/>
      <c r="AV27" s="62" t="n"/>
      <c r="AW27" s="62" t="n"/>
      <c r="AX27" s="62" t="n"/>
      <c r="AY27" s="62" t="n"/>
    </row>
    <row r="28">
      <c r="A28" s="38">
        <f>IF(D28="","",COUNTA($D$9:D28))</f>
        <v/>
      </c>
      <c r="B28" s="52" t="n"/>
      <c r="C28" s="53" t="inlineStr">
        <is>
          <t>마케팅1팀</t>
        </is>
      </c>
      <c r="D28" s="52" t="n"/>
      <c r="E28" s="54" t="n"/>
      <c r="F28" s="52" t="n"/>
      <c r="G28" s="55" t="n"/>
      <c r="H28" s="54" t="n"/>
      <c r="I28" s="54" t="n"/>
      <c r="J28" s="54" t="n"/>
      <c r="K28" s="56">
        <f>IF(SUM(U28:AY28)=0,"",SUM(U28:AY28))</f>
        <v/>
      </c>
      <c r="L28" s="57">
        <f>IFERROR(INDEX(U$2:AY$2,MATCH(TRUE,U28:AY28&lt;&gt;"",0)),"")</f>
        <v/>
      </c>
      <c r="M28" s="58">
        <f>IFERROR(LOOKUP(2,1/(U28:AY28&lt;&gt;""),U$2:AY$2),"")</f>
        <v/>
      </c>
      <c r="N28" s="59">
        <f>IF(OR(G28="",M28=""),"",G28-M28)</f>
        <v/>
      </c>
      <c r="O28" s="60" t="n"/>
      <c r="P28" s="61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  <c r="AG28" s="62" t="n"/>
      <c r="AH28" s="62" t="n"/>
      <c r="AI28" s="62" t="n"/>
      <c r="AJ28" s="62" t="n"/>
      <c r="AK28" s="62" t="n"/>
      <c r="AL28" s="62" t="n"/>
      <c r="AM28" s="62" t="n"/>
      <c r="AN28" s="62" t="n"/>
      <c r="AO28" s="62" t="n"/>
      <c r="AP28" s="62" t="n"/>
      <c r="AQ28" s="62" t="n"/>
      <c r="AR28" s="62" t="n"/>
      <c r="AS28" s="62" t="n"/>
      <c r="AT28" s="62" t="n"/>
      <c r="AU28" s="62" t="n"/>
      <c r="AV28" s="62" t="n"/>
      <c r="AW28" s="62" t="n"/>
      <c r="AX28" s="62" t="n"/>
      <c r="AY28" s="62" t="n"/>
    </row>
    <row r="29">
      <c r="A29" s="38">
        <f>IF(D29="","",COUNTA($D$9:D29))</f>
        <v/>
      </c>
      <c r="B29" s="52" t="n"/>
      <c r="C29" s="53" t="inlineStr">
        <is>
          <t>마케팅1팀</t>
        </is>
      </c>
      <c r="D29" s="52" t="n"/>
      <c r="E29" s="54" t="n"/>
      <c r="F29" s="52" t="n"/>
      <c r="G29" s="55" t="n"/>
      <c r="H29" s="54" t="n"/>
      <c r="I29" s="54" t="n"/>
      <c r="J29" s="54" t="n"/>
      <c r="K29" s="56">
        <f>IF(SUM(U29:AY29)=0,"",SUM(U29:AY29))</f>
        <v/>
      </c>
      <c r="L29" s="57">
        <f>IFERROR(INDEX(U$2:AY$2,MATCH(TRUE,U29:AY29&lt;&gt;"",0)),"")</f>
        <v/>
      </c>
      <c r="M29" s="58">
        <f>IFERROR(LOOKUP(2,1/(U29:AY29&lt;&gt;""),U$2:AY$2),"")</f>
        <v/>
      </c>
      <c r="N29" s="59">
        <f>IF(OR(G29="",M29=""),"",G29-M29)</f>
        <v/>
      </c>
      <c r="O29" s="60" t="n"/>
      <c r="P29" s="61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  <c r="AG29" s="62" t="n"/>
      <c r="AH29" s="62" t="n"/>
      <c r="AI29" s="62" t="n"/>
      <c r="AJ29" s="62" t="n"/>
      <c r="AK29" s="62" t="n"/>
      <c r="AL29" s="62" t="n"/>
      <c r="AM29" s="62" t="n"/>
      <c r="AN29" s="62" t="n"/>
      <c r="AO29" s="62" t="n"/>
      <c r="AP29" s="62" t="n"/>
      <c r="AQ29" s="62" t="n"/>
      <c r="AR29" s="62" t="n"/>
      <c r="AS29" s="62" t="n"/>
      <c r="AT29" s="62" t="n"/>
      <c r="AU29" s="62" t="n"/>
      <c r="AV29" s="62" t="n"/>
      <c r="AW29" s="62" t="n"/>
      <c r="AX29" s="62" t="n"/>
      <c r="AY29" s="62" t="n"/>
    </row>
    <row r="30">
      <c r="A30" s="38">
        <f>IF(D30="","",COUNTA($D$9:D30))</f>
        <v/>
      </c>
      <c r="B30" s="52" t="n"/>
      <c r="C30" s="53" t="inlineStr">
        <is>
          <t>마케팅1팀</t>
        </is>
      </c>
      <c r="D30" s="52" t="n"/>
      <c r="E30" s="54" t="n"/>
      <c r="F30" s="52" t="n"/>
      <c r="G30" s="55" t="n"/>
      <c r="H30" s="54" t="n"/>
      <c r="I30" s="54" t="n"/>
      <c r="J30" s="54" t="n"/>
      <c r="K30" s="56">
        <f>IF(SUM(U30:AY30)=0,"",SUM(U30:AY30))</f>
        <v/>
      </c>
      <c r="L30" s="57">
        <f>IFERROR(INDEX(U$2:AY$2,MATCH(TRUE,U30:AY30&lt;&gt;"",0)),"")</f>
        <v/>
      </c>
      <c r="M30" s="58">
        <f>IFERROR(LOOKUP(2,1/(U30:AY30&lt;&gt;""),U$2:AY$2),"")</f>
        <v/>
      </c>
      <c r="N30" s="59">
        <f>IF(OR(G30="",M30=""),"",G30-M30)</f>
        <v/>
      </c>
      <c r="O30" s="60" t="n"/>
      <c r="P30" s="61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  <c r="AG30" s="62" t="n"/>
      <c r="AH30" s="62" t="n"/>
      <c r="AI30" s="62" t="n"/>
      <c r="AJ30" s="62" t="n"/>
      <c r="AK30" s="62" t="n"/>
      <c r="AL30" s="62" t="n"/>
      <c r="AM30" s="62" t="n"/>
      <c r="AN30" s="62" t="n"/>
      <c r="AO30" s="62" t="n"/>
      <c r="AP30" s="62" t="n"/>
      <c r="AQ30" s="62" t="n"/>
      <c r="AR30" s="62" t="n"/>
      <c r="AS30" s="62" t="n"/>
      <c r="AT30" s="62" t="n"/>
      <c r="AU30" s="62" t="n"/>
      <c r="AV30" s="62" t="n"/>
      <c r="AW30" s="62" t="n"/>
      <c r="AX30" s="62" t="n"/>
      <c r="AY30" s="62" t="n"/>
    </row>
    <row r="31">
      <c r="A31" s="38">
        <f>IF(D31="","",COUNTA($D$9:D31))</f>
        <v/>
      </c>
      <c r="B31" s="52" t="n"/>
      <c r="C31" s="53" t="inlineStr">
        <is>
          <t>마케팅1팀</t>
        </is>
      </c>
      <c r="D31" s="52" t="n"/>
      <c r="E31" s="54" t="n"/>
      <c r="F31" s="52" t="n"/>
      <c r="G31" s="55" t="n"/>
      <c r="H31" s="54" t="n"/>
      <c r="I31" s="54" t="n"/>
      <c r="J31" s="54" t="n"/>
      <c r="K31" s="56">
        <f>IF(SUM(U31:AY31)=0,"",SUM(U31:AY31))</f>
        <v/>
      </c>
      <c r="L31" s="57">
        <f>IFERROR(INDEX(U$2:AY$2,MATCH(TRUE,U31:AY31&lt;&gt;"",0)),"")</f>
        <v/>
      </c>
      <c r="M31" s="58">
        <f>IFERROR(LOOKUP(2,1/(U31:AY31&lt;&gt;""),U$2:AY$2),"")</f>
        <v/>
      </c>
      <c r="N31" s="59">
        <f>IF(OR(G31="",M31=""),"",G31-M31)</f>
        <v/>
      </c>
      <c r="O31" s="60" t="n"/>
      <c r="P31" s="61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  <c r="AG31" s="62" t="n"/>
      <c r="AH31" s="62" t="n"/>
      <c r="AI31" s="62" t="n"/>
      <c r="AJ31" s="62" t="n"/>
      <c r="AK31" s="62" t="n"/>
      <c r="AL31" s="62" t="n"/>
      <c r="AM31" s="62" t="n"/>
      <c r="AN31" s="62" t="n"/>
      <c r="AO31" s="62" t="n"/>
      <c r="AP31" s="62" t="n"/>
      <c r="AQ31" s="62" t="n"/>
      <c r="AR31" s="62" t="n"/>
      <c r="AS31" s="62" t="n"/>
      <c r="AT31" s="62" t="n"/>
      <c r="AU31" s="62" t="n"/>
      <c r="AV31" s="62" t="n"/>
      <c r="AW31" s="62" t="n"/>
      <c r="AX31" s="62" t="n"/>
      <c r="AY31" s="62" t="n"/>
    </row>
    <row r="32">
      <c r="A32" s="38">
        <f>IF(D32="","",COUNTA($D$9:D32))</f>
        <v/>
      </c>
      <c r="B32" s="52" t="n"/>
      <c r="C32" s="53" t="inlineStr">
        <is>
          <t>마케팅1팀</t>
        </is>
      </c>
      <c r="D32" s="52" t="n"/>
      <c r="E32" s="54" t="n"/>
      <c r="F32" s="52" t="n"/>
      <c r="G32" s="55" t="n"/>
      <c r="H32" s="54" t="n"/>
      <c r="I32" s="54" t="n"/>
      <c r="J32" s="54" t="n"/>
      <c r="K32" s="56">
        <f>IF(SUM(U32:AY32)=0,"",SUM(U32:AY32))</f>
        <v/>
      </c>
      <c r="L32" s="57">
        <f>IFERROR(INDEX(U$2:AY$2,MATCH(TRUE,U32:AY32&lt;&gt;"",0)),"")</f>
        <v/>
      </c>
      <c r="M32" s="58">
        <f>IFERROR(LOOKUP(2,1/(U32:AY32&lt;&gt;""),U$2:AY$2),"")</f>
        <v/>
      </c>
      <c r="N32" s="59">
        <f>IF(OR(G32="",M32=""),"",G32-M32)</f>
        <v/>
      </c>
      <c r="O32" s="60" t="n"/>
      <c r="P32" s="61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  <c r="AG32" s="62" t="n"/>
      <c r="AH32" s="62" t="n"/>
      <c r="AI32" s="62" t="n"/>
      <c r="AJ32" s="62" t="n"/>
      <c r="AK32" s="62" t="n"/>
      <c r="AL32" s="62" t="n"/>
      <c r="AM32" s="62" t="n"/>
      <c r="AN32" s="62" t="n"/>
      <c r="AO32" s="62" t="n"/>
      <c r="AP32" s="62" t="n"/>
      <c r="AQ32" s="62" t="n"/>
      <c r="AR32" s="62" t="n"/>
      <c r="AS32" s="62" t="n"/>
      <c r="AT32" s="62" t="n"/>
      <c r="AU32" s="62" t="n"/>
      <c r="AV32" s="62" t="n"/>
      <c r="AW32" s="62" t="n"/>
      <c r="AX32" s="62" t="n"/>
      <c r="AY32" s="62" t="n"/>
    </row>
    <row r="33">
      <c r="A33" s="38">
        <f>IF(D33="","",COUNTA($D$9:D33))</f>
        <v/>
      </c>
      <c r="B33" s="52" t="n"/>
      <c r="C33" s="53" t="inlineStr">
        <is>
          <t>마케팅1팀</t>
        </is>
      </c>
      <c r="D33" s="52" t="n"/>
      <c r="E33" s="54" t="n"/>
      <c r="F33" s="52" t="n"/>
      <c r="G33" s="55" t="n"/>
      <c r="H33" s="54" t="n"/>
      <c r="I33" s="54" t="n"/>
      <c r="J33" s="54" t="n"/>
      <c r="K33" s="56">
        <f>IF(SUM(U33:AY33)=0,"",SUM(U33:AY33))</f>
        <v/>
      </c>
      <c r="L33" s="57">
        <f>IFERROR(INDEX(U$2:AY$2,MATCH(TRUE,U33:AY33&lt;&gt;"",0)),"")</f>
        <v/>
      </c>
      <c r="M33" s="58">
        <f>IFERROR(LOOKUP(2,1/(U33:AY33&lt;&gt;""),U$2:AY$2),"")</f>
        <v/>
      </c>
      <c r="N33" s="59">
        <f>IF(OR(G33="",M33=""),"",G33-M33)</f>
        <v/>
      </c>
      <c r="O33" s="60" t="n"/>
      <c r="P33" s="61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  <c r="AG33" s="62" t="n"/>
      <c r="AH33" s="62" t="n"/>
      <c r="AI33" s="62" t="n"/>
      <c r="AJ33" s="62" t="n"/>
      <c r="AK33" s="62" t="n"/>
      <c r="AL33" s="62" t="n"/>
      <c r="AM33" s="62" t="n"/>
      <c r="AN33" s="62" t="n"/>
      <c r="AO33" s="62" t="n"/>
      <c r="AP33" s="62" t="n"/>
      <c r="AQ33" s="62" t="n"/>
      <c r="AR33" s="62" t="n"/>
      <c r="AS33" s="62" t="n"/>
      <c r="AT33" s="62" t="n"/>
      <c r="AU33" s="62" t="n"/>
      <c r="AV33" s="62" t="n"/>
      <c r="AW33" s="62" t="n"/>
      <c r="AX33" s="62" t="n"/>
      <c r="AY33" s="62" t="n"/>
    </row>
    <row r="34">
      <c r="A34" s="38">
        <f>IF(D34="","",COUNTA($D$9:D34))</f>
        <v/>
      </c>
      <c r="B34" s="52" t="n"/>
      <c r="C34" s="53" t="inlineStr">
        <is>
          <t>마케팅1팀</t>
        </is>
      </c>
      <c r="D34" s="52" t="n"/>
      <c r="E34" s="54" t="n"/>
      <c r="F34" s="52" t="n"/>
      <c r="G34" s="55" t="n"/>
      <c r="H34" s="54" t="n"/>
      <c r="I34" s="54" t="n"/>
      <c r="J34" s="54" t="n"/>
      <c r="K34" s="56">
        <f>IF(SUM(U34:AY34)=0,"",SUM(U34:AY34))</f>
        <v/>
      </c>
      <c r="L34" s="57">
        <f>IFERROR(INDEX(U$2:AY$2,MATCH(TRUE,U34:AY34&lt;&gt;"",0)),"")</f>
        <v/>
      </c>
      <c r="M34" s="58">
        <f>IFERROR(LOOKUP(2,1/(U34:AY34&lt;&gt;""),U$2:AY$2),"")</f>
        <v/>
      </c>
      <c r="N34" s="59">
        <f>IF(OR(G34="",M34=""),"",G34-M34)</f>
        <v/>
      </c>
      <c r="O34" s="60" t="n"/>
      <c r="P34" s="61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  <c r="AG34" s="62" t="n"/>
      <c r="AH34" s="62" t="n"/>
      <c r="AI34" s="62" t="n"/>
      <c r="AJ34" s="62" t="n"/>
      <c r="AK34" s="62" t="n"/>
      <c r="AL34" s="62" t="n"/>
      <c r="AM34" s="62" t="n"/>
      <c r="AN34" s="62" t="n"/>
      <c r="AO34" s="62" t="n"/>
      <c r="AP34" s="62" t="n"/>
      <c r="AQ34" s="62" t="n"/>
      <c r="AR34" s="62" t="n"/>
      <c r="AS34" s="62" t="n"/>
      <c r="AT34" s="62" t="n"/>
      <c r="AU34" s="62" t="n"/>
      <c r="AV34" s="62" t="n"/>
      <c r="AW34" s="62" t="n"/>
      <c r="AX34" s="62" t="n"/>
      <c r="AY34" s="62" t="n"/>
    </row>
    <row r="35">
      <c r="A35" s="38">
        <f>IF(D35="","",COUNTA($D$9:D35))</f>
        <v/>
      </c>
      <c r="B35" s="52" t="n"/>
      <c r="C35" s="53" t="inlineStr">
        <is>
          <t>마케팅1팀</t>
        </is>
      </c>
      <c r="D35" s="52" t="n"/>
      <c r="E35" s="54" t="n"/>
      <c r="F35" s="52" t="n"/>
      <c r="G35" s="55" t="n"/>
      <c r="H35" s="54" t="n"/>
      <c r="I35" s="54" t="n"/>
      <c r="J35" s="54" t="n"/>
      <c r="K35" s="56">
        <f>IF(SUM(U35:AY35)=0,"",SUM(U35:AY35))</f>
        <v/>
      </c>
      <c r="L35" s="57">
        <f>IFERROR(INDEX(U$2:AY$2,MATCH(TRUE,U35:AY35&lt;&gt;"",0)),"")</f>
        <v/>
      </c>
      <c r="M35" s="58">
        <f>IFERROR(LOOKUP(2,1/(U35:AY35&lt;&gt;""),U$2:AY$2),"")</f>
        <v/>
      </c>
      <c r="N35" s="59">
        <f>IF(OR(G35="",M35=""),"",G35-M35)</f>
        <v/>
      </c>
      <c r="O35" s="60" t="n"/>
      <c r="P35" s="61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  <c r="AG35" s="62" t="n"/>
      <c r="AH35" s="62" t="n"/>
      <c r="AI35" s="62" t="n"/>
      <c r="AJ35" s="62" t="n"/>
      <c r="AK35" s="62" t="n"/>
      <c r="AL35" s="62" t="n"/>
      <c r="AM35" s="62" t="n"/>
      <c r="AN35" s="62" t="n"/>
      <c r="AO35" s="62" t="n"/>
      <c r="AP35" s="62" t="n"/>
      <c r="AQ35" s="62" t="n"/>
      <c r="AR35" s="62" t="n"/>
      <c r="AS35" s="62" t="n"/>
      <c r="AT35" s="62" t="n"/>
      <c r="AU35" s="62" t="n"/>
      <c r="AV35" s="62" t="n"/>
      <c r="AW35" s="62" t="n"/>
      <c r="AX35" s="62" t="n"/>
      <c r="AY35" s="62" t="n"/>
    </row>
    <row r="36">
      <c r="A36" s="38">
        <f>IF(D36="","",COUNTA($D$9:D36))</f>
        <v/>
      </c>
      <c r="B36" s="52" t="n"/>
      <c r="C36" s="53" t="inlineStr">
        <is>
          <t>마케팅1팀</t>
        </is>
      </c>
      <c r="D36" s="52" t="n"/>
      <c r="E36" s="54" t="n"/>
      <c r="F36" s="52" t="n"/>
      <c r="G36" s="55" t="n"/>
      <c r="H36" s="54" t="n"/>
      <c r="I36" s="54" t="n"/>
      <c r="J36" s="54" t="n"/>
      <c r="K36" s="56">
        <f>IF(SUM(U36:AY36)=0,"",SUM(U36:AY36))</f>
        <v/>
      </c>
      <c r="L36" s="57">
        <f>IFERROR(INDEX(U$2:AY$2,MATCH(TRUE,U36:AY36&lt;&gt;"",0)),"")</f>
        <v/>
      </c>
      <c r="M36" s="58">
        <f>IFERROR(LOOKUP(2,1/(U36:AY36&lt;&gt;""),U$2:AY$2),"")</f>
        <v/>
      </c>
      <c r="N36" s="59">
        <f>IF(OR(G36="",M36=""),"",G36-M36)</f>
        <v/>
      </c>
      <c r="O36" s="60" t="n"/>
      <c r="P36" s="61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  <c r="AG36" s="62" t="n"/>
      <c r="AH36" s="62" t="n"/>
      <c r="AI36" s="62" t="n"/>
      <c r="AJ36" s="62" t="n"/>
      <c r="AK36" s="62" t="n"/>
      <c r="AL36" s="62" t="n"/>
      <c r="AM36" s="62" t="n"/>
      <c r="AN36" s="62" t="n"/>
      <c r="AO36" s="62" t="n"/>
      <c r="AP36" s="62" t="n"/>
      <c r="AQ36" s="62" t="n"/>
      <c r="AR36" s="62" t="n"/>
      <c r="AS36" s="62" t="n"/>
      <c r="AT36" s="62" t="n"/>
      <c r="AU36" s="62" t="n"/>
      <c r="AV36" s="62" t="n"/>
      <c r="AW36" s="62" t="n"/>
      <c r="AX36" s="62" t="n"/>
      <c r="AY36" s="62" t="n"/>
    </row>
    <row r="37">
      <c r="A37" s="38">
        <f>IF(D37="","",COUNTA($D$9:D37))</f>
        <v/>
      </c>
      <c r="B37" s="52" t="n"/>
      <c r="C37" s="53" t="inlineStr">
        <is>
          <t>마케팅1팀</t>
        </is>
      </c>
      <c r="D37" s="52" t="n"/>
      <c r="E37" s="54" t="n"/>
      <c r="F37" s="52" t="n"/>
      <c r="G37" s="55" t="n"/>
      <c r="H37" s="54" t="n"/>
      <c r="I37" s="54" t="n"/>
      <c r="J37" s="54" t="n"/>
      <c r="K37" s="56">
        <f>IF(SUM(U37:AY37)=0,"",SUM(U37:AY37))</f>
        <v/>
      </c>
      <c r="L37" s="57">
        <f>IFERROR(INDEX(U$2:AY$2,MATCH(TRUE,U37:AY37&lt;&gt;"",0)),"")</f>
        <v/>
      </c>
      <c r="M37" s="58">
        <f>IFERROR(LOOKUP(2,1/(U37:AY37&lt;&gt;""),U$2:AY$2),"")</f>
        <v/>
      </c>
      <c r="N37" s="59">
        <f>IF(OR(G37="",M37=""),"",G37-M37)</f>
        <v/>
      </c>
      <c r="O37" s="60" t="n"/>
      <c r="P37" s="61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  <c r="AG37" s="62" t="n"/>
      <c r="AH37" s="62" t="n"/>
      <c r="AI37" s="62" t="n"/>
      <c r="AJ37" s="62" t="n"/>
      <c r="AK37" s="62" t="n"/>
      <c r="AL37" s="62" t="n"/>
      <c r="AM37" s="62" t="n"/>
      <c r="AN37" s="62" t="n"/>
      <c r="AO37" s="62" t="n"/>
      <c r="AP37" s="62" t="n"/>
      <c r="AQ37" s="62" t="n"/>
      <c r="AR37" s="62" t="n"/>
      <c r="AS37" s="62" t="n"/>
      <c r="AT37" s="62" t="n"/>
      <c r="AU37" s="62" t="n"/>
      <c r="AV37" s="62" t="n"/>
      <c r="AW37" s="62" t="n"/>
      <c r="AX37" s="62" t="n"/>
      <c r="AY37" s="62" t="n"/>
    </row>
    <row r="38">
      <c r="A38" s="38">
        <f>IF(D38="","",COUNTA($D$9:D38))</f>
        <v/>
      </c>
      <c r="B38" s="52" t="n"/>
      <c r="C38" s="53" t="inlineStr">
        <is>
          <t>마케팅1팀</t>
        </is>
      </c>
      <c r="D38" s="52" t="n"/>
      <c r="E38" s="54" t="n"/>
      <c r="F38" s="52" t="n"/>
      <c r="G38" s="55" t="n"/>
      <c r="H38" s="54" t="n"/>
      <c r="I38" s="54" t="n"/>
      <c r="J38" s="54" t="n"/>
      <c r="K38" s="56">
        <f>IF(SUM(U38:AY38)=0,"",SUM(U38:AY38))</f>
        <v/>
      </c>
      <c r="L38" s="57">
        <f>IFERROR(INDEX(U$2:AY$2,MATCH(TRUE,U38:AY38&lt;&gt;"",0)),"")</f>
        <v/>
      </c>
      <c r="M38" s="58">
        <f>IFERROR(LOOKUP(2,1/(U38:AY38&lt;&gt;""),U$2:AY$2),"")</f>
        <v/>
      </c>
      <c r="N38" s="59">
        <f>IF(OR(G38="",M38=""),"",G38-M38)</f>
        <v/>
      </c>
      <c r="O38" s="60" t="n"/>
      <c r="P38" s="61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  <c r="AG38" s="62" t="n"/>
      <c r="AH38" s="62" t="n"/>
      <c r="AI38" s="62" t="n"/>
      <c r="AJ38" s="62" t="n"/>
      <c r="AK38" s="62" t="n"/>
      <c r="AL38" s="62" t="n"/>
      <c r="AM38" s="62" t="n"/>
      <c r="AN38" s="62" t="n"/>
      <c r="AO38" s="62" t="n"/>
      <c r="AP38" s="62" t="n"/>
      <c r="AQ38" s="62" t="n"/>
      <c r="AR38" s="62" t="n"/>
      <c r="AS38" s="62" t="n"/>
      <c r="AT38" s="62" t="n"/>
      <c r="AU38" s="62" t="n"/>
      <c r="AV38" s="62" t="n"/>
      <c r="AW38" s="62" t="n"/>
      <c r="AX38" s="62" t="n"/>
      <c r="AY38" s="62" t="n"/>
    </row>
    <row r="39">
      <c r="A39" s="63" t="inlineStr">
        <is>
          <t>마케팅2팀  (40~69행)</t>
        </is>
      </c>
      <c r="U39" s="64" t="n"/>
      <c r="V39" s="64" t="n"/>
      <c r="W39" s="64" t="n"/>
      <c r="X39" s="64" t="n"/>
      <c r="Y39" s="64" t="n"/>
      <c r="Z39" s="64" t="n"/>
      <c r="AA39" s="64" t="n"/>
      <c r="AB39" s="64" t="n"/>
      <c r="AC39" s="64" t="n"/>
      <c r="AD39" s="64" t="n"/>
      <c r="AE39" s="64" t="n"/>
      <c r="AF39" s="64" t="n"/>
      <c r="AG39" s="64" t="n"/>
      <c r="AH39" s="64" t="n"/>
      <c r="AI39" s="64" t="n"/>
      <c r="AJ39" s="64" t="n"/>
      <c r="AK39" s="64" t="n"/>
      <c r="AL39" s="64" t="n"/>
      <c r="AM39" s="64" t="n"/>
      <c r="AN39" s="64" t="n"/>
      <c r="AO39" s="64" t="n"/>
      <c r="AP39" s="64" t="n"/>
      <c r="AQ39" s="64" t="n"/>
      <c r="AR39" s="64" t="n"/>
      <c r="AS39" s="64" t="n"/>
      <c r="AT39" s="64" t="n"/>
      <c r="AU39" s="64" t="n"/>
      <c r="AV39" s="64" t="n"/>
      <c r="AW39" s="64" t="n"/>
      <c r="AX39" s="64" t="n"/>
      <c r="AY39" s="64" t="n"/>
    </row>
    <row r="40">
      <c r="A40" s="38">
        <f>IF(D40="","",COUNTA($D$40:D40))</f>
        <v/>
      </c>
      <c r="B40" s="52" t="n"/>
      <c r="C40" s="65" t="inlineStr">
        <is>
          <t>마케팅2팀</t>
        </is>
      </c>
      <c r="D40" s="52" t="n"/>
      <c r="E40" s="54" t="n"/>
      <c r="F40" s="52" t="n"/>
      <c r="G40" s="55" t="n"/>
      <c r="H40" s="54" t="n"/>
      <c r="I40" s="54" t="n"/>
      <c r="J40" s="54" t="n"/>
      <c r="K40" s="56">
        <f>IF(SUM(U40:AY40)=0,"",SUM(U40:AY40))</f>
        <v/>
      </c>
      <c r="L40" s="57">
        <f>IFERROR(INDEX(U$2:AY$2,MATCH(TRUE,U40:AY40&lt;&gt;"",0)),"")</f>
        <v/>
      </c>
      <c r="M40" s="58">
        <f>IFERROR(LOOKUP(2,1/(U40:AY40&lt;&gt;""),U$2:AY$2),"")</f>
        <v/>
      </c>
      <c r="N40" s="59">
        <f>IF(OR(G40="",M40=""),"",G40-M40)</f>
        <v/>
      </c>
      <c r="O40" s="60" t="n"/>
      <c r="P40" s="61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  <c r="AG40" s="62" t="n"/>
      <c r="AH40" s="62" t="n"/>
      <c r="AI40" s="62" t="n"/>
      <c r="AJ40" s="62" t="n"/>
      <c r="AK40" s="62" t="n"/>
      <c r="AL40" s="62" t="n"/>
      <c r="AM40" s="62" t="n"/>
      <c r="AN40" s="62" t="n"/>
      <c r="AO40" s="62" t="n"/>
      <c r="AP40" s="62" t="n"/>
      <c r="AQ40" s="62" t="n"/>
      <c r="AR40" s="62" t="n"/>
      <c r="AS40" s="62" t="n"/>
      <c r="AT40" s="62" t="n"/>
      <c r="AU40" s="62" t="n"/>
      <c r="AV40" s="62" t="n"/>
      <c r="AW40" s="62" t="n"/>
      <c r="AX40" s="62" t="n"/>
      <c r="AY40" s="62" t="n"/>
    </row>
    <row r="41">
      <c r="A41" s="38">
        <f>IF(D41="","",COUNTA($D$40:D41))</f>
        <v/>
      </c>
      <c r="B41" s="52" t="n"/>
      <c r="C41" s="65" t="inlineStr">
        <is>
          <t>마케팅2팀</t>
        </is>
      </c>
      <c r="D41" s="52" t="n"/>
      <c r="E41" s="54" t="n"/>
      <c r="F41" s="52" t="n"/>
      <c r="G41" s="55" t="n"/>
      <c r="H41" s="54" t="n"/>
      <c r="I41" s="54" t="n"/>
      <c r="J41" s="54" t="n"/>
      <c r="K41" s="56">
        <f>IF(SUM(U41:AY41)=0,"",SUM(U41:AY41))</f>
        <v/>
      </c>
      <c r="L41" s="57">
        <f>IFERROR(INDEX(U$2:AY$2,MATCH(TRUE,U41:AY41&lt;&gt;"",0)),"")</f>
        <v/>
      </c>
      <c r="M41" s="58">
        <f>IFERROR(LOOKUP(2,1/(U41:AY41&lt;&gt;""),U$2:AY$2),"")</f>
        <v/>
      </c>
      <c r="N41" s="59">
        <f>IF(OR(G41="",M41=""),"",G41-M41)</f>
        <v/>
      </c>
      <c r="O41" s="60" t="n"/>
      <c r="P41" s="61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  <c r="AG41" s="62" t="n"/>
      <c r="AH41" s="62" t="n"/>
      <c r="AI41" s="62" t="n"/>
      <c r="AJ41" s="62" t="n"/>
      <c r="AK41" s="62" t="n"/>
      <c r="AL41" s="62" t="n"/>
      <c r="AM41" s="62" t="n"/>
      <c r="AN41" s="62" t="n"/>
      <c r="AO41" s="62" t="n"/>
      <c r="AP41" s="62" t="n"/>
      <c r="AQ41" s="62" t="n"/>
      <c r="AR41" s="62" t="n"/>
      <c r="AS41" s="62" t="n"/>
      <c r="AT41" s="62" t="n"/>
      <c r="AU41" s="62" t="n"/>
      <c r="AV41" s="62" t="n"/>
      <c r="AW41" s="62" t="n"/>
      <c r="AX41" s="62" t="n"/>
      <c r="AY41" s="62" t="n"/>
    </row>
    <row r="42">
      <c r="A42" s="38">
        <f>IF(D42="","",COUNTA($D$40:D42))</f>
        <v/>
      </c>
      <c r="B42" s="52" t="n"/>
      <c r="C42" s="65" t="inlineStr">
        <is>
          <t>마케팅2팀</t>
        </is>
      </c>
      <c r="D42" s="52" t="n"/>
      <c r="E42" s="54" t="n"/>
      <c r="F42" s="52" t="n"/>
      <c r="G42" s="55" t="n"/>
      <c r="H42" s="54" t="n"/>
      <c r="I42" s="54" t="n"/>
      <c r="J42" s="54" t="n"/>
      <c r="K42" s="56">
        <f>IF(SUM(U42:AY42)=0,"",SUM(U42:AY42))</f>
        <v/>
      </c>
      <c r="L42" s="57">
        <f>IFERROR(INDEX(U$2:AY$2,MATCH(TRUE,U42:AY42&lt;&gt;"",0)),"")</f>
        <v/>
      </c>
      <c r="M42" s="58">
        <f>IFERROR(LOOKUP(2,1/(U42:AY42&lt;&gt;""),U$2:AY$2),"")</f>
        <v/>
      </c>
      <c r="N42" s="59">
        <f>IF(OR(G42="",M42=""),"",G42-M42)</f>
        <v/>
      </c>
      <c r="O42" s="60" t="n"/>
      <c r="P42" s="61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  <c r="AG42" s="62" t="n"/>
      <c r="AH42" s="62" t="n"/>
      <c r="AI42" s="62" t="n"/>
      <c r="AJ42" s="62" t="n"/>
      <c r="AK42" s="62" t="n"/>
      <c r="AL42" s="62" t="n"/>
      <c r="AM42" s="62" t="n"/>
      <c r="AN42" s="62" t="n"/>
      <c r="AO42" s="62" t="n"/>
      <c r="AP42" s="62" t="n"/>
      <c r="AQ42" s="62" t="n"/>
      <c r="AR42" s="62" t="n"/>
      <c r="AS42" s="62" t="n"/>
      <c r="AT42" s="62" t="n"/>
      <c r="AU42" s="62" t="n"/>
      <c r="AV42" s="62" t="n"/>
      <c r="AW42" s="62" t="n"/>
      <c r="AX42" s="62" t="n"/>
      <c r="AY42" s="62" t="n"/>
    </row>
    <row r="43">
      <c r="A43" s="38">
        <f>IF(D43="","",COUNTA($D$40:D43))</f>
        <v/>
      </c>
      <c r="B43" s="52" t="n"/>
      <c r="C43" s="65" t="inlineStr">
        <is>
          <t>마케팅2팀</t>
        </is>
      </c>
      <c r="D43" s="52" t="n"/>
      <c r="E43" s="54" t="n"/>
      <c r="F43" s="52" t="n"/>
      <c r="G43" s="55" t="n"/>
      <c r="H43" s="54" t="n"/>
      <c r="I43" s="54" t="n"/>
      <c r="J43" s="54" t="n"/>
      <c r="K43" s="56">
        <f>IF(SUM(U43:AY43)=0,"",SUM(U43:AY43))</f>
        <v/>
      </c>
      <c r="L43" s="57">
        <f>IFERROR(INDEX(U$2:AY$2,MATCH(TRUE,U43:AY43&lt;&gt;"",0)),"")</f>
        <v/>
      </c>
      <c r="M43" s="58">
        <f>IFERROR(LOOKUP(2,1/(U43:AY43&lt;&gt;""),U$2:AY$2),"")</f>
        <v/>
      </c>
      <c r="N43" s="59">
        <f>IF(OR(G43="",M43=""),"",G43-M43)</f>
        <v/>
      </c>
      <c r="O43" s="60" t="n"/>
      <c r="P43" s="61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  <c r="AG43" s="62" t="n"/>
      <c r="AH43" s="62" t="n"/>
      <c r="AI43" s="62" t="n"/>
      <c r="AJ43" s="62" t="n"/>
      <c r="AK43" s="62" t="n"/>
      <c r="AL43" s="62" t="n"/>
      <c r="AM43" s="62" t="n"/>
      <c r="AN43" s="62" t="n"/>
      <c r="AO43" s="62" t="n"/>
      <c r="AP43" s="62" t="n"/>
      <c r="AQ43" s="62" t="n"/>
      <c r="AR43" s="62" t="n"/>
      <c r="AS43" s="62" t="n"/>
      <c r="AT43" s="62" t="n"/>
      <c r="AU43" s="62" t="n"/>
      <c r="AV43" s="62" t="n"/>
      <c r="AW43" s="62" t="n"/>
      <c r="AX43" s="62" t="n"/>
      <c r="AY43" s="62" t="n"/>
    </row>
    <row r="44">
      <c r="A44" s="38">
        <f>IF(D44="","",COUNTA($D$40:D44))</f>
        <v/>
      </c>
      <c r="B44" s="52" t="n"/>
      <c r="C44" s="65" t="inlineStr">
        <is>
          <t>마케팅2팀</t>
        </is>
      </c>
      <c r="D44" s="52" t="n"/>
      <c r="E44" s="54" t="n"/>
      <c r="F44" s="52" t="n"/>
      <c r="G44" s="55" t="n"/>
      <c r="H44" s="54" t="n"/>
      <c r="I44" s="54" t="n"/>
      <c r="J44" s="54" t="n"/>
      <c r="K44" s="56">
        <f>IF(SUM(U44:AY44)=0,"",SUM(U44:AY44))</f>
        <v/>
      </c>
      <c r="L44" s="57">
        <f>IFERROR(INDEX(U$2:AY$2,MATCH(TRUE,U44:AY44&lt;&gt;"",0)),"")</f>
        <v/>
      </c>
      <c r="M44" s="58">
        <f>IFERROR(LOOKUP(2,1/(U44:AY44&lt;&gt;""),U$2:AY$2),"")</f>
        <v/>
      </c>
      <c r="N44" s="59">
        <f>IF(OR(G44="",M44=""),"",G44-M44)</f>
        <v/>
      </c>
      <c r="O44" s="60" t="n"/>
      <c r="P44" s="61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  <c r="AG44" s="62" t="n"/>
      <c r="AH44" s="62" t="n"/>
      <c r="AI44" s="62" t="n"/>
      <c r="AJ44" s="62" t="n"/>
      <c r="AK44" s="62" t="n"/>
      <c r="AL44" s="62" t="n"/>
      <c r="AM44" s="62" t="n"/>
      <c r="AN44" s="62" t="n"/>
      <c r="AO44" s="62" t="n"/>
      <c r="AP44" s="62" t="n"/>
      <c r="AQ44" s="62" t="n"/>
      <c r="AR44" s="62" t="n"/>
      <c r="AS44" s="62" t="n"/>
      <c r="AT44" s="62" t="n"/>
      <c r="AU44" s="62" t="n"/>
      <c r="AV44" s="62" t="n"/>
      <c r="AW44" s="62" t="n"/>
      <c r="AX44" s="62" t="n"/>
      <c r="AY44" s="62" t="n"/>
    </row>
    <row r="45">
      <c r="A45" s="38">
        <f>IF(D45="","",COUNTA($D$40:D45))</f>
        <v/>
      </c>
      <c r="B45" s="52" t="n"/>
      <c r="C45" s="65" t="inlineStr">
        <is>
          <t>마케팅2팀</t>
        </is>
      </c>
      <c r="D45" s="52" t="n"/>
      <c r="E45" s="54" t="n"/>
      <c r="F45" s="52" t="n"/>
      <c r="G45" s="55" t="n"/>
      <c r="H45" s="54" t="n"/>
      <c r="I45" s="54" t="n"/>
      <c r="J45" s="54" t="n"/>
      <c r="K45" s="56">
        <f>IF(SUM(U45:AY45)=0,"",SUM(U45:AY45))</f>
        <v/>
      </c>
      <c r="L45" s="57">
        <f>IFERROR(INDEX(U$2:AY$2,MATCH(TRUE,U45:AY45&lt;&gt;"",0)),"")</f>
        <v/>
      </c>
      <c r="M45" s="58">
        <f>IFERROR(LOOKUP(2,1/(U45:AY45&lt;&gt;""),U$2:AY$2),"")</f>
        <v/>
      </c>
      <c r="N45" s="59">
        <f>IF(OR(G45="",M45=""),"",G45-M45)</f>
        <v/>
      </c>
      <c r="O45" s="60" t="n"/>
      <c r="P45" s="61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  <c r="AG45" s="62" t="n"/>
      <c r="AH45" s="62" t="n"/>
      <c r="AI45" s="62" t="n"/>
      <c r="AJ45" s="62" t="n"/>
      <c r="AK45" s="62" t="n"/>
      <c r="AL45" s="62" t="n"/>
      <c r="AM45" s="62" t="n"/>
      <c r="AN45" s="62" t="n"/>
      <c r="AO45" s="62" t="n"/>
      <c r="AP45" s="62" t="n"/>
      <c r="AQ45" s="62" t="n"/>
      <c r="AR45" s="62" t="n"/>
      <c r="AS45" s="62" t="n"/>
      <c r="AT45" s="62" t="n"/>
      <c r="AU45" s="62" t="n"/>
      <c r="AV45" s="62" t="n"/>
      <c r="AW45" s="62" t="n"/>
      <c r="AX45" s="62" t="n"/>
      <c r="AY45" s="62" t="n"/>
    </row>
    <row r="46">
      <c r="A46" s="38">
        <f>IF(D46="","",COUNTA($D$40:D46))</f>
        <v/>
      </c>
      <c r="B46" s="52" t="n"/>
      <c r="C46" s="65" t="inlineStr">
        <is>
          <t>마케팅2팀</t>
        </is>
      </c>
      <c r="D46" s="52" t="n"/>
      <c r="E46" s="54" t="n"/>
      <c r="F46" s="52" t="n"/>
      <c r="G46" s="55" t="n"/>
      <c r="H46" s="54" t="n"/>
      <c r="I46" s="54" t="n"/>
      <c r="J46" s="54" t="n"/>
      <c r="K46" s="56">
        <f>IF(SUM(U46:AY46)=0,"",SUM(U46:AY46))</f>
        <v/>
      </c>
      <c r="L46" s="57">
        <f>IFERROR(INDEX(U$2:AY$2,MATCH(TRUE,U46:AY46&lt;&gt;"",0)),"")</f>
        <v/>
      </c>
      <c r="M46" s="58">
        <f>IFERROR(LOOKUP(2,1/(U46:AY46&lt;&gt;""),U$2:AY$2),"")</f>
        <v/>
      </c>
      <c r="N46" s="59">
        <f>IF(OR(G46="",M46=""),"",G46-M46)</f>
        <v/>
      </c>
      <c r="O46" s="60" t="n"/>
      <c r="P46" s="61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  <c r="AG46" s="62" t="n"/>
      <c r="AH46" s="62" t="n"/>
      <c r="AI46" s="62" t="n"/>
      <c r="AJ46" s="62" t="n"/>
      <c r="AK46" s="62" t="n"/>
      <c r="AL46" s="62" t="n"/>
      <c r="AM46" s="62" t="n"/>
      <c r="AN46" s="62" t="n"/>
      <c r="AO46" s="62" t="n"/>
      <c r="AP46" s="62" t="n"/>
      <c r="AQ46" s="62" t="n"/>
      <c r="AR46" s="62" t="n"/>
      <c r="AS46" s="62" t="n"/>
      <c r="AT46" s="62" t="n"/>
      <c r="AU46" s="62" t="n"/>
      <c r="AV46" s="62" t="n"/>
      <c r="AW46" s="62" t="n"/>
      <c r="AX46" s="62" t="n"/>
      <c r="AY46" s="62" t="n"/>
    </row>
    <row r="47">
      <c r="A47" s="38">
        <f>IF(D47="","",COUNTA($D$40:D47))</f>
        <v/>
      </c>
      <c r="B47" s="52" t="n"/>
      <c r="C47" s="65" t="inlineStr">
        <is>
          <t>마케팅2팀</t>
        </is>
      </c>
      <c r="D47" s="52" t="n"/>
      <c r="E47" s="54" t="n"/>
      <c r="F47" s="52" t="n"/>
      <c r="G47" s="55" t="n"/>
      <c r="H47" s="54" t="n"/>
      <c r="I47" s="54" t="n"/>
      <c r="J47" s="54" t="n"/>
      <c r="K47" s="56">
        <f>IF(SUM(U47:AY47)=0,"",SUM(U47:AY47))</f>
        <v/>
      </c>
      <c r="L47" s="57">
        <f>IFERROR(INDEX(U$2:AY$2,MATCH(TRUE,U47:AY47&lt;&gt;"",0)),"")</f>
        <v/>
      </c>
      <c r="M47" s="58">
        <f>IFERROR(LOOKUP(2,1/(U47:AY47&lt;&gt;""),U$2:AY$2),"")</f>
        <v/>
      </c>
      <c r="N47" s="59">
        <f>IF(OR(G47="",M47=""),"",G47-M47)</f>
        <v/>
      </c>
      <c r="O47" s="60" t="n"/>
      <c r="P47" s="61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  <c r="AG47" s="62" t="n"/>
      <c r="AH47" s="62" t="n"/>
      <c r="AI47" s="62" t="n"/>
      <c r="AJ47" s="62" t="n"/>
      <c r="AK47" s="62" t="n"/>
      <c r="AL47" s="62" t="n"/>
      <c r="AM47" s="62" t="n"/>
      <c r="AN47" s="62" t="n"/>
      <c r="AO47" s="62" t="n"/>
      <c r="AP47" s="62" t="n"/>
      <c r="AQ47" s="62" t="n"/>
      <c r="AR47" s="62" t="n"/>
      <c r="AS47" s="62" t="n"/>
      <c r="AT47" s="62" t="n"/>
      <c r="AU47" s="62" t="n"/>
      <c r="AV47" s="62" t="n"/>
      <c r="AW47" s="62" t="n"/>
      <c r="AX47" s="62" t="n"/>
      <c r="AY47" s="62" t="n"/>
    </row>
    <row r="48">
      <c r="A48" s="38">
        <f>IF(D48="","",COUNTA($D$40:D48))</f>
        <v/>
      </c>
      <c r="B48" s="52" t="n"/>
      <c r="C48" s="65" t="inlineStr">
        <is>
          <t>마케팅2팀</t>
        </is>
      </c>
      <c r="D48" s="52" t="n"/>
      <c r="E48" s="54" t="n"/>
      <c r="F48" s="52" t="n"/>
      <c r="G48" s="55" t="n"/>
      <c r="H48" s="54" t="n"/>
      <c r="I48" s="54" t="n"/>
      <c r="J48" s="54" t="n"/>
      <c r="K48" s="56">
        <f>IF(SUM(U48:AY48)=0,"",SUM(U48:AY48))</f>
        <v/>
      </c>
      <c r="L48" s="57">
        <f>IFERROR(INDEX(U$2:AY$2,MATCH(TRUE,U48:AY48&lt;&gt;"",0)),"")</f>
        <v/>
      </c>
      <c r="M48" s="58">
        <f>IFERROR(LOOKUP(2,1/(U48:AY48&lt;&gt;""),U$2:AY$2),"")</f>
        <v/>
      </c>
      <c r="N48" s="59">
        <f>IF(OR(G48="",M48=""),"",G48-M48)</f>
        <v/>
      </c>
      <c r="O48" s="60" t="n"/>
      <c r="P48" s="61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  <c r="AG48" s="62" t="n"/>
      <c r="AH48" s="62" t="n"/>
      <c r="AI48" s="62" t="n"/>
      <c r="AJ48" s="62" t="n"/>
      <c r="AK48" s="62" t="n"/>
      <c r="AL48" s="62" t="n"/>
      <c r="AM48" s="62" t="n"/>
      <c r="AN48" s="62" t="n"/>
      <c r="AO48" s="62" t="n"/>
      <c r="AP48" s="62" t="n"/>
      <c r="AQ48" s="62" t="n"/>
      <c r="AR48" s="62" t="n"/>
      <c r="AS48" s="62" t="n"/>
      <c r="AT48" s="62" t="n"/>
      <c r="AU48" s="62" t="n"/>
      <c r="AV48" s="62" t="n"/>
      <c r="AW48" s="62" t="n"/>
      <c r="AX48" s="62" t="n"/>
      <c r="AY48" s="62" t="n"/>
    </row>
    <row r="49">
      <c r="A49" s="38">
        <f>IF(D49="","",COUNTA($D$40:D49))</f>
        <v/>
      </c>
      <c r="B49" s="52" t="n"/>
      <c r="C49" s="65" t="inlineStr">
        <is>
          <t>마케팅2팀</t>
        </is>
      </c>
      <c r="D49" s="52" t="n"/>
      <c r="E49" s="54" t="n"/>
      <c r="F49" s="52" t="n"/>
      <c r="G49" s="55" t="n"/>
      <c r="H49" s="54" t="n"/>
      <c r="I49" s="54" t="n"/>
      <c r="J49" s="54" t="n"/>
      <c r="K49" s="56">
        <f>IF(SUM(U49:AY49)=0,"",SUM(U49:AY49))</f>
        <v/>
      </c>
      <c r="L49" s="57">
        <f>IFERROR(INDEX(U$2:AY$2,MATCH(TRUE,U49:AY49&lt;&gt;"",0)),"")</f>
        <v/>
      </c>
      <c r="M49" s="58">
        <f>IFERROR(LOOKUP(2,1/(U49:AY49&lt;&gt;""),U$2:AY$2),"")</f>
        <v/>
      </c>
      <c r="N49" s="59">
        <f>IF(OR(G49="",M49=""),"",G49-M49)</f>
        <v/>
      </c>
      <c r="O49" s="60" t="n"/>
      <c r="P49" s="61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  <c r="AG49" s="62" t="n"/>
      <c r="AH49" s="62" t="n"/>
      <c r="AI49" s="62" t="n"/>
      <c r="AJ49" s="62" t="n"/>
      <c r="AK49" s="62" t="n"/>
      <c r="AL49" s="62" t="n"/>
      <c r="AM49" s="62" t="n"/>
      <c r="AN49" s="62" t="n"/>
      <c r="AO49" s="62" t="n"/>
      <c r="AP49" s="62" t="n"/>
      <c r="AQ49" s="62" t="n"/>
      <c r="AR49" s="62" t="n"/>
      <c r="AS49" s="62" t="n"/>
      <c r="AT49" s="62" t="n"/>
      <c r="AU49" s="62" t="n"/>
      <c r="AV49" s="62" t="n"/>
      <c r="AW49" s="62" t="n"/>
      <c r="AX49" s="62" t="n"/>
      <c r="AY49" s="62" t="n"/>
    </row>
    <row r="50">
      <c r="A50" s="38">
        <f>IF(D50="","",COUNTA($D$40:D50))</f>
        <v/>
      </c>
      <c r="B50" s="52" t="n"/>
      <c r="C50" s="65" t="inlineStr">
        <is>
          <t>마케팅2팀</t>
        </is>
      </c>
      <c r="D50" s="52" t="n"/>
      <c r="E50" s="54" t="n"/>
      <c r="F50" s="52" t="n"/>
      <c r="G50" s="55" t="n"/>
      <c r="H50" s="54" t="n"/>
      <c r="I50" s="54" t="n"/>
      <c r="J50" s="54" t="n"/>
      <c r="K50" s="56">
        <f>IF(SUM(U50:AY50)=0,"",SUM(U50:AY50))</f>
        <v/>
      </c>
      <c r="L50" s="57">
        <f>IFERROR(INDEX(U$2:AY$2,MATCH(TRUE,U50:AY50&lt;&gt;"",0)),"")</f>
        <v/>
      </c>
      <c r="M50" s="58">
        <f>IFERROR(LOOKUP(2,1/(U50:AY50&lt;&gt;""),U$2:AY$2),"")</f>
        <v/>
      </c>
      <c r="N50" s="59">
        <f>IF(OR(G50="",M50=""),"",G50-M50)</f>
        <v/>
      </c>
      <c r="O50" s="60" t="n"/>
      <c r="P50" s="61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  <c r="AG50" s="62" t="n"/>
      <c r="AH50" s="62" t="n"/>
      <c r="AI50" s="62" t="n"/>
      <c r="AJ50" s="62" t="n"/>
      <c r="AK50" s="62" t="n"/>
      <c r="AL50" s="62" t="n"/>
      <c r="AM50" s="62" t="n"/>
      <c r="AN50" s="62" t="n"/>
      <c r="AO50" s="62" t="n"/>
      <c r="AP50" s="62" t="n"/>
      <c r="AQ50" s="62" t="n"/>
      <c r="AR50" s="62" t="n"/>
      <c r="AS50" s="62" t="n"/>
      <c r="AT50" s="62" t="n"/>
      <c r="AU50" s="62" t="n"/>
      <c r="AV50" s="62" t="n"/>
      <c r="AW50" s="62" t="n"/>
      <c r="AX50" s="62" t="n"/>
      <c r="AY50" s="62" t="n"/>
    </row>
    <row r="51">
      <c r="A51" s="38">
        <f>IF(D51="","",COUNTA($D$40:D51))</f>
        <v/>
      </c>
      <c r="B51" s="52" t="n"/>
      <c r="C51" s="65" t="inlineStr">
        <is>
          <t>마케팅2팀</t>
        </is>
      </c>
      <c r="D51" s="52" t="n"/>
      <c r="E51" s="54" t="n"/>
      <c r="F51" s="52" t="n"/>
      <c r="G51" s="55" t="n"/>
      <c r="H51" s="54" t="n"/>
      <c r="I51" s="54" t="n"/>
      <c r="J51" s="54" t="n"/>
      <c r="K51" s="56">
        <f>IF(SUM(U51:AY51)=0,"",SUM(U51:AY51))</f>
        <v/>
      </c>
      <c r="L51" s="57">
        <f>IFERROR(INDEX(U$2:AY$2,MATCH(TRUE,U51:AY51&lt;&gt;"",0)),"")</f>
        <v/>
      </c>
      <c r="M51" s="58">
        <f>IFERROR(LOOKUP(2,1/(U51:AY51&lt;&gt;""),U$2:AY$2),"")</f>
        <v/>
      </c>
      <c r="N51" s="59">
        <f>IF(OR(G51="",M51=""),"",G51-M51)</f>
        <v/>
      </c>
      <c r="O51" s="60" t="n"/>
      <c r="P51" s="61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  <c r="AG51" s="62" t="n"/>
      <c r="AH51" s="62" t="n"/>
      <c r="AI51" s="62" t="n"/>
      <c r="AJ51" s="62" t="n"/>
      <c r="AK51" s="62" t="n"/>
      <c r="AL51" s="62" t="n"/>
      <c r="AM51" s="62" t="n"/>
      <c r="AN51" s="62" t="n"/>
      <c r="AO51" s="62" t="n"/>
      <c r="AP51" s="62" t="n"/>
      <c r="AQ51" s="62" t="n"/>
      <c r="AR51" s="62" t="n"/>
      <c r="AS51" s="62" t="n"/>
      <c r="AT51" s="62" t="n"/>
      <c r="AU51" s="62" t="n"/>
      <c r="AV51" s="62" t="n"/>
      <c r="AW51" s="62" t="n"/>
      <c r="AX51" s="62" t="n"/>
      <c r="AY51" s="62" t="n"/>
    </row>
    <row r="52">
      <c r="A52" s="38">
        <f>IF(D52="","",COUNTA($D$40:D52))</f>
        <v/>
      </c>
      <c r="B52" s="52" t="n"/>
      <c r="C52" s="65" t="inlineStr">
        <is>
          <t>마케팅2팀</t>
        </is>
      </c>
      <c r="D52" s="52" t="n"/>
      <c r="E52" s="54" t="n"/>
      <c r="F52" s="52" t="n"/>
      <c r="G52" s="55" t="n"/>
      <c r="H52" s="54" t="n"/>
      <c r="I52" s="54" t="n"/>
      <c r="J52" s="54" t="n"/>
      <c r="K52" s="56">
        <f>IF(SUM(U52:AY52)=0,"",SUM(U52:AY52))</f>
        <v/>
      </c>
      <c r="L52" s="57">
        <f>IFERROR(INDEX(U$2:AY$2,MATCH(TRUE,U52:AY52&lt;&gt;"",0)),"")</f>
        <v/>
      </c>
      <c r="M52" s="58">
        <f>IFERROR(LOOKUP(2,1/(U52:AY52&lt;&gt;""),U$2:AY$2),"")</f>
        <v/>
      </c>
      <c r="N52" s="59">
        <f>IF(OR(G52="",M52=""),"",G52-M52)</f>
        <v/>
      </c>
      <c r="O52" s="60" t="n"/>
      <c r="P52" s="61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  <c r="AG52" s="62" t="n"/>
      <c r="AH52" s="62" t="n"/>
      <c r="AI52" s="62" t="n"/>
      <c r="AJ52" s="62" t="n"/>
      <c r="AK52" s="62" t="n"/>
      <c r="AL52" s="62" t="n"/>
      <c r="AM52" s="62" t="n"/>
      <c r="AN52" s="62" t="n"/>
      <c r="AO52" s="62" t="n"/>
      <c r="AP52" s="62" t="n"/>
      <c r="AQ52" s="62" t="n"/>
      <c r="AR52" s="62" t="n"/>
      <c r="AS52" s="62" t="n"/>
      <c r="AT52" s="62" t="n"/>
      <c r="AU52" s="62" t="n"/>
      <c r="AV52" s="62" t="n"/>
      <c r="AW52" s="62" t="n"/>
      <c r="AX52" s="62" t="n"/>
      <c r="AY52" s="62" t="n"/>
    </row>
    <row r="53">
      <c r="A53" s="38">
        <f>IF(D53="","",COUNTA($D$40:D53))</f>
        <v/>
      </c>
      <c r="B53" s="52" t="n"/>
      <c r="C53" s="65" t="inlineStr">
        <is>
          <t>마케팅2팀</t>
        </is>
      </c>
      <c r="D53" s="52" t="n"/>
      <c r="E53" s="54" t="n"/>
      <c r="F53" s="52" t="n"/>
      <c r="G53" s="55" t="n"/>
      <c r="H53" s="54" t="n"/>
      <c r="I53" s="54" t="n"/>
      <c r="J53" s="54" t="n"/>
      <c r="K53" s="56">
        <f>IF(SUM(U53:AY53)=0,"",SUM(U53:AY53))</f>
        <v/>
      </c>
      <c r="L53" s="57">
        <f>IFERROR(INDEX(U$2:AY$2,MATCH(TRUE,U53:AY53&lt;&gt;"",0)),"")</f>
        <v/>
      </c>
      <c r="M53" s="58">
        <f>IFERROR(LOOKUP(2,1/(U53:AY53&lt;&gt;""),U$2:AY$2),"")</f>
        <v/>
      </c>
      <c r="N53" s="59">
        <f>IF(OR(G53="",M53=""),"",G53-M53)</f>
        <v/>
      </c>
      <c r="O53" s="60" t="n"/>
      <c r="P53" s="61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  <c r="AG53" s="62" t="n"/>
      <c r="AH53" s="62" t="n"/>
      <c r="AI53" s="62" t="n"/>
      <c r="AJ53" s="62" t="n"/>
      <c r="AK53" s="62" t="n"/>
      <c r="AL53" s="62" t="n"/>
      <c r="AM53" s="62" t="n"/>
      <c r="AN53" s="62" t="n"/>
      <c r="AO53" s="62" t="n"/>
      <c r="AP53" s="62" t="n"/>
      <c r="AQ53" s="62" t="n"/>
      <c r="AR53" s="62" t="n"/>
      <c r="AS53" s="62" t="n"/>
      <c r="AT53" s="62" t="n"/>
      <c r="AU53" s="62" t="n"/>
      <c r="AV53" s="62" t="n"/>
      <c r="AW53" s="62" t="n"/>
      <c r="AX53" s="62" t="n"/>
      <c r="AY53" s="62" t="n"/>
    </row>
    <row r="54">
      <c r="A54" s="38">
        <f>IF(D54="","",COUNTA($D$40:D54))</f>
        <v/>
      </c>
      <c r="B54" s="52" t="n"/>
      <c r="C54" s="65" t="inlineStr">
        <is>
          <t>마케팅2팀</t>
        </is>
      </c>
      <c r="D54" s="52" t="n"/>
      <c r="E54" s="54" t="n"/>
      <c r="F54" s="52" t="n"/>
      <c r="G54" s="55" t="n"/>
      <c r="H54" s="54" t="n"/>
      <c r="I54" s="54" t="n"/>
      <c r="J54" s="54" t="n"/>
      <c r="K54" s="56">
        <f>IF(SUM(U54:AY54)=0,"",SUM(U54:AY54))</f>
        <v/>
      </c>
      <c r="L54" s="57">
        <f>IFERROR(INDEX(U$2:AY$2,MATCH(TRUE,U54:AY54&lt;&gt;"",0)),"")</f>
        <v/>
      </c>
      <c r="M54" s="58">
        <f>IFERROR(LOOKUP(2,1/(U54:AY54&lt;&gt;""),U$2:AY$2),"")</f>
        <v/>
      </c>
      <c r="N54" s="59">
        <f>IF(OR(G54="",M54=""),"",G54-M54)</f>
        <v/>
      </c>
      <c r="O54" s="60" t="n"/>
      <c r="P54" s="61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  <c r="AG54" s="62" t="n"/>
      <c r="AH54" s="62" t="n"/>
      <c r="AI54" s="62" t="n"/>
      <c r="AJ54" s="62" t="n"/>
      <c r="AK54" s="62" t="n"/>
      <c r="AL54" s="62" t="n"/>
      <c r="AM54" s="62" t="n"/>
      <c r="AN54" s="62" t="n"/>
      <c r="AO54" s="62" t="n"/>
      <c r="AP54" s="62" t="n"/>
      <c r="AQ54" s="62" t="n"/>
      <c r="AR54" s="62" t="n"/>
      <c r="AS54" s="62" t="n"/>
      <c r="AT54" s="62" t="n"/>
      <c r="AU54" s="62" t="n"/>
      <c r="AV54" s="62" t="n"/>
      <c r="AW54" s="62" t="n"/>
      <c r="AX54" s="62" t="n"/>
      <c r="AY54" s="62" t="n"/>
    </row>
    <row r="55">
      <c r="A55" s="38">
        <f>IF(D55="","",COUNTA($D$40:D55))</f>
        <v/>
      </c>
      <c r="B55" s="52" t="n"/>
      <c r="C55" s="65" t="inlineStr">
        <is>
          <t>마케팅2팀</t>
        </is>
      </c>
      <c r="D55" s="52" t="n"/>
      <c r="E55" s="54" t="n"/>
      <c r="F55" s="52" t="n"/>
      <c r="G55" s="55" t="n"/>
      <c r="H55" s="54" t="n"/>
      <c r="I55" s="54" t="n"/>
      <c r="J55" s="54" t="n"/>
      <c r="K55" s="56">
        <f>IF(SUM(U55:AY55)=0,"",SUM(U55:AY55))</f>
        <v/>
      </c>
      <c r="L55" s="57">
        <f>IFERROR(INDEX(U$2:AY$2,MATCH(TRUE,U55:AY55&lt;&gt;"",0)),"")</f>
        <v/>
      </c>
      <c r="M55" s="58">
        <f>IFERROR(LOOKUP(2,1/(U55:AY55&lt;&gt;""),U$2:AY$2),"")</f>
        <v/>
      </c>
      <c r="N55" s="59">
        <f>IF(OR(G55="",M55=""),"",G55-M55)</f>
        <v/>
      </c>
      <c r="O55" s="60" t="n"/>
      <c r="P55" s="61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  <c r="AG55" s="62" t="n"/>
      <c r="AH55" s="62" t="n"/>
      <c r="AI55" s="62" t="n"/>
      <c r="AJ55" s="62" t="n"/>
      <c r="AK55" s="62" t="n"/>
      <c r="AL55" s="62" t="n"/>
      <c r="AM55" s="62" t="n"/>
      <c r="AN55" s="62" t="n"/>
      <c r="AO55" s="62" t="n"/>
      <c r="AP55" s="62" t="n"/>
      <c r="AQ55" s="62" t="n"/>
      <c r="AR55" s="62" t="n"/>
      <c r="AS55" s="62" t="n"/>
      <c r="AT55" s="62" t="n"/>
      <c r="AU55" s="62" t="n"/>
      <c r="AV55" s="62" t="n"/>
      <c r="AW55" s="62" t="n"/>
      <c r="AX55" s="62" t="n"/>
      <c r="AY55" s="62" t="n"/>
    </row>
    <row r="56">
      <c r="A56" s="38">
        <f>IF(D56="","",COUNTA($D$40:D56))</f>
        <v/>
      </c>
      <c r="B56" s="52" t="n"/>
      <c r="C56" s="65" t="inlineStr">
        <is>
          <t>마케팅2팀</t>
        </is>
      </c>
      <c r="D56" s="52" t="n"/>
      <c r="E56" s="54" t="n"/>
      <c r="F56" s="52" t="n"/>
      <c r="G56" s="55" t="n"/>
      <c r="H56" s="54" t="n"/>
      <c r="I56" s="54" t="n"/>
      <c r="J56" s="54" t="n"/>
      <c r="K56" s="56">
        <f>IF(SUM(U56:AY56)=0,"",SUM(U56:AY56))</f>
        <v/>
      </c>
      <c r="L56" s="57">
        <f>IFERROR(INDEX(U$2:AY$2,MATCH(TRUE,U56:AY56&lt;&gt;"",0)),"")</f>
        <v/>
      </c>
      <c r="M56" s="58">
        <f>IFERROR(LOOKUP(2,1/(U56:AY56&lt;&gt;""),U$2:AY$2),"")</f>
        <v/>
      </c>
      <c r="N56" s="59">
        <f>IF(OR(G56="",M56=""),"",G56-M56)</f>
        <v/>
      </c>
      <c r="O56" s="60" t="n"/>
      <c r="P56" s="61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  <c r="AG56" s="62" t="n"/>
      <c r="AH56" s="62" t="n"/>
      <c r="AI56" s="62" t="n"/>
      <c r="AJ56" s="62" t="n"/>
      <c r="AK56" s="62" t="n"/>
      <c r="AL56" s="62" t="n"/>
      <c r="AM56" s="62" t="n"/>
      <c r="AN56" s="62" t="n"/>
      <c r="AO56" s="62" t="n"/>
      <c r="AP56" s="62" t="n"/>
      <c r="AQ56" s="62" t="n"/>
      <c r="AR56" s="62" t="n"/>
      <c r="AS56" s="62" t="n"/>
      <c r="AT56" s="62" t="n"/>
      <c r="AU56" s="62" t="n"/>
      <c r="AV56" s="62" t="n"/>
      <c r="AW56" s="62" t="n"/>
      <c r="AX56" s="62" t="n"/>
      <c r="AY56" s="62" t="n"/>
    </row>
    <row r="57">
      <c r="A57" s="38">
        <f>IF(D57="","",COUNTA($D$40:D57))</f>
        <v/>
      </c>
      <c r="B57" s="52" t="n"/>
      <c r="C57" s="65" t="inlineStr">
        <is>
          <t>마케팅2팀</t>
        </is>
      </c>
      <c r="D57" s="52" t="n"/>
      <c r="E57" s="54" t="n"/>
      <c r="F57" s="52" t="n"/>
      <c r="G57" s="55" t="n"/>
      <c r="H57" s="54" t="n"/>
      <c r="I57" s="54" t="n"/>
      <c r="J57" s="54" t="n"/>
      <c r="K57" s="56">
        <f>IF(SUM(U57:AY57)=0,"",SUM(U57:AY57))</f>
        <v/>
      </c>
      <c r="L57" s="57">
        <f>IFERROR(INDEX(U$2:AY$2,MATCH(TRUE,U57:AY57&lt;&gt;"",0)),"")</f>
        <v/>
      </c>
      <c r="M57" s="58">
        <f>IFERROR(LOOKUP(2,1/(U57:AY57&lt;&gt;""),U$2:AY$2),"")</f>
        <v/>
      </c>
      <c r="N57" s="59">
        <f>IF(OR(G57="",M57=""),"",G57-M57)</f>
        <v/>
      </c>
      <c r="O57" s="60" t="n"/>
      <c r="P57" s="61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  <c r="AG57" s="62" t="n"/>
      <c r="AH57" s="62" t="n"/>
      <c r="AI57" s="62" t="n"/>
      <c r="AJ57" s="62" t="n"/>
      <c r="AK57" s="62" t="n"/>
      <c r="AL57" s="62" t="n"/>
      <c r="AM57" s="62" t="n"/>
      <c r="AN57" s="62" t="n"/>
      <c r="AO57" s="62" t="n"/>
      <c r="AP57" s="62" t="n"/>
      <c r="AQ57" s="62" t="n"/>
      <c r="AR57" s="62" t="n"/>
      <c r="AS57" s="62" t="n"/>
      <c r="AT57" s="62" t="n"/>
      <c r="AU57" s="62" t="n"/>
      <c r="AV57" s="62" t="n"/>
      <c r="AW57" s="62" t="n"/>
      <c r="AX57" s="62" t="n"/>
      <c r="AY57" s="62" t="n"/>
    </row>
    <row r="58">
      <c r="A58" s="38">
        <f>IF(D58="","",COUNTA($D$40:D58))</f>
        <v/>
      </c>
      <c r="B58" s="52" t="n"/>
      <c r="C58" s="65" t="inlineStr">
        <is>
          <t>마케팅2팀</t>
        </is>
      </c>
      <c r="D58" s="52" t="n"/>
      <c r="E58" s="54" t="n"/>
      <c r="F58" s="52" t="n"/>
      <c r="G58" s="55" t="n"/>
      <c r="H58" s="54" t="n"/>
      <c r="I58" s="54" t="n"/>
      <c r="J58" s="54" t="n"/>
      <c r="K58" s="56">
        <f>IF(SUM(U58:AY58)=0,"",SUM(U58:AY58))</f>
        <v/>
      </c>
      <c r="L58" s="57">
        <f>IFERROR(INDEX(U$2:AY$2,MATCH(TRUE,U58:AY58&lt;&gt;"",0)),"")</f>
        <v/>
      </c>
      <c r="M58" s="58">
        <f>IFERROR(LOOKUP(2,1/(U58:AY58&lt;&gt;""),U$2:AY$2),"")</f>
        <v/>
      </c>
      <c r="N58" s="59">
        <f>IF(OR(G58="",M58=""),"",G58-M58)</f>
        <v/>
      </c>
      <c r="O58" s="60" t="n"/>
      <c r="P58" s="61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  <c r="AG58" s="62" t="n"/>
      <c r="AH58" s="62" t="n"/>
      <c r="AI58" s="62" t="n"/>
      <c r="AJ58" s="62" t="n"/>
      <c r="AK58" s="62" t="n"/>
      <c r="AL58" s="62" t="n"/>
      <c r="AM58" s="62" t="n"/>
      <c r="AN58" s="62" t="n"/>
      <c r="AO58" s="62" t="n"/>
      <c r="AP58" s="62" t="n"/>
      <c r="AQ58" s="62" t="n"/>
      <c r="AR58" s="62" t="n"/>
      <c r="AS58" s="62" t="n"/>
      <c r="AT58" s="62" t="n"/>
      <c r="AU58" s="62" t="n"/>
      <c r="AV58" s="62" t="n"/>
      <c r="AW58" s="62" t="n"/>
      <c r="AX58" s="62" t="n"/>
      <c r="AY58" s="62" t="n"/>
    </row>
    <row r="59">
      <c r="A59" s="38">
        <f>IF(D59="","",COUNTA($D$40:D59))</f>
        <v/>
      </c>
      <c r="B59" s="52" t="n"/>
      <c r="C59" s="65" t="inlineStr">
        <is>
          <t>마케팅2팀</t>
        </is>
      </c>
      <c r="D59" s="52" t="n"/>
      <c r="E59" s="54" t="n"/>
      <c r="F59" s="52" t="n"/>
      <c r="G59" s="55" t="n"/>
      <c r="H59" s="54" t="n"/>
      <c r="I59" s="54" t="n"/>
      <c r="J59" s="54" t="n"/>
      <c r="K59" s="56">
        <f>IF(SUM(U59:AY59)=0,"",SUM(U59:AY59))</f>
        <v/>
      </c>
      <c r="L59" s="57">
        <f>IFERROR(INDEX(U$2:AY$2,MATCH(TRUE,U59:AY59&lt;&gt;"",0)),"")</f>
        <v/>
      </c>
      <c r="M59" s="58">
        <f>IFERROR(LOOKUP(2,1/(U59:AY59&lt;&gt;""),U$2:AY$2),"")</f>
        <v/>
      </c>
      <c r="N59" s="59">
        <f>IF(OR(G59="",M59=""),"",G59-M59)</f>
        <v/>
      </c>
      <c r="O59" s="60" t="n"/>
      <c r="P59" s="61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  <c r="AG59" s="62" t="n"/>
      <c r="AH59" s="62" t="n"/>
      <c r="AI59" s="62" t="n"/>
      <c r="AJ59" s="62" t="n"/>
      <c r="AK59" s="62" t="n"/>
      <c r="AL59" s="62" t="n"/>
      <c r="AM59" s="62" t="n"/>
      <c r="AN59" s="62" t="n"/>
      <c r="AO59" s="62" t="n"/>
      <c r="AP59" s="62" t="n"/>
      <c r="AQ59" s="62" t="n"/>
      <c r="AR59" s="62" t="n"/>
      <c r="AS59" s="62" t="n"/>
      <c r="AT59" s="62" t="n"/>
      <c r="AU59" s="62" t="n"/>
      <c r="AV59" s="62" t="n"/>
      <c r="AW59" s="62" t="n"/>
      <c r="AX59" s="62" t="n"/>
      <c r="AY59" s="62" t="n"/>
    </row>
    <row r="60">
      <c r="A60" s="38">
        <f>IF(D60="","",COUNTA($D$40:D60))</f>
        <v/>
      </c>
      <c r="B60" s="52" t="n"/>
      <c r="C60" s="65" t="inlineStr">
        <is>
          <t>마케팅2팀</t>
        </is>
      </c>
      <c r="D60" s="52" t="n"/>
      <c r="E60" s="54" t="n"/>
      <c r="F60" s="52" t="n"/>
      <c r="G60" s="55" t="n"/>
      <c r="H60" s="54" t="n"/>
      <c r="I60" s="54" t="n"/>
      <c r="J60" s="54" t="n"/>
      <c r="K60" s="56">
        <f>IF(SUM(U60:AY60)=0,"",SUM(U60:AY60))</f>
        <v/>
      </c>
      <c r="L60" s="57">
        <f>IFERROR(INDEX(U$2:AY$2,MATCH(TRUE,U60:AY60&lt;&gt;"",0)),"")</f>
        <v/>
      </c>
      <c r="M60" s="58">
        <f>IFERROR(LOOKUP(2,1/(U60:AY60&lt;&gt;""),U$2:AY$2),"")</f>
        <v/>
      </c>
      <c r="N60" s="59">
        <f>IF(OR(G60="",M60=""),"",G60-M60)</f>
        <v/>
      </c>
      <c r="O60" s="60" t="n"/>
      <c r="P60" s="61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  <c r="AG60" s="62" t="n"/>
      <c r="AH60" s="62" t="n"/>
      <c r="AI60" s="62" t="n"/>
      <c r="AJ60" s="62" t="n"/>
      <c r="AK60" s="62" t="n"/>
      <c r="AL60" s="62" t="n"/>
      <c r="AM60" s="62" t="n"/>
      <c r="AN60" s="62" t="n"/>
      <c r="AO60" s="62" t="n"/>
      <c r="AP60" s="62" t="n"/>
      <c r="AQ60" s="62" t="n"/>
      <c r="AR60" s="62" t="n"/>
      <c r="AS60" s="62" t="n"/>
      <c r="AT60" s="62" t="n"/>
      <c r="AU60" s="62" t="n"/>
      <c r="AV60" s="62" t="n"/>
      <c r="AW60" s="62" t="n"/>
      <c r="AX60" s="62" t="n"/>
      <c r="AY60" s="62" t="n"/>
    </row>
    <row r="61">
      <c r="A61" s="38">
        <f>IF(D61="","",COUNTA($D$40:D61))</f>
        <v/>
      </c>
      <c r="B61" s="52" t="n"/>
      <c r="C61" s="65" t="inlineStr">
        <is>
          <t>마케팅2팀</t>
        </is>
      </c>
      <c r="D61" s="52" t="n"/>
      <c r="E61" s="54" t="n"/>
      <c r="F61" s="52" t="n"/>
      <c r="G61" s="55" t="n"/>
      <c r="H61" s="54" t="n"/>
      <c r="I61" s="54" t="n"/>
      <c r="J61" s="54" t="n"/>
      <c r="K61" s="56">
        <f>IF(SUM(U61:AY61)=0,"",SUM(U61:AY61))</f>
        <v/>
      </c>
      <c r="L61" s="57">
        <f>IFERROR(INDEX(U$2:AY$2,MATCH(TRUE,U61:AY61&lt;&gt;"",0)),"")</f>
        <v/>
      </c>
      <c r="M61" s="58">
        <f>IFERROR(LOOKUP(2,1/(U61:AY61&lt;&gt;""),U$2:AY$2),"")</f>
        <v/>
      </c>
      <c r="N61" s="59">
        <f>IF(OR(G61="",M61=""),"",G61-M61)</f>
        <v/>
      </c>
      <c r="O61" s="60" t="n"/>
      <c r="P61" s="61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  <c r="AG61" s="62" t="n"/>
      <c r="AH61" s="62" t="n"/>
      <c r="AI61" s="62" t="n"/>
      <c r="AJ61" s="62" t="n"/>
      <c r="AK61" s="62" t="n"/>
      <c r="AL61" s="62" t="n"/>
      <c r="AM61" s="62" t="n"/>
      <c r="AN61" s="62" t="n"/>
      <c r="AO61" s="62" t="n"/>
      <c r="AP61" s="62" t="n"/>
      <c r="AQ61" s="62" t="n"/>
      <c r="AR61" s="62" t="n"/>
      <c r="AS61" s="62" t="n"/>
      <c r="AT61" s="62" t="n"/>
      <c r="AU61" s="62" t="n"/>
      <c r="AV61" s="62" t="n"/>
      <c r="AW61" s="62" t="n"/>
      <c r="AX61" s="62" t="n"/>
      <c r="AY61" s="62" t="n"/>
    </row>
    <row r="62">
      <c r="A62" s="38">
        <f>IF(D62="","",COUNTA($D$40:D62))</f>
        <v/>
      </c>
      <c r="B62" s="52" t="n"/>
      <c r="C62" s="65" t="inlineStr">
        <is>
          <t>마케팅2팀</t>
        </is>
      </c>
      <c r="D62" s="52" t="n"/>
      <c r="E62" s="54" t="n"/>
      <c r="F62" s="52" t="n"/>
      <c r="G62" s="55" t="n"/>
      <c r="H62" s="54" t="n"/>
      <c r="I62" s="54" t="n"/>
      <c r="J62" s="54" t="n"/>
      <c r="K62" s="56">
        <f>IF(SUM(U62:AY62)=0,"",SUM(U62:AY62))</f>
        <v/>
      </c>
      <c r="L62" s="57">
        <f>IFERROR(INDEX(U$2:AY$2,MATCH(TRUE,U62:AY62&lt;&gt;"",0)),"")</f>
        <v/>
      </c>
      <c r="M62" s="58">
        <f>IFERROR(LOOKUP(2,1/(U62:AY62&lt;&gt;""),U$2:AY$2),"")</f>
        <v/>
      </c>
      <c r="N62" s="59">
        <f>IF(OR(G62="",M62=""),"",G62-M62)</f>
        <v/>
      </c>
      <c r="O62" s="60" t="n"/>
      <c r="P62" s="61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  <c r="AG62" s="62" t="n"/>
      <c r="AH62" s="62" t="n"/>
      <c r="AI62" s="62" t="n"/>
      <c r="AJ62" s="62" t="n"/>
      <c r="AK62" s="62" t="n"/>
      <c r="AL62" s="62" t="n"/>
      <c r="AM62" s="62" t="n"/>
      <c r="AN62" s="62" t="n"/>
      <c r="AO62" s="62" t="n"/>
      <c r="AP62" s="62" t="n"/>
      <c r="AQ62" s="62" t="n"/>
      <c r="AR62" s="62" t="n"/>
      <c r="AS62" s="62" t="n"/>
      <c r="AT62" s="62" t="n"/>
      <c r="AU62" s="62" t="n"/>
      <c r="AV62" s="62" t="n"/>
      <c r="AW62" s="62" t="n"/>
      <c r="AX62" s="62" t="n"/>
      <c r="AY62" s="62" t="n"/>
    </row>
    <row r="63">
      <c r="A63" s="38">
        <f>IF(D63="","",COUNTA($D$40:D63))</f>
        <v/>
      </c>
      <c r="B63" s="52" t="n"/>
      <c r="C63" s="65" t="inlineStr">
        <is>
          <t>마케팅2팀</t>
        </is>
      </c>
      <c r="D63" s="52" t="n"/>
      <c r="E63" s="54" t="n"/>
      <c r="F63" s="52" t="n"/>
      <c r="G63" s="55" t="n"/>
      <c r="H63" s="54" t="n"/>
      <c r="I63" s="54" t="n"/>
      <c r="J63" s="54" t="n"/>
      <c r="K63" s="56">
        <f>IF(SUM(U63:AY63)=0,"",SUM(U63:AY63))</f>
        <v/>
      </c>
      <c r="L63" s="57">
        <f>IFERROR(INDEX(U$2:AY$2,MATCH(TRUE,U63:AY63&lt;&gt;"",0)),"")</f>
        <v/>
      </c>
      <c r="M63" s="58">
        <f>IFERROR(LOOKUP(2,1/(U63:AY63&lt;&gt;""),U$2:AY$2),"")</f>
        <v/>
      </c>
      <c r="N63" s="59">
        <f>IF(OR(G63="",M63=""),"",G63-M63)</f>
        <v/>
      </c>
      <c r="O63" s="60" t="n"/>
      <c r="P63" s="61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  <c r="AG63" s="62" t="n"/>
      <c r="AH63" s="62" t="n"/>
      <c r="AI63" s="62" t="n"/>
      <c r="AJ63" s="62" t="n"/>
      <c r="AK63" s="62" t="n"/>
      <c r="AL63" s="62" t="n"/>
      <c r="AM63" s="62" t="n"/>
      <c r="AN63" s="62" t="n"/>
      <c r="AO63" s="62" t="n"/>
      <c r="AP63" s="62" t="n"/>
      <c r="AQ63" s="62" t="n"/>
      <c r="AR63" s="62" t="n"/>
      <c r="AS63" s="62" t="n"/>
      <c r="AT63" s="62" t="n"/>
      <c r="AU63" s="62" t="n"/>
      <c r="AV63" s="62" t="n"/>
      <c r="AW63" s="62" t="n"/>
      <c r="AX63" s="62" t="n"/>
      <c r="AY63" s="62" t="n"/>
    </row>
    <row r="64">
      <c r="A64" s="38">
        <f>IF(D64="","",COUNTA($D$40:D64))</f>
        <v/>
      </c>
      <c r="B64" s="52" t="n"/>
      <c r="C64" s="65" t="inlineStr">
        <is>
          <t>마케팅2팀</t>
        </is>
      </c>
      <c r="D64" s="52" t="n"/>
      <c r="E64" s="54" t="n"/>
      <c r="F64" s="52" t="n"/>
      <c r="G64" s="55" t="n"/>
      <c r="H64" s="54" t="n"/>
      <c r="I64" s="54" t="n"/>
      <c r="J64" s="54" t="n"/>
      <c r="K64" s="56">
        <f>IF(SUM(U64:AY64)=0,"",SUM(U64:AY64))</f>
        <v/>
      </c>
      <c r="L64" s="57">
        <f>IFERROR(INDEX(U$2:AY$2,MATCH(TRUE,U64:AY64&lt;&gt;"",0)),"")</f>
        <v/>
      </c>
      <c r="M64" s="58">
        <f>IFERROR(LOOKUP(2,1/(U64:AY64&lt;&gt;""),U$2:AY$2),"")</f>
        <v/>
      </c>
      <c r="N64" s="59">
        <f>IF(OR(G64="",M64=""),"",G64-M64)</f>
        <v/>
      </c>
      <c r="O64" s="60" t="n"/>
      <c r="P64" s="61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  <c r="AG64" s="62" t="n"/>
      <c r="AH64" s="62" t="n"/>
      <c r="AI64" s="62" t="n"/>
      <c r="AJ64" s="62" t="n"/>
      <c r="AK64" s="62" t="n"/>
      <c r="AL64" s="62" t="n"/>
      <c r="AM64" s="62" t="n"/>
      <c r="AN64" s="62" t="n"/>
      <c r="AO64" s="62" t="n"/>
      <c r="AP64" s="62" t="n"/>
      <c r="AQ64" s="62" t="n"/>
      <c r="AR64" s="62" t="n"/>
      <c r="AS64" s="62" t="n"/>
      <c r="AT64" s="62" t="n"/>
      <c r="AU64" s="62" t="n"/>
      <c r="AV64" s="62" t="n"/>
      <c r="AW64" s="62" t="n"/>
      <c r="AX64" s="62" t="n"/>
      <c r="AY64" s="62" t="n"/>
    </row>
    <row r="65">
      <c r="A65" s="38">
        <f>IF(D65="","",COUNTA($D$40:D65))</f>
        <v/>
      </c>
      <c r="B65" s="52" t="n"/>
      <c r="C65" s="65" t="inlineStr">
        <is>
          <t>마케팅2팀</t>
        </is>
      </c>
      <c r="D65" s="52" t="n"/>
      <c r="E65" s="54" t="n"/>
      <c r="F65" s="52" t="n"/>
      <c r="G65" s="55" t="n"/>
      <c r="H65" s="54" t="n"/>
      <c r="I65" s="54" t="n"/>
      <c r="J65" s="54" t="n"/>
      <c r="K65" s="56">
        <f>IF(SUM(U65:AY65)=0,"",SUM(U65:AY65))</f>
        <v/>
      </c>
      <c r="L65" s="57">
        <f>IFERROR(INDEX(U$2:AY$2,MATCH(TRUE,U65:AY65&lt;&gt;"",0)),"")</f>
        <v/>
      </c>
      <c r="M65" s="58">
        <f>IFERROR(LOOKUP(2,1/(U65:AY65&lt;&gt;""),U$2:AY$2),"")</f>
        <v/>
      </c>
      <c r="N65" s="59">
        <f>IF(OR(G65="",M65=""),"",G65-M65)</f>
        <v/>
      </c>
      <c r="O65" s="60" t="n"/>
      <c r="P65" s="61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  <c r="AG65" s="62" t="n"/>
      <c r="AH65" s="62" t="n"/>
      <c r="AI65" s="62" t="n"/>
      <c r="AJ65" s="62" t="n"/>
      <c r="AK65" s="62" t="n"/>
      <c r="AL65" s="62" t="n"/>
      <c r="AM65" s="62" t="n"/>
      <c r="AN65" s="62" t="n"/>
      <c r="AO65" s="62" t="n"/>
      <c r="AP65" s="62" t="n"/>
      <c r="AQ65" s="62" t="n"/>
      <c r="AR65" s="62" t="n"/>
      <c r="AS65" s="62" t="n"/>
      <c r="AT65" s="62" t="n"/>
      <c r="AU65" s="62" t="n"/>
      <c r="AV65" s="62" t="n"/>
      <c r="AW65" s="62" t="n"/>
      <c r="AX65" s="62" t="n"/>
      <c r="AY65" s="62" t="n"/>
    </row>
    <row r="66">
      <c r="A66" s="38">
        <f>IF(D66="","",COUNTA($D$40:D66))</f>
        <v/>
      </c>
      <c r="B66" s="52" t="n"/>
      <c r="C66" s="65" t="inlineStr">
        <is>
          <t>마케팅2팀</t>
        </is>
      </c>
      <c r="D66" s="52" t="n"/>
      <c r="E66" s="54" t="n"/>
      <c r="F66" s="52" t="n"/>
      <c r="G66" s="55" t="n"/>
      <c r="H66" s="54" t="n"/>
      <c r="I66" s="54" t="n"/>
      <c r="J66" s="54" t="n"/>
      <c r="K66" s="56">
        <f>IF(SUM(U66:AY66)=0,"",SUM(U66:AY66))</f>
        <v/>
      </c>
      <c r="L66" s="57">
        <f>IFERROR(INDEX(U$2:AY$2,MATCH(TRUE,U66:AY66&lt;&gt;"",0)),"")</f>
        <v/>
      </c>
      <c r="M66" s="58">
        <f>IFERROR(LOOKUP(2,1/(U66:AY66&lt;&gt;""),U$2:AY$2),"")</f>
        <v/>
      </c>
      <c r="N66" s="59">
        <f>IF(OR(G66="",M66=""),"",G66-M66)</f>
        <v/>
      </c>
      <c r="O66" s="60" t="n"/>
      <c r="P66" s="61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  <c r="AG66" s="62" t="n"/>
      <c r="AH66" s="62" t="n"/>
      <c r="AI66" s="62" t="n"/>
      <c r="AJ66" s="62" t="n"/>
      <c r="AK66" s="62" t="n"/>
      <c r="AL66" s="62" t="n"/>
      <c r="AM66" s="62" t="n"/>
      <c r="AN66" s="62" t="n"/>
      <c r="AO66" s="62" t="n"/>
      <c r="AP66" s="62" t="n"/>
      <c r="AQ66" s="62" t="n"/>
      <c r="AR66" s="62" t="n"/>
      <c r="AS66" s="62" t="n"/>
      <c r="AT66" s="62" t="n"/>
      <c r="AU66" s="62" t="n"/>
      <c r="AV66" s="62" t="n"/>
      <c r="AW66" s="62" t="n"/>
      <c r="AX66" s="62" t="n"/>
      <c r="AY66" s="62" t="n"/>
    </row>
    <row r="67">
      <c r="A67" s="38">
        <f>IF(D67="","",COUNTA($D$40:D67))</f>
        <v/>
      </c>
      <c r="B67" s="52" t="n"/>
      <c r="C67" s="65" t="inlineStr">
        <is>
          <t>마케팅2팀</t>
        </is>
      </c>
      <c r="D67" s="52" t="n"/>
      <c r="E67" s="54" t="n"/>
      <c r="F67" s="52" t="n"/>
      <c r="G67" s="55" t="n"/>
      <c r="H67" s="54" t="n"/>
      <c r="I67" s="54" t="n"/>
      <c r="J67" s="54" t="n"/>
      <c r="K67" s="56">
        <f>IF(SUM(U67:AY67)=0,"",SUM(U67:AY67))</f>
        <v/>
      </c>
      <c r="L67" s="57">
        <f>IFERROR(INDEX(U$2:AY$2,MATCH(TRUE,U67:AY67&lt;&gt;"",0)),"")</f>
        <v/>
      </c>
      <c r="M67" s="58">
        <f>IFERROR(LOOKUP(2,1/(U67:AY67&lt;&gt;""),U$2:AY$2),"")</f>
        <v/>
      </c>
      <c r="N67" s="59">
        <f>IF(OR(G67="",M67=""),"",G67-M67)</f>
        <v/>
      </c>
      <c r="O67" s="60" t="n"/>
      <c r="P67" s="61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  <c r="AG67" s="62" t="n"/>
      <c r="AH67" s="62" t="n"/>
      <c r="AI67" s="62" t="n"/>
      <c r="AJ67" s="62" t="n"/>
      <c r="AK67" s="62" t="n"/>
      <c r="AL67" s="62" t="n"/>
      <c r="AM67" s="62" t="n"/>
      <c r="AN67" s="62" t="n"/>
      <c r="AO67" s="62" t="n"/>
      <c r="AP67" s="62" t="n"/>
      <c r="AQ67" s="62" t="n"/>
      <c r="AR67" s="62" t="n"/>
      <c r="AS67" s="62" t="n"/>
      <c r="AT67" s="62" t="n"/>
      <c r="AU67" s="62" t="n"/>
      <c r="AV67" s="62" t="n"/>
      <c r="AW67" s="62" t="n"/>
      <c r="AX67" s="62" t="n"/>
      <c r="AY67" s="62" t="n"/>
    </row>
    <row r="68">
      <c r="A68" s="38">
        <f>IF(D68="","",COUNTA($D$40:D68))</f>
        <v/>
      </c>
      <c r="B68" s="52" t="n"/>
      <c r="C68" s="65" t="inlineStr">
        <is>
          <t>마케팅2팀</t>
        </is>
      </c>
      <c r="D68" s="52" t="n"/>
      <c r="E68" s="54" t="n"/>
      <c r="F68" s="52" t="n"/>
      <c r="G68" s="55" t="n"/>
      <c r="H68" s="54" t="n"/>
      <c r="I68" s="54" t="n"/>
      <c r="J68" s="54" t="n"/>
      <c r="K68" s="56">
        <f>IF(SUM(U68:AY68)=0,"",SUM(U68:AY68))</f>
        <v/>
      </c>
      <c r="L68" s="57">
        <f>IFERROR(INDEX(U$2:AY$2,MATCH(TRUE,U68:AY68&lt;&gt;"",0)),"")</f>
        <v/>
      </c>
      <c r="M68" s="58">
        <f>IFERROR(LOOKUP(2,1/(U68:AY68&lt;&gt;""),U$2:AY$2),"")</f>
        <v/>
      </c>
      <c r="N68" s="59">
        <f>IF(OR(G68="",M68=""),"",G68-M68)</f>
        <v/>
      </c>
      <c r="O68" s="60" t="n"/>
      <c r="P68" s="61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  <c r="AG68" s="62" t="n"/>
      <c r="AH68" s="62" t="n"/>
      <c r="AI68" s="62" t="n"/>
      <c r="AJ68" s="62" t="n"/>
      <c r="AK68" s="62" t="n"/>
      <c r="AL68" s="62" t="n"/>
      <c r="AM68" s="62" t="n"/>
      <c r="AN68" s="62" t="n"/>
      <c r="AO68" s="62" t="n"/>
      <c r="AP68" s="62" t="n"/>
      <c r="AQ68" s="62" t="n"/>
      <c r="AR68" s="62" t="n"/>
      <c r="AS68" s="62" t="n"/>
      <c r="AT68" s="62" t="n"/>
      <c r="AU68" s="62" t="n"/>
      <c r="AV68" s="62" t="n"/>
      <c r="AW68" s="62" t="n"/>
      <c r="AX68" s="62" t="n"/>
      <c r="AY68" s="62" t="n"/>
    </row>
    <row r="69">
      <c r="A69" s="38">
        <f>IF(D69="","",COUNTA($D$40:D69))</f>
        <v/>
      </c>
      <c r="B69" s="52" t="n"/>
      <c r="C69" s="65" t="inlineStr">
        <is>
          <t>마케팅2팀</t>
        </is>
      </c>
      <c r="D69" s="52" t="n"/>
      <c r="E69" s="54" t="n"/>
      <c r="F69" s="52" t="n"/>
      <c r="G69" s="55" t="n"/>
      <c r="H69" s="54" t="n"/>
      <c r="I69" s="54" t="n"/>
      <c r="J69" s="54" t="n"/>
      <c r="K69" s="56">
        <f>IF(SUM(U69:AY69)=0,"",SUM(U69:AY69))</f>
        <v/>
      </c>
      <c r="L69" s="57">
        <f>IFERROR(INDEX(U$2:AY$2,MATCH(TRUE,U69:AY69&lt;&gt;"",0)),"")</f>
        <v/>
      </c>
      <c r="M69" s="58">
        <f>IFERROR(LOOKUP(2,1/(U69:AY69&lt;&gt;""),U$2:AY$2),"")</f>
        <v/>
      </c>
      <c r="N69" s="59">
        <f>IF(OR(G69="",M69=""),"",G69-M69)</f>
        <v/>
      </c>
      <c r="O69" s="60" t="n"/>
      <c r="P69" s="61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  <c r="AG69" s="62" t="n"/>
      <c r="AH69" s="62" t="n"/>
      <c r="AI69" s="62" t="n"/>
      <c r="AJ69" s="62" t="n"/>
      <c r="AK69" s="62" t="n"/>
      <c r="AL69" s="62" t="n"/>
      <c r="AM69" s="62" t="n"/>
      <c r="AN69" s="62" t="n"/>
      <c r="AO69" s="62" t="n"/>
      <c r="AP69" s="62" t="n"/>
      <c r="AQ69" s="62" t="n"/>
      <c r="AR69" s="62" t="n"/>
      <c r="AS69" s="62" t="n"/>
      <c r="AT69" s="62" t="n"/>
      <c r="AU69" s="62" t="n"/>
      <c r="AV69" s="62" t="n"/>
      <c r="AW69" s="62" t="n"/>
      <c r="AX69" s="62" t="n"/>
      <c r="AY69" s="62" t="n"/>
    </row>
    <row r="70">
      <c r="A70" s="66" t="inlineStr">
        <is>
          <t>마케팅3팀  (71~100행)</t>
        </is>
      </c>
      <c r="U70" s="67" t="n"/>
      <c r="V70" s="67" t="n"/>
      <c r="W70" s="67" t="n"/>
      <c r="X70" s="67" t="n"/>
      <c r="Y70" s="67" t="n"/>
      <c r="Z70" s="67" t="n"/>
      <c r="AA70" s="67" t="n"/>
      <c r="AB70" s="67" t="n"/>
      <c r="AC70" s="67" t="n"/>
      <c r="AD70" s="67" t="n"/>
      <c r="AE70" s="67" t="n"/>
      <c r="AF70" s="67" t="n"/>
      <c r="AG70" s="67" t="n"/>
      <c r="AH70" s="67" t="n"/>
      <c r="AI70" s="67" t="n"/>
      <c r="AJ70" s="67" t="n"/>
      <c r="AK70" s="67" t="n"/>
      <c r="AL70" s="67" t="n"/>
      <c r="AM70" s="67" t="n"/>
      <c r="AN70" s="67" t="n"/>
      <c r="AO70" s="67" t="n"/>
      <c r="AP70" s="67" t="n"/>
      <c r="AQ70" s="67" t="n"/>
      <c r="AR70" s="67" t="n"/>
      <c r="AS70" s="67" t="n"/>
      <c r="AT70" s="67" t="n"/>
      <c r="AU70" s="67" t="n"/>
      <c r="AV70" s="67" t="n"/>
      <c r="AW70" s="67" t="n"/>
      <c r="AX70" s="67" t="n"/>
      <c r="AY70" s="67" t="n"/>
    </row>
    <row r="71">
      <c r="A71" s="38">
        <f>IF(D71="","",COUNTA($D$71:D71))</f>
        <v/>
      </c>
      <c r="B71" s="52" t="n"/>
      <c r="C71" s="68" t="inlineStr">
        <is>
          <t>마케팅3팀</t>
        </is>
      </c>
      <c r="D71" s="52" t="n"/>
      <c r="E71" s="54" t="n"/>
      <c r="F71" s="52" t="n"/>
      <c r="G71" s="55" t="n"/>
      <c r="H71" s="54" t="n"/>
      <c r="I71" s="54" t="n"/>
      <c r="J71" s="54" t="n"/>
      <c r="K71" s="56">
        <f>IF(SUM(U71:AY71)=0,"",SUM(U71:AY71))</f>
        <v/>
      </c>
      <c r="L71" s="57">
        <f>IFERROR(INDEX(U$2:AY$2,MATCH(TRUE,U71:AY71&lt;&gt;"",0)),"")</f>
        <v/>
      </c>
      <c r="M71" s="58">
        <f>IFERROR(LOOKUP(2,1/(U71:AY71&lt;&gt;""),U$2:AY$2),"")</f>
        <v/>
      </c>
      <c r="N71" s="59">
        <f>IF(OR(G71="",M71=""),"",G71-M71)</f>
        <v/>
      </c>
      <c r="O71" s="60" t="n"/>
      <c r="P71" s="61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  <c r="AG71" s="62" t="n"/>
      <c r="AH71" s="62" t="n"/>
      <c r="AI71" s="62" t="n"/>
      <c r="AJ71" s="62" t="n"/>
      <c r="AK71" s="62" t="n"/>
      <c r="AL71" s="62" t="n"/>
      <c r="AM71" s="62" t="n"/>
      <c r="AN71" s="62" t="n"/>
      <c r="AO71" s="62" t="n"/>
      <c r="AP71" s="62" t="n"/>
      <c r="AQ71" s="62" t="n"/>
      <c r="AR71" s="62" t="n"/>
      <c r="AS71" s="62" t="n"/>
      <c r="AT71" s="62" t="n"/>
      <c r="AU71" s="62" t="n"/>
      <c r="AV71" s="62" t="n"/>
      <c r="AW71" s="62" t="n"/>
      <c r="AX71" s="62" t="n"/>
      <c r="AY71" s="62" t="n"/>
    </row>
    <row r="72">
      <c r="A72" s="38">
        <f>IF(D72="","",COUNTA($D$71:D72))</f>
        <v/>
      </c>
      <c r="B72" s="52" t="n"/>
      <c r="C72" s="68" t="inlineStr">
        <is>
          <t>마케팅3팀</t>
        </is>
      </c>
      <c r="D72" s="52" t="n"/>
      <c r="E72" s="54" t="n"/>
      <c r="F72" s="52" t="n"/>
      <c r="G72" s="55" t="n"/>
      <c r="H72" s="54" t="n"/>
      <c r="I72" s="54" t="n"/>
      <c r="J72" s="54" t="n"/>
      <c r="K72" s="56">
        <f>IF(SUM(U72:AY72)=0,"",SUM(U72:AY72))</f>
        <v/>
      </c>
      <c r="L72" s="57">
        <f>IFERROR(INDEX(U$2:AY$2,MATCH(TRUE,U72:AY72&lt;&gt;"",0)),"")</f>
        <v/>
      </c>
      <c r="M72" s="58">
        <f>IFERROR(LOOKUP(2,1/(U72:AY72&lt;&gt;""),U$2:AY$2),"")</f>
        <v/>
      </c>
      <c r="N72" s="59">
        <f>IF(OR(G72="",M72=""),"",G72-M72)</f>
        <v/>
      </c>
      <c r="O72" s="60" t="n"/>
      <c r="P72" s="61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  <c r="AG72" s="62" t="n"/>
      <c r="AH72" s="62" t="n"/>
      <c r="AI72" s="62" t="n"/>
      <c r="AJ72" s="62" t="n"/>
      <c r="AK72" s="62" t="n"/>
      <c r="AL72" s="62" t="n"/>
      <c r="AM72" s="62" t="n"/>
      <c r="AN72" s="62" t="n"/>
      <c r="AO72" s="62" t="n"/>
      <c r="AP72" s="62" t="n"/>
      <c r="AQ72" s="62" t="n"/>
      <c r="AR72" s="62" t="n"/>
      <c r="AS72" s="62" t="n"/>
      <c r="AT72" s="62" t="n"/>
      <c r="AU72" s="62" t="n"/>
      <c r="AV72" s="62" t="n"/>
      <c r="AW72" s="62" t="n"/>
      <c r="AX72" s="62" t="n"/>
      <c r="AY72" s="62" t="n"/>
    </row>
    <row r="73">
      <c r="A73" s="38">
        <f>IF(D73="","",COUNTA($D$71:D73))</f>
        <v/>
      </c>
      <c r="B73" s="52" t="n"/>
      <c r="C73" s="68" t="inlineStr">
        <is>
          <t>마케팅3팀</t>
        </is>
      </c>
      <c r="D73" s="52" t="n"/>
      <c r="E73" s="54" t="n"/>
      <c r="F73" s="52" t="n"/>
      <c r="G73" s="55" t="n"/>
      <c r="H73" s="54" t="n"/>
      <c r="I73" s="54" t="n"/>
      <c r="J73" s="54" t="n"/>
      <c r="K73" s="56">
        <f>IF(SUM(U73:AY73)=0,"",SUM(U73:AY73))</f>
        <v/>
      </c>
      <c r="L73" s="57">
        <f>IFERROR(INDEX(U$2:AY$2,MATCH(TRUE,U73:AY73&lt;&gt;"",0)),"")</f>
        <v/>
      </c>
      <c r="M73" s="58">
        <f>IFERROR(LOOKUP(2,1/(U73:AY73&lt;&gt;""),U$2:AY$2),"")</f>
        <v/>
      </c>
      <c r="N73" s="59">
        <f>IF(OR(G73="",M73=""),"",G73-M73)</f>
        <v/>
      </c>
      <c r="O73" s="60" t="n"/>
      <c r="P73" s="61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  <c r="AG73" s="62" t="n"/>
      <c r="AH73" s="62" t="n"/>
      <c r="AI73" s="62" t="n"/>
      <c r="AJ73" s="62" t="n"/>
      <c r="AK73" s="62" t="n"/>
      <c r="AL73" s="62" t="n"/>
      <c r="AM73" s="62" t="n"/>
      <c r="AN73" s="62" t="n"/>
      <c r="AO73" s="62" t="n"/>
      <c r="AP73" s="62" t="n"/>
      <c r="AQ73" s="62" t="n"/>
      <c r="AR73" s="62" t="n"/>
      <c r="AS73" s="62" t="n"/>
      <c r="AT73" s="62" t="n"/>
      <c r="AU73" s="62" t="n"/>
      <c r="AV73" s="62" t="n"/>
      <c r="AW73" s="62" t="n"/>
      <c r="AX73" s="62" t="n"/>
      <c r="AY73" s="62" t="n"/>
    </row>
    <row r="74">
      <c r="A74" s="38">
        <f>IF(D74="","",COUNTA($D$71:D74))</f>
        <v/>
      </c>
      <c r="B74" s="52" t="n"/>
      <c r="C74" s="68" t="inlineStr">
        <is>
          <t>마케팅3팀</t>
        </is>
      </c>
      <c r="D74" s="52" t="n"/>
      <c r="E74" s="54" t="n"/>
      <c r="F74" s="52" t="n"/>
      <c r="G74" s="55" t="n"/>
      <c r="H74" s="54" t="n"/>
      <c r="I74" s="54" t="n"/>
      <c r="J74" s="54" t="n"/>
      <c r="K74" s="56">
        <f>IF(SUM(U74:AY74)=0,"",SUM(U74:AY74))</f>
        <v/>
      </c>
      <c r="L74" s="57">
        <f>IFERROR(INDEX(U$2:AY$2,MATCH(TRUE,U74:AY74&lt;&gt;"",0)),"")</f>
        <v/>
      </c>
      <c r="M74" s="58">
        <f>IFERROR(LOOKUP(2,1/(U74:AY74&lt;&gt;""),U$2:AY$2),"")</f>
        <v/>
      </c>
      <c r="N74" s="59">
        <f>IF(OR(G74="",M74=""),"",G74-M74)</f>
        <v/>
      </c>
      <c r="O74" s="60" t="n"/>
      <c r="P74" s="61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  <c r="AG74" s="62" t="n"/>
      <c r="AH74" s="62" t="n"/>
      <c r="AI74" s="62" t="n"/>
      <c r="AJ74" s="62" t="n"/>
      <c r="AK74" s="62" t="n"/>
      <c r="AL74" s="62" t="n"/>
      <c r="AM74" s="62" t="n"/>
      <c r="AN74" s="62" t="n"/>
      <c r="AO74" s="62" t="n"/>
      <c r="AP74" s="62" t="n"/>
      <c r="AQ74" s="62" t="n"/>
      <c r="AR74" s="62" t="n"/>
      <c r="AS74" s="62" t="n"/>
      <c r="AT74" s="62" t="n"/>
      <c r="AU74" s="62" t="n"/>
      <c r="AV74" s="62" t="n"/>
      <c r="AW74" s="62" t="n"/>
      <c r="AX74" s="62" t="n"/>
      <c r="AY74" s="62" t="n"/>
    </row>
    <row r="75">
      <c r="A75" s="38">
        <f>IF(D75="","",COUNTA($D$71:D75))</f>
        <v/>
      </c>
      <c r="B75" s="52" t="n"/>
      <c r="C75" s="68" t="inlineStr">
        <is>
          <t>마케팅3팀</t>
        </is>
      </c>
      <c r="D75" s="52" t="n"/>
      <c r="E75" s="54" t="n"/>
      <c r="F75" s="52" t="n"/>
      <c r="G75" s="55" t="n"/>
      <c r="H75" s="54" t="n"/>
      <c r="I75" s="54" t="n"/>
      <c r="J75" s="54" t="n"/>
      <c r="K75" s="56">
        <f>IF(SUM(U75:AY75)=0,"",SUM(U75:AY75))</f>
        <v/>
      </c>
      <c r="L75" s="57">
        <f>IFERROR(INDEX(U$2:AY$2,MATCH(TRUE,U75:AY75&lt;&gt;"",0)),"")</f>
        <v/>
      </c>
      <c r="M75" s="58">
        <f>IFERROR(LOOKUP(2,1/(U75:AY75&lt;&gt;""),U$2:AY$2),"")</f>
        <v/>
      </c>
      <c r="N75" s="59">
        <f>IF(OR(G75="",M75=""),"",G75-M75)</f>
        <v/>
      </c>
      <c r="O75" s="60" t="n"/>
      <c r="P75" s="61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  <c r="AG75" s="62" t="n"/>
      <c r="AH75" s="62" t="n"/>
      <c r="AI75" s="62" t="n"/>
      <c r="AJ75" s="62" t="n"/>
      <c r="AK75" s="62" t="n"/>
      <c r="AL75" s="62" t="n"/>
      <c r="AM75" s="62" t="n"/>
      <c r="AN75" s="62" t="n"/>
      <c r="AO75" s="62" t="n"/>
      <c r="AP75" s="62" t="n"/>
      <c r="AQ75" s="62" t="n"/>
      <c r="AR75" s="62" t="n"/>
      <c r="AS75" s="62" t="n"/>
      <c r="AT75" s="62" t="n"/>
      <c r="AU75" s="62" t="n"/>
      <c r="AV75" s="62" t="n"/>
      <c r="AW75" s="62" t="n"/>
      <c r="AX75" s="62" t="n"/>
      <c r="AY75" s="62" t="n"/>
    </row>
    <row r="76">
      <c r="A76" s="38">
        <f>IF(D76="","",COUNTA($D$71:D76))</f>
        <v/>
      </c>
      <c r="B76" s="52" t="n"/>
      <c r="C76" s="68" t="inlineStr">
        <is>
          <t>마케팅3팀</t>
        </is>
      </c>
      <c r="D76" s="52" t="n"/>
      <c r="E76" s="54" t="n"/>
      <c r="F76" s="52" t="n"/>
      <c r="G76" s="55" t="n"/>
      <c r="H76" s="54" t="n"/>
      <c r="I76" s="54" t="n"/>
      <c r="J76" s="54" t="n"/>
      <c r="K76" s="56">
        <f>IF(SUM(U76:AY76)=0,"",SUM(U76:AY76))</f>
        <v/>
      </c>
      <c r="L76" s="57">
        <f>IFERROR(INDEX(U$2:AY$2,MATCH(TRUE,U76:AY76&lt;&gt;"",0)),"")</f>
        <v/>
      </c>
      <c r="M76" s="58">
        <f>IFERROR(LOOKUP(2,1/(U76:AY76&lt;&gt;""),U$2:AY$2),"")</f>
        <v/>
      </c>
      <c r="N76" s="59">
        <f>IF(OR(G76="",M76=""),"",G76-M76)</f>
        <v/>
      </c>
      <c r="O76" s="60" t="n"/>
      <c r="P76" s="61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  <c r="AG76" s="62" t="n"/>
      <c r="AH76" s="62" t="n"/>
      <c r="AI76" s="62" t="n"/>
      <c r="AJ76" s="62" t="n"/>
      <c r="AK76" s="62" t="n"/>
      <c r="AL76" s="62" t="n"/>
      <c r="AM76" s="62" t="n"/>
      <c r="AN76" s="62" t="n"/>
      <c r="AO76" s="62" t="n"/>
      <c r="AP76" s="62" t="n"/>
      <c r="AQ76" s="62" t="n"/>
      <c r="AR76" s="62" t="n"/>
      <c r="AS76" s="62" t="n"/>
      <c r="AT76" s="62" t="n"/>
      <c r="AU76" s="62" t="n"/>
      <c r="AV76" s="62" t="n"/>
      <c r="AW76" s="62" t="n"/>
      <c r="AX76" s="62" t="n"/>
      <c r="AY76" s="62" t="n"/>
    </row>
    <row r="77">
      <c r="A77" s="38">
        <f>IF(D77="","",COUNTA($D$71:D77))</f>
        <v/>
      </c>
      <c r="B77" s="52" t="n"/>
      <c r="C77" s="68" t="inlineStr">
        <is>
          <t>마케팅3팀</t>
        </is>
      </c>
      <c r="D77" s="52" t="n"/>
      <c r="E77" s="54" t="n"/>
      <c r="F77" s="52" t="n"/>
      <c r="G77" s="55" t="n"/>
      <c r="H77" s="54" t="n"/>
      <c r="I77" s="54" t="n"/>
      <c r="J77" s="54" t="n"/>
      <c r="K77" s="56">
        <f>IF(SUM(U77:AY77)=0,"",SUM(U77:AY77))</f>
        <v/>
      </c>
      <c r="L77" s="57">
        <f>IFERROR(INDEX(U$2:AY$2,MATCH(TRUE,U77:AY77&lt;&gt;"",0)),"")</f>
        <v/>
      </c>
      <c r="M77" s="58">
        <f>IFERROR(LOOKUP(2,1/(U77:AY77&lt;&gt;""),U$2:AY$2),"")</f>
        <v/>
      </c>
      <c r="N77" s="59">
        <f>IF(OR(G77="",M77=""),"",G77-M77)</f>
        <v/>
      </c>
      <c r="O77" s="60" t="n"/>
      <c r="P77" s="61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  <c r="AG77" s="62" t="n"/>
      <c r="AH77" s="62" t="n"/>
      <c r="AI77" s="62" t="n"/>
      <c r="AJ77" s="62" t="n"/>
      <c r="AK77" s="62" t="n"/>
      <c r="AL77" s="62" t="n"/>
      <c r="AM77" s="62" t="n"/>
      <c r="AN77" s="62" t="n"/>
      <c r="AO77" s="62" t="n"/>
      <c r="AP77" s="62" t="n"/>
      <c r="AQ77" s="62" t="n"/>
      <c r="AR77" s="62" t="n"/>
      <c r="AS77" s="62" t="n"/>
      <c r="AT77" s="62" t="n"/>
      <c r="AU77" s="62" t="n"/>
      <c r="AV77" s="62" t="n"/>
      <c r="AW77" s="62" t="n"/>
      <c r="AX77" s="62" t="n"/>
      <c r="AY77" s="62" t="n"/>
    </row>
    <row r="78">
      <c r="A78" s="38">
        <f>IF(D78="","",COUNTA($D$71:D78))</f>
        <v/>
      </c>
      <c r="B78" s="52" t="n"/>
      <c r="C78" s="68" t="inlineStr">
        <is>
          <t>마케팅3팀</t>
        </is>
      </c>
      <c r="D78" s="52" t="n"/>
      <c r="E78" s="54" t="n"/>
      <c r="F78" s="52" t="n"/>
      <c r="G78" s="55" t="n"/>
      <c r="H78" s="54" t="n"/>
      <c r="I78" s="54" t="n"/>
      <c r="J78" s="54" t="n"/>
      <c r="K78" s="56">
        <f>IF(SUM(U78:AY78)=0,"",SUM(U78:AY78))</f>
        <v/>
      </c>
      <c r="L78" s="57">
        <f>IFERROR(INDEX(U$2:AY$2,MATCH(TRUE,U78:AY78&lt;&gt;"",0)),"")</f>
        <v/>
      </c>
      <c r="M78" s="58">
        <f>IFERROR(LOOKUP(2,1/(U78:AY78&lt;&gt;""),U$2:AY$2),"")</f>
        <v/>
      </c>
      <c r="N78" s="59">
        <f>IF(OR(G78="",M78=""),"",G78-M78)</f>
        <v/>
      </c>
      <c r="O78" s="60" t="n"/>
      <c r="P78" s="61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  <c r="AG78" s="62" t="n"/>
      <c r="AH78" s="62" t="n"/>
      <c r="AI78" s="62" t="n"/>
      <c r="AJ78" s="62" t="n"/>
      <c r="AK78" s="62" t="n"/>
      <c r="AL78" s="62" t="n"/>
      <c r="AM78" s="62" t="n"/>
      <c r="AN78" s="62" t="n"/>
      <c r="AO78" s="62" t="n"/>
      <c r="AP78" s="62" t="n"/>
      <c r="AQ78" s="62" t="n"/>
      <c r="AR78" s="62" t="n"/>
      <c r="AS78" s="62" t="n"/>
      <c r="AT78" s="62" t="n"/>
      <c r="AU78" s="62" t="n"/>
      <c r="AV78" s="62" t="n"/>
      <c r="AW78" s="62" t="n"/>
      <c r="AX78" s="62" t="n"/>
      <c r="AY78" s="62" t="n"/>
    </row>
    <row r="79">
      <c r="A79" s="38">
        <f>IF(D79="","",COUNTA($D$71:D79))</f>
        <v/>
      </c>
      <c r="B79" s="52" t="n"/>
      <c r="C79" s="68" t="inlineStr">
        <is>
          <t>마케팅3팀</t>
        </is>
      </c>
      <c r="D79" s="52" t="n"/>
      <c r="E79" s="54" t="n"/>
      <c r="F79" s="52" t="n"/>
      <c r="G79" s="55" t="n"/>
      <c r="H79" s="54" t="n"/>
      <c r="I79" s="54" t="n"/>
      <c r="J79" s="54" t="n"/>
      <c r="K79" s="56">
        <f>IF(SUM(U79:AY79)=0,"",SUM(U79:AY79))</f>
        <v/>
      </c>
      <c r="L79" s="57">
        <f>IFERROR(INDEX(U$2:AY$2,MATCH(TRUE,U79:AY79&lt;&gt;"",0)),"")</f>
        <v/>
      </c>
      <c r="M79" s="58">
        <f>IFERROR(LOOKUP(2,1/(U79:AY79&lt;&gt;""),U$2:AY$2),"")</f>
        <v/>
      </c>
      <c r="N79" s="59">
        <f>IF(OR(G79="",M79=""),"",G79-M79)</f>
        <v/>
      </c>
      <c r="O79" s="60" t="n"/>
      <c r="P79" s="61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  <c r="AG79" s="62" t="n"/>
      <c r="AH79" s="62" t="n"/>
      <c r="AI79" s="62" t="n"/>
      <c r="AJ79" s="62" t="n"/>
      <c r="AK79" s="62" t="n"/>
      <c r="AL79" s="62" t="n"/>
      <c r="AM79" s="62" t="n"/>
      <c r="AN79" s="62" t="n"/>
      <c r="AO79" s="62" t="n"/>
      <c r="AP79" s="62" t="n"/>
      <c r="AQ79" s="62" t="n"/>
      <c r="AR79" s="62" t="n"/>
      <c r="AS79" s="62" t="n"/>
      <c r="AT79" s="62" t="n"/>
      <c r="AU79" s="62" t="n"/>
      <c r="AV79" s="62" t="n"/>
      <c r="AW79" s="62" t="n"/>
      <c r="AX79" s="62" t="n"/>
      <c r="AY79" s="62" t="n"/>
    </row>
    <row r="80">
      <c r="A80" s="38">
        <f>IF(D80="","",COUNTA($D$71:D80))</f>
        <v/>
      </c>
      <c r="B80" s="52" t="n"/>
      <c r="C80" s="68" t="inlineStr">
        <is>
          <t>마케팅3팀</t>
        </is>
      </c>
      <c r="D80" s="52" t="n"/>
      <c r="E80" s="54" t="n"/>
      <c r="F80" s="52" t="n"/>
      <c r="G80" s="55" t="n"/>
      <c r="H80" s="54" t="n"/>
      <c r="I80" s="54" t="n"/>
      <c r="J80" s="54" t="n"/>
      <c r="K80" s="56">
        <f>IF(SUM(U80:AY80)=0,"",SUM(U80:AY80))</f>
        <v/>
      </c>
      <c r="L80" s="57">
        <f>IFERROR(INDEX(U$2:AY$2,MATCH(TRUE,U80:AY80&lt;&gt;"",0)),"")</f>
        <v/>
      </c>
      <c r="M80" s="58">
        <f>IFERROR(LOOKUP(2,1/(U80:AY80&lt;&gt;""),U$2:AY$2),"")</f>
        <v/>
      </c>
      <c r="N80" s="59">
        <f>IF(OR(G80="",M80=""),"",G80-M80)</f>
        <v/>
      </c>
      <c r="O80" s="60" t="n"/>
      <c r="P80" s="61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  <c r="AG80" s="62" t="n"/>
      <c r="AH80" s="62" t="n"/>
      <c r="AI80" s="62" t="n"/>
      <c r="AJ80" s="62" t="n"/>
      <c r="AK80" s="62" t="n"/>
      <c r="AL80" s="62" t="n"/>
      <c r="AM80" s="62" t="n"/>
      <c r="AN80" s="62" t="n"/>
      <c r="AO80" s="62" t="n"/>
      <c r="AP80" s="62" t="n"/>
      <c r="AQ80" s="62" t="n"/>
      <c r="AR80" s="62" t="n"/>
      <c r="AS80" s="62" t="n"/>
      <c r="AT80" s="62" t="n"/>
      <c r="AU80" s="62" t="n"/>
      <c r="AV80" s="62" t="n"/>
      <c r="AW80" s="62" t="n"/>
      <c r="AX80" s="62" t="n"/>
      <c r="AY80" s="62" t="n"/>
    </row>
    <row r="81">
      <c r="A81" s="38">
        <f>IF(D81="","",COUNTA($D$71:D81))</f>
        <v/>
      </c>
      <c r="B81" s="52" t="n"/>
      <c r="C81" s="68" t="inlineStr">
        <is>
          <t>마케팅3팀</t>
        </is>
      </c>
      <c r="D81" s="52" t="n"/>
      <c r="E81" s="54" t="n"/>
      <c r="F81" s="52" t="n"/>
      <c r="G81" s="55" t="n"/>
      <c r="H81" s="54" t="n"/>
      <c r="I81" s="54" t="n"/>
      <c r="J81" s="54" t="n"/>
      <c r="K81" s="56">
        <f>IF(SUM(U81:AY81)=0,"",SUM(U81:AY81))</f>
        <v/>
      </c>
      <c r="L81" s="57">
        <f>IFERROR(INDEX(U$2:AY$2,MATCH(TRUE,U81:AY81&lt;&gt;"",0)),"")</f>
        <v/>
      </c>
      <c r="M81" s="58">
        <f>IFERROR(LOOKUP(2,1/(U81:AY81&lt;&gt;""),U$2:AY$2),"")</f>
        <v/>
      </c>
      <c r="N81" s="59">
        <f>IF(OR(G81="",M81=""),"",G81-M81)</f>
        <v/>
      </c>
      <c r="O81" s="60" t="n"/>
      <c r="P81" s="61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  <c r="AG81" s="62" t="n"/>
      <c r="AH81" s="62" t="n"/>
      <c r="AI81" s="62" t="n"/>
      <c r="AJ81" s="62" t="n"/>
      <c r="AK81" s="62" t="n"/>
      <c r="AL81" s="62" t="n"/>
      <c r="AM81" s="62" t="n"/>
      <c r="AN81" s="62" t="n"/>
      <c r="AO81" s="62" t="n"/>
      <c r="AP81" s="62" t="n"/>
      <c r="AQ81" s="62" t="n"/>
      <c r="AR81" s="62" t="n"/>
      <c r="AS81" s="62" t="n"/>
      <c r="AT81" s="62" t="n"/>
      <c r="AU81" s="62" t="n"/>
      <c r="AV81" s="62" t="n"/>
      <c r="AW81" s="62" t="n"/>
      <c r="AX81" s="62" t="n"/>
      <c r="AY81" s="62" t="n"/>
    </row>
    <row r="82">
      <c r="A82" s="38">
        <f>IF(D82="","",COUNTA($D$71:D82))</f>
        <v/>
      </c>
      <c r="B82" s="52" t="n"/>
      <c r="C82" s="68" t="inlineStr">
        <is>
          <t>마케팅3팀</t>
        </is>
      </c>
      <c r="D82" s="52" t="n"/>
      <c r="E82" s="54" t="n"/>
      <c r="F82" s="52" t="n"/>
      <c r="G82" s="55" t="n"/>
      <c r="H82" s="54" t="n"/>
      <c r="I82" s="54" t="n"/>
      <c r="J82" s="54" t="n"/>
      <c r="K82" s="56">
        <f>IF(SUM(U82:AY82)=0,"",SUM(U82:AY82))</f>
        <v/>
      </c>
      <c r="L82" s="57">
        <f>IFERROR(INDEX(U$2:AY$2,MATCH(TRUE,U82:AY82&lt;&gt;"",0)),"")</f>
        <v/>
      </c>
      <c r="M82" s="58">
        <f>IFERROR(LOOKUP(2,1/(U82:AY82&lt;&gt;""),U$2:AY$2),"")</f>
        <v/>
      </c>
      <c r="N82" s="59">
        <f>IF(OR(G82="",M82=""),"",G82-M82)</f>
        <v/>
      </c>
      <c r="O82" s="60" t="n"/>
      <c r="P82" s="61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  <c r="AG82" s="62" t="n"/>
      <c r="AH82" s="62" t="n"/>
      <c r="AI82" s="62" t="n"/>
      <c r="AJ82" s="62" t="n"/>
      <c r="AK82" s="62" t="n"/>
      <c r="AL82" s="62" t="n"/>
      <c r="AM82" s="62" t="n"/>
      <c r="AN82" s="62" t="n"/>
      <c r="AO82" s="62" t="n"/>
      <c r="AP82" s="62" t="n"/>
      <c r="AQ82" s="62" t="n"/>
      <c r="AR82" s="62" t="n"/>
      <c r="AS82" s="62" t="n"/>
      <c r="AT82" s="62" t="n"/>
      <c r="AU82" s="62" t="n"/>
      <c r="AV82" s="62" t="n"/>
      <c r="AW82" s="62" t="n"/>
      <c r="AX82" s="62" t="n"/>
      <c r="AY82" s="62" t="n"/>
    </row>
    <row r="83">
      <c r="A83" s="38">
        <f>IF(D83="","",COUNTA($D$71:D83))</f>
        <v/>
      </c>
      <c r="B83" s="52" t="n"/>
      <c r="C83" s="68" t="inlineStr">
        <is>
          <t>마케팅3팀</t>
        </is>
      </c>
      <c r="D83" s="52" t="n"/>
      <c r="E83" s="54" t="n"/>
      <c r="F83" s="52" t="n"/>
      <c r="G83" s="55" t="n"/>
      <c r="H83" s="54" t="n"/>
      <c r="I83" s="54" t="n"/>
      <c r="J83" s="54" t="n"/>
      <c r="K83" s="56">
        <f>IF(SUM(U83:AY83)=0,"",SUM(U83:AY83))</f>
        <v/>
      </c>
      <c r="L83" s="57">
        <f>IFERROR(INDEX(U$2:AY$2,MATCH(TRUE,U83:AY83&lt;&gt;"",0)),"")</f>
        <v/>
      </c>
      <c r="M83" s="58">
        <f>IFERROR(LOOKUP(2,1/(U83:AY83&lt;&gt;""),U$2:AY$2),"")</f>
        <v/>
      </c>
      <c r="N83" s="59">
        <f>IF(OR(G83="",M83=""),"",G83-M83)</f>
        <v/>
      </c>
      <c r="O83" s="60" t="n"/>
      <c r="P83" s="61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  <c r="AG83" s="62" t="n"/>
      <c r="AH83" s="62" t="n"/>
      <c r="AI83" s="62" t="n"/>
      <c r="AJ83" s="62" t="n"/>
      <c r="AK83" s="62" t="n"/>
      <c r="AL83" s="62" t="n"/>
      <c r="AM83" s="62" t="n"/>
      <c r="AN83" s="62" t="n"/>
      <c r="AO83" s="62" t="n"/>
      <c r="AP83" s="62" t="n"/>
      <c r="AQ83" s="62" t="n"/>
      <c r="AR83" s="62" t="n"/>
      <c r="AS83" s="62" t="n"/>
      <c r="AT83" s="62" t="n"/>
      <c r="AU83" s="62" t="n"/>
      <c r="AV83" s="62" t="n"/>
      <c r="AW83" s="62" t="n"/>
      <c r="AX83" s="62" t="n"/>
      <c r="AY83" s="62" t="n"/>
    </row>
    <row r="84">
      <c r="A84" s="38">
        <f>IF(D84="","",COUNTA($D$71:D84))</f>
        <v/>
      </c>
      <c r="B84" s="52" t="n"/>
      <c r="C84" s="68" t="inlineStr">
        <is>
          <t>마케팅3팀</t>
        </is>
      </c>
      <c r="D84" s="52" t="n"/>
      <c r="E84" s="54" t="n"/>
      <c r="F84" s="52" t="n"/>
      <c r="G84" s="55" t="n"/>
      <c r="H84" s="54" t="n"/>
      <c r="I84" s="54" t="n"/>
      <c r="J84" s="54" t="n"/>
      <c r="K84" s="56">
        <f>IF(SUM(U84:AY84)=0,"",SUM(U84:AY84))</f>
        <v/>
      </c>
      <c r="L84" s="57">
        <f>IFERROR(INDEX(U$2:AY$2,MATCH(TRUE,U84:AY84&lt;&gt;"",0)),"")</f>
        <v/>
      </c>
      <c r="M84" s="58">
        <f>IFERROR(LOOKUP(2,1/(U84:AY84&lt;&gt;""),U$2:AY$2),"")</f>
        <v/>
      </c>
      <c r="N84" s="59">
        <f>IF(OR(G84="",M84=""),"",G84-M84)</f>
        <v/>
      </c>
      <c r="O84" s="60" t="n"/>
      <c r="P84" s="61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  <c r="AG84" s="62" t="n"/>
      <c r="AH84" s="62" t="n"/>
      <c r="AI84" s="62" t="n"/>
      <c r="AJ84" s="62" t="n"/>
      <c r="AK84" s="62" t="n"/>
      <c r="AL84" s="62" t="n"/>
      <c r="AM84" s="62" t="n"/>
      <c r="AN84" s="62" t="n"/>
      <c r="AO84" s="62" t="n"/>
      <c r="AP84" s="62" t="n"/>
      <c r="AQ84" s="62" t="n"/>
      <c r="AR84" s="62" t="n"/>
      <c r="AS84" s="62" t="n"/>
      <c r="AT84" s="62" t="n"/>
      <c r="AU84" s="62" t="n"/>
      <c r="AV84" s="62" t="n"/>
      <c r="AW84" s="62" t="n"/>
      <c r="AX84" s="62" t="n"/>
      <c r="AY84" s="62" t="n"/>
    </row>
    <row r="85">
      <c r="A85" s="38">
        <f>IF(D85="","",COUNTA($D$71:D85))</f>
        <v/>
      </c>
      <c r="B85" s="52" t="n"/>
      <c r="C85" s="68" t="inlineStr">
        <is>
          <t>마케팅3팀</t>
        </is>
      </c>
      <c r="D85" s="52" t="n"/>
      <c r="E85" s="54" t="n"/>
      <c r="F85" s="52" t="n"/>
      <c r="G85" s="55" t="n"/>
      <c r="H85" s="54" t="n"/>
      <c r="I85" s="54" t="n"/>
      <c r="J85" s="54" t="n"/>
      <c r="K85" s="56">
        <f>IF(SUM(U85:AY85)=0,"",SUM(U85:AY85))</f>
        <v/>
      </c>
      <c r="L85" s="57">
        <f>IFERROR(INDEX(U$2:AY$2,MATCH(TRUE,U85:AY85&lt;&gt;"",0)),"")</f>
        <v/>
      </c>
      <c r="M85" s="58">
        <f>IFERROR(LOOKUP(2,1/(U85:AY85&lt;&gt;""),U$2:AY$2),"")</f>
        <v/>
      </c>
      <c r="N85" s="59">
        <f>IF(OR(G85="",M85=""),"",G85-M85)</f>
        <v/>
      </c>
      <c r="O85" s="60" t="n"/>
      <c r="P85" s="61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  <c r="AG85" s="62" t="n"/>
      <c r="AH85" s="62" t="n"/>
      <c r="AI85" s="62" t="n"/>
      <c r="AJ85" s="62" t="n"/>
      <c r="AK85" s="62" t="n"/>
      <c r="AL85" s="62" t="n"/>
      <c r="AM85" s="62" t="n"/>
      <c r="AN85" s="62" t="n"/>
      <c r="AO85" s="62" t="n"/>
      <c r="AP85" s="62" t="n"/>
      <c r="AQ85" s="62" t="n"/>
      <c r="AR85" s="62" t="n"/>
      <c r="AS85" s="62" t="n"/>
      <c r="AT85" s="62" t="n"/>
      <c r="AU85" s="62" t="n"/>
      <c r="AV85" s="62" t="n"/>
      <c r="AW85" s="62" t="n"/>
      <c r="AX85" s="62" t="n"/>
      <c r="AY85" s="62" t="n"/>
    </row>
    <row r="86">
      <c r="A86" s="38">
        <f>IF(D86="","",COUNTA($D$71:D86))</f>
        <v/>
      </c>
      <c r="B86" s="52" t="n"/>
      <c r="C86" s="68" t="inlineStr">
        <is>
          <t>마케팅3팀</t>
        </is>
      </c>
      <c r="D86" s="52" t="n"/>
      <c r="E86" s="54" t="n"/>
      <c r="F86" s="52" t="n"/>
      <c r="G86" s="55" t="n"/>
      <c r="H86" s="54" t="n"/>
      <c r="I86" s="54" t="n"/>
      <c r="J86" s="54" t="n"/>
      <c r="K86" s="56">
        <f>IF(SUM(U86:AY86)=0,"",SUM(U86:AY86))</f>
        <v/>
      </c>
      <c r="L86" s="57">
        <f>IFERROR(INDEX(U$2:AY$2,MATCH(TRUE,U86:AY86&lt;&gt;"",0)),"")</f>
        <v/>
      </c>
      <c r="M86" s="58">
        <f>IFERROR(LOOKUP(2,1/(U86:AY86&lt;&gt;""),U$2:AY$2),"")</f>
        <v/>
      </c>
      <c r="N86" s="59">
        <f>IF(OR(G86="",M86=""),"",G86-M86)</f>
        <v/>
      </c>
      <c r="O86" s="60" t="n"/>
      <c r="P86" s="61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  <c r="AG86" s="62" t="n"/>
      <c r="AH86" s="62" t="n"/>
      <c r="AI86" s="62" t="n"/>
      <c r="AJ86" s="62" t="n"/>
      <c r="AK86" s="62" t="n"/>
      <c r="AL86" s="62" t="n"/>
      <c r="AM86" s="62" t="n"/>
      <c r="AN86" s="62" t="n"/>
      <c r="AO86" s="62" t="n"/>
      <c r="AP86" s="62" t="n"/>
      <c r="AQ86" s="62" t="n"/>
      <c r="AR86" s="62" t="n"/>
      <c r="AS86" s="62" t="n"/>
      <c r="AT86" s="62" t="n"/>
      <c r="AU86" s="62" t="n"/>
      <c r="AV86" s="62" t="n"/>
      <c r="AW86" s="62" t="n"/>
      <c r="AX86" s="62" t="n"/>
      <c r="AY86" s="62" t="n"/>
    </row>
    <row r="87">
      <c r="A87" s="38">
        <f>IF(D87="","",COUNTA($D$71:D87))</f>
        <v/>
      </c>
      <c r="B87" s="52" t="n"/>
      <c r="C87" s="68" t="inlineStr">
        <is>
          <t>마케팅3팀</t>
        </is>
      </c>
      <c r="D87" s="52" t="n"/>
      <c r="E87" s="54" t="n"/>
      <c r="F87" s="52" t="n"/>
      <c r="G87" s="55" t="n"/>
      <c r="H87" s="54" t="n"/>
      <c r="I87" s="54" t="n"/>
      <c r="J87" s="54" t="n"/>
      <c r="K87" s="56">
        <f>IF(SUM(U87:AY87)=0,"",SUM(U87:AY87))</f>
        <v/>
      </c>
      <c r="L87" s="57">
        <f>IFERROR(INDEX(U$2:AY$2,MATCH(TRUE,U87:AY87&lt;&gt;"",0)),"")</f>
        <v/>
      </c>
      <c r="M87" s="58">
        <f>IFERROR(LOOKUP(2,1/(U87:AY87&lt;&gt;""),U$2:AY$2),"")</f>
        <v/>
      </c>
      <c r="N87" s="59">
        <f>IF(OR(G87="",M87=""),"",G87-M87)</f>
        <v/>
      </c>
      <c r="O87" s="60" t="n"/>
      <c r="P87" s="61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  <c r="AG87" s="62" t="n"/>
      <c r="AH87" s="62" t="n"/>
      <c r="AI87" s="62" t="n"/>
      <c r="AJ87" s="62" t="n"/>
      <c r="AK87" s="62" t="n"/>
      <c r="AL87" s="62" t="n"/>
      <c r="AM87" s="62" t="n"/>
      <c r="AN87" s="62" t="n"/>
      <c r="AO87" s="62" t="n"/>
      <c r="AP87" s="62" t="n"/>
      <c r="AQ87" s="62" t="n"/>
      <c r="AR87" s="62" t="n"/>
      <c r="AS87" s="62" t="n"/>
      <c r="AT87" s="62" t="n"/>
      <c r="AU87" s="62" t="n"/>
      <c r="AV87" s="62" t="n"/>
      <c r="AW87" s="62" t="n"/>
      <c r="AX87" s="62" t="n"/>
      <c r="AY87" s="62" t="n"/>
    </row>
    <row r="88">
      <c r="A88" s="38">
        <f>IF(D88="","",COUNTA($D$71:D88))</f>
        <v/>
      </c>
      <c r="B88" s="52" t="n"/>
      <c r="C88" s="68" t="inlineStr">
        <is>
          <t>마케팅3팀</t>
        </is>
      </c>
      <c r="D88" s="52" t="n"/>
      <c r="E88" s="54" t="n"/>
      <c r="F88" s="52" t="n"/>
      <c r="G88" s="55" t="n"/>
      <c r="H88" s="54" t="n"/>
      <c r="I88" s="54" t="n"/>
      <c r="J88" s="54" t="n"/>
      <c r="K88" s="56">
        <f>IF(SUM(U88:AY88)=0,"",SUM(U88:AY88))</f>
        <v/>
      </c>
      <c r="L88" s="57">
        <f>IFERROR(INDEX(U$2:AY$2,MATCH(TRUE,U88:AY88&lt;&gt;"",0)),"")</f>
        <v/>
      </c>
      <c r="M88" s="58">
        <f>IFERROR(LOOKUP(2,1/(U88:AY88&lt;&gt;""),U$2:AY$2),"")</f>
        <v/>
      </c>
      <c r="N88" s="59">
        <f>IF(OR(G88="",M88=""),"",G88-M88)</f>
        <v/>
      </c>
      <c r="O88" s="60" t="n"/>
      <c r="P88" s="61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  <c r="AG88" s="62" t="n"/>
      <c r="AH88" s="62" t="n"/>
      <c r="AI88" s="62" t="n"/>
      <c r="AJ88" s="62" t="n"/>
      <c r="AK88" s="62" t="n"/>
      <c r="AL88" s="62" t="n"/>
      <c r="AM88" s="62" t="n"/>
      <c r="AN88" s="62" t="n"/>
      <c r="AO88" s="62" t="n"/>
      <c r="AP88" s="62" t="n"/>
      <c r="AQ88" s="62" t="n"/>
      <c r="AR88" s="62" t="n"/>
      <c r="AS88" s="62" t="n"/>
      <c r="AT88" s="62" t="n"/>
      <c r="AU88" s="62" t="n"/>
      <c r="AV88" s="62" t="n"/>
      <c r="AW88" s="62" t="n"/>
      <c r="AX88" s="62" t="n"/>
      <c r="AY88" s="62" t="n"/>
    </row>
    <row r="89">
      <c r="A89" s="38">
        <f>IF(D89="","",COUNTA($D$71:D89))</f>
        <v/>
      </c>
      <c r="B89" s="52" t="n"/>
      <c r="C89" s="68" t="inlineStr">
        <is>
          <t>마케팅3팀</t>
        </is>
      </c>
      <c r="D89" s="52" t="n"/>
      <c r="E89" s="54" t="n"/>
      <c r="F89" s="52" t="n"/>
      <c r="G89" s="55" t="n"/>
      <c r="H89" s="54" t="n"/>
      <c r="I89" s="54" t="n"/>
      <c r="J89" s="54" t="n"/>
      <c r="K89" s="56">
        <f>IF(SUM(U89:AY89)=0,"",SUM(U89:AY89))</f>
        <v/>
      </c>
      <c r="L89" s="57">
        <f>IFERROR(INDEX(U$2:AY$2,MATCH(TRUE,U89:AY89&lt;&gt;"",0)),"")</f>
        <v/>
      </c>
      <c r="M89" s="58">
        <f>IFERROR(LOOKUP(2,1/(U89:AY89&lt;&gt;""),U$2:AY$2),"")</f>
        <v/>
      </c>
      <c r="N89" s="59">
        <f>IF(OR(G89="",M89=""),"",G89-M89)</f>
        <v/>
      </c>
      <c r="O89" s="60" t="n"/>
      <c r="P89" s="61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  <c r="AG89" s="62" t="n"/>
      <c r="AH89" s="62" t="n"/>
      <c r="AI89" s="62" t="n"/>
      <c r="AJ89" s="62" t="n"/>
      <c r="AK89" s="62" t="n"/>
      <c r="AL89" s="62" t="n"/>
      <c r="AM89" s="62" t="n"/>
      <c r="AN89" s="62" t="n"/>
      <c r="AO89" s="62" t="n"/>
      <c r="AP89" s="62" t="n"/>
      <c r="AQ89" s="62" t="n"/>
      <c r="AR89" s="62" t="n"/>
      <c r="AS89" s="62" t="n"/>
      <c r="AT89" s="62" t="n"/>
      <c r="AU89" s="62" t="n"/>
      <c r="AV89" s="62" t="n"/>
      <c r="AW89" s="62" t="n"/>
      <c r="AX89" s="62" t="n"/>
      <c r="AY89" s="62" t="n"/>
    </row>
    <row r="90">
      <c r="A90" s="38">
        <f>IF(D90="","",COUNTA($D$71:D90))</f>
        <v/>
      </c>
      <c r="B90" s="52" t="n"/>
      <c r="C90" s="68" t="inlineStr">
        <is>
          <t>마케팅3팀</t>
        </is>
      </c>
      <c r="D90" s="52" t="n"/>
      <c r="E90" s="54" t="n"/>
      <c r="F90" s="52" t="n"/>
      <c r="G90" s="55" t="n"/>
      <c r="H90" s="54" t="n"/>
      <c r="I90" s="54" t="n"/>
      <c r="J90" s="54" t="n"/>
      <c r="K90" s="56">
        <f>IF(SUM(U90:AY90)=0,"",SUM(U90:AY90))</f>
        <v/>
      </c>
      <c r="L90" s="57">
        <f>IFERROR(INDEX(U$2:AY$2,MATCH(TRUE,U90:AY90&lt;&gt;"",0)),"")</f>
        <v/>
      </c>
      <c r="M90" s="58">
        <f>IFERROR(LOOKUP(2,1/(U90:AY90&lt;&gt;""),U$2:AY$2),"")</f>
        <v/>
      </c>
      <c r="N90" s="59">
        <f>IF(OR(G90="",M90=""),"",G90-M90)</f>
        <v/>
      </c>
      <c r="O90" s="60" t="n"/>
      <c r="P90" s="61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  <c r="AG90" s="62" t="n"/>
      <c r="AH90" s="62" t="n"/>
      <c r="AI90" s="62" t="n"/>
      <c r="AJ90" s="62" t="n"/>
      <c r="AK90" s="62" t="n"/>
      <c r="AL90" s="62" t="n"/>
      <c r="AM90" s="62" t="n"/>
      <c r="AN90" s="62" t="n"/>
      <c r="AO90" s="62" t="n"/>
      <c r="AP90" s="62" t="n"/>
      <c r="AQ90" s="62" t="n"/>
      <c r="AR90" s="62" t="n"/>
      <c r="AS90" s="62" t="n"/>
      <c r="AT90" s="62" t="n"/>
      <c r="AU90" s="62" t="n"/>
      <c r="AV90" s="62" t="n"/>
      <c r="AW90" s="62" t="n"/>
      <c r="AX90" s="62" t="n"/>
      <c r="AY90" s="62" t="n"/>
    </row>
    <row r="91">
      <c r="A91" s="38">
        <f>IF(D91="","",COUNTA($D$71:D91))</f>
        <v/>
      </c>
      <c r="B91" s="52" t="n"/>
      <c r="C91" s="68" t="inlineStr">
        <is>
          <t>마케팅3팀</t>
        </is>
      </c>
      <c r="D91" s="52" t="n"/>
      <c r="E91" s="54" t="n"/>
      <c r="F91" s="52" t="n"/>
      <c r="G91" s="55" t="n"/>
      <c r="H91" s="54" t="n"/>
      <c r="I91" s="54" t="n"/>
      <c r="J91" s="54" t="n"/>
      <c r="K91" s="56">
        <f>IF(SUM(U91:AY91)=0,"",SUM(U91:AY91))</f>
        <v/>
      </c>
      <c r="L91" s="57">
        <f>IFERROR(INDEX(U$2:AY$2,MATCH(TRUE,U91:AY91&lt;&gt;"",0)),"")</f>
        <v/>
      </c>
      <c r="M91" s="58">
        <f>IFERROR(LOOKUP(2,1/(U91:AY91&lt;&gt;""),U$2:AY$2),"")</f>
        <v/>
      </c>
      <c r="N91" s="59">
        <f>IF(OR(G91="",M91=""),"",G91-M91)</f>
        <v/>
      </c>
      <c r="O91" s="60" t="n"/>
      <c r="P91" s="61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  <c r="AG91" s="62" t="n"/>
      <c r="AH91" s="62" t="n"/>
      <c r="AI91" s="62" t="n"/>
      <c r="AJ91" s="62" t="n"/>
      <c r="AK91" s="62" t="n"/>
      <c r="AL91" s="62" t="n"/>
      <c r="AM91" s="62" t="n"/>
      <c r="AN91" s="62" t="n"/>
      <c r="AO91" s="62" t="n"/>
      <c r="AP91" s="62" t="n"/>
      <c r="AQ91" s="62" t="n"/>
      <c r="AR91" s="62" t="n"/>
      <c r="AS91" s="62" t="n"/>
      <c r="AT91" s="62" t="n"/>
      <c r="AU91" s="62" t="n"/>
      <c r="AV91" s="62" t="n"/>
      <c r="AW91" s="62" t="n"/>
      <c r="AX91" s="62" t="n"/>
      <c r="AY91" s="62" t="n"/>
    </row>
    <row r="92">
      <c r="A92" s="38">
        <f>IF(D92="","",COUNTA($D$71:D92))</f>
        <v/>
      </c>
      <c r="B92" s="52" t="n"/>
      <c r="C92" s="68" t="inlineStr">
        <is>
          <t>마케팅3팀</t>
        </is>
      </c>
      <c r="D92" s="52" t="n"/>
      <c r="E92" s="54" t="n"/>
      <c r="F92" s="52" t="n"/>
      <c r="G92" s="55" t="n"/>
      <c r="H92" s="54" t="n"/>
      <c r="I92" s="54" t="n"/>
      <c r="J92" s="54" t="n"/>
      <c r="K92" s="56">
        <f>IF(SUM(U92:AY92)=0,"",SUM(U92:AY92))</f>
        <v/>
      </c>
      <c r="L92" s="57">
        <f>IFERROR(INDEX(U$2:AY$2,MATCH(TRUE,U92:AY92&lt;&gt;"",0)),"")</f>
        <v/>
      </c>
      <c r="M92" s="58">
        <f>IFERROR(LOOKUP(2,1/(U92:AY92&lt;&gt;""),U$2:AY$2),"")</f>
        <v/>
      </c>
      <c r="N92" s="59">
        <f>IF(OR(G92="",M92=""),"",G92-M92)</f>
        <v/>
      </c>
      <c r="O92" s="60" t="n"/>
      <c r="P92" s="61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  <c r="AG92" s="62" t="n"/>
      <c r="AH92" s="62" t="n"/>
      <c r="AI92" s="62" t="n"/>
      <c r="AJ92" s="62" t="n"/>
      <c r="AK92" s="62" t="n"/>
      <c r="AL92" s="62" t="n"/>
      <c r="AM92" s="62" t="n"/>
      <c r="AN92" s="62" t="n"/>
      <c r="AO92" s="62" t="n"/>
      <c r="AP92" s="62" t="n"/>
      <c r="AQ92" s="62" t="n"/>
      <c r="AR92" s="62" t="n"/>
      <c r="AS92" s="62" t="n"/>
      <c r="AT92" s="62" t="n"/>
      <c r="AU92" s="62" t="n"/>
      <c r="AV92" s="62" t="n"/>
      <c r="AW92" s="62" t="n"/>
      <c r="AX92" s="62" t="n"/>
      <c r="AY92" s="62" t="n"/>
    </row>
    <row r="93">
      <c r="A93" s="38">
        <f>IF(D93="","",COUNTA($D$71:D93))</f>
        <v/>
      </c>
      <c r="B93" s="52" t="n"/>
      <c r="C93" s="68" t="inlineStr">
        <is>
          <t>마케팅3팀</t>
        </is>
      </c>
      <c r="D93" s="52" t="n"/>
      <c r="E93" s="54" t="n"/>
      <c r="F93" s="52" t="n"/>
      <c r="G93" s="55" t="n"/>
      <c r="H93" s="54" t="n"/>
      <c r="I93" s="54" t="n"/>
      <c r="J93" s="54" t="n"/>
      <c r="K93" s="56">
        <f>IF(SUM(U93:AY93)=0,"",SUM(U93:AY93))</f>
        <v/>
      </c>
      <c r="L93" s="57">
        <f>IFERROR(INDEX(U$2:AY$2,MATCH(TRUE,U93:AY93&lt;&gt;"",0)),"")</f>
        <v/>
      </c>
      <c r="M93" s="58">
        <f>IFERROR(LOOKUP(2,1/(U93:AY93&lt;&gt;""),U$2:AY$2),"")</f>
        <v/>
      </c>
      <c r="N93" s="59">
        <f>IF(OR(G93="",M93=""),"",G93-M93)</f>
        <v/>
      </c>
      <c r="O93" s="60" t="n"/>
      <c r="P93" s="61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  <c r="AG93" s="62" t="n"/>
      <c r="AH93" s="62" t="n"/>
      <c r="AI93" s="62" t="n"/>
      <c r="AJ93" s="62" t="n"/>
      <c r="AK93" s="62" t="n"/>
      <c r="AL93" s="62" t="n"/>
      <c r="AM93" s="62" t="n"/>
      <c r="AN93" s="62" t="n"/>
      <c r="AO93" s="62" t="n"/>
      <c r="AP93" s="62" t="n"/>
      <c r="AQ93" s="62" t="n"/>
      <c r="AR93" s="62" t="n"/>
      <c r="AS93" s="62" t="n"/>
      <c r="AT93" s="62" t="n"/>
      <c r="AU93" s="62" t="n"/>
      <c r="AV93" s="62" t="n"/>
      <c r="AW93" s="62" t="n"/>
      <c r="AX93" s="62" t="n"/>
      <c r="AY93" s="62" t="n"/>
    </row>
    <row r="94">
      <c r="A94" s="38">
        <f>IF(D94="","",COUNTA($D$71:D94))</f>
        <v/>
      </c>
      <c r="B94" s="52" t="n"/>
      <c r="C94" s="68" t="inlineStr">
        <is>
          <t>마케팅3팀</t>
        </is>
      </c>
      <c r="D94" s="52" t="n"/>
      <c r="E94" s="54" t="n"/>
      <c r="F94" s="52" t="n"/>
      <c r="G94" s="55" t="n"/>
      <c r="H94" s="54" t="n"/>
      <c r="I94" s="54" t="n"/>
      <c r="J94" s="54" t="n"/>
      <c r="K94" s="56">
        <f>IF(SUM(U94:AY94)=0,"",SUM(U94:AY94))</f>
        <v/>
      </c>
      <c r="L94" s="57">
        <f>IFERROR(INDEX(U$2:AY$2,MATCH(TRUE,U94:AY94&lt;&gt;"",0)),"")</f>
        <v/>
      </c>
      <c r="M94" s="58">
        <f>IFERROR(LOOKUP(2,1/(U94:AY94&lt;&gt;""),U$2:AY$2),"")</f>
        <v/>
      </c>
      <c r="N94" s="59">
        <f>IF(OR(G94="",M94=""),"",G94-M94)</f>
        <v/>
      </c>
      <c r="O94" s="60" t="n"/>
      <c r="P94" s="61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  <c r="AG94" s="62" t="n"/>
      <c r="AH94" s="62" t="n"/>
      <c r="AI94" s="62" t="n"/>
      <c r="AJ94" s="62" t="n"/>
      <c r="AK94" s="62" t="n"/>
      <c r="AL94" s="62" t="n"/>
      <c r="AM94" s="62" t="n"/>
      <c r="AN94" s="62" t="n"/>
      <c r="AO94" s="62" t="n"/>
      <c r="AP94" s="62" t="n"/>
      <c r="AQ94" s="62" t="n"/>
      <c r="AR94" s="62" t="n"/>
      <c r="AS94" s="62" t="n"/>
      <c r="AT94" s="62" t="n"/>
      <c r="AU94" s="62" t="n"/>
      <c r="AV94" s="62" t="n"/>
      <c r="AW94" s="62" t="n"/>
      <c r="AX94" s="62" t="n"/>
      <c r="AY94" s="62" t="n"/>
    </row>
    <row r="95">
      <c r="A95" s="38">
        <f>IF(D95="","",COUNTA($D$71:D95))</f>
        <v/>
      </c>
      <c r="B95" s="52" t="n"/>
      <c r="C95" s="68" t="inlineStr">
        <is>
          <t>마케팅3팀</t>
        </is>
      </c>
      <c r="D95" s="52" t="n"/>
      <c r="E95" s="54" t="n"/>
      <c r="F95" s="52" t="n"/>
      <c r="G95" s="55" t="n"/>
      <c r="H95" s="54" t="n"/>
      <c r="I95" s="54" t="n"/>
      <c r="J95" s="54" t="n"/>
      <c r="K95" s="56">
        <f>IF(SUM(U95:AY95)=0,"",SUM(U95:AY95))</f>
        <v/>
      </c>
      <c r="L95" s="57">
        <f>IFERROR(INDEX(U$2:AY$2,MATCH(TRUE,U95:AY95&lt;&gt;"",0)),"")</f>
        <v/>
      </c>
      <c r="M95" s="58">
        <f>IFERROR(LOOKUP(2,1/(U95:AY95&lt;&gt;""),U$2:AY$2),"")</f>
        <v/>
      </c>
      <c r="N95" s="59">
        <f>IF(OR(G95="",M95=""),"",G95-M95)</f>
        <v/>
      </c>
      <c r="O95" s="60" t="n"/>
      <c r="P95" s="61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  <c r="AG95" s="62" t="n"/>
      <c r="AH95" s="62" t="n"/>
      <c r="AI95" s="62" t="n"/>
      <c r="AJ95" s="62" t="n"/>
      <c r="AK95" s="62" t="n"/>
      <c r="AL95" s="62" t="n"/>
      <c r="AM95" s="62" t="n"/>
      <c r="AN95" s="62" t="n"/>
      <c r="AO95" s="62" t="n"/>
      <c r="AP95" s="62" t="n"/>
      <c r="AQ95" s="62" t="n"/>
      <c r="AR95" s="62" t="n"/>
      <c r="AS95" s="62" t="n"/>
      <c r="AT95" s="62" t="n"/>
      <c r="AU95" s="62" t="n"/>
      <c r="AV95" s="62" t="n"/>
      <c r="AW95" s="62" t="n"/>
      <c r="AX95" s="62" t="n"/>
      <c r="AY95" s="62" t="n"/>
    </row>
    <row r="96">
      <c r="A96" s="38">
        <f>IF(D96="","",COUNTA($D$71:D96))</f>
        <v/>
      </c>
      <c r="B96" s="52" t="n"/>
      <c r="C96" s="68" t="inlineStr">
        <is>
          <t>마케팅3팀</t>
        </is>
      </c>
      <c r="D96" s="52" t="n"/>
      <c r="E96" s="54" t="n"/>
      <c r="F96" s="52" t="n"/>
      <c r="G96" s="55" t="n"/>
      <c r="H96" s="54" t="n"/>
      <c r="I96" s="54" t="n"/>
      <c r="J96" s="54" t="n"/>
      <c r="K96" s="56">
        <f>IF(SUM(U96:AY96)=0,"",SUM(U96:AY96))</f>
        <v/>
      </c>
      <c r="L96" s="57">
        <f>IFERROR(INDEX(U$2:AY$2,MATCH(TRUE,U96:AY96&lt;&gt;"",0)),"")</f>
        <v/>
      </c>
      <c r="M96" s="58">
        <f>IFERROR(LOOKUP(2,1/(U96:AY96&lt;&gt;""),U$2:AY$2),"")</f>
        <v/>
      </c>
      <c r="N96" s="59">
        <f>IF(OR(G96="",M96=""),"",G96-M96)</f>
        <v/>
      </c>
      <c r="O96" s="60" t="n"/>
      <c r="P96" s="61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  <c r="AG96" s="62" t="n"/>
      <c r="AH96" s="62" t="n"/>
      <c r="AI96" s="62" t="n"/>
      <c r="AJ96" s="62" t="n"/>
      <c r="AK96" s="62" t="n"/>
      <c r="AL96" s="62" t="n"/>
      <c r="AM96" s="62" t="n"/>
      <c r="AN96" s="62" t="n"/>
      <c r="AO96" s="62" t="n"/>
      <c r="AP96" s="62" t="n"/>
      <c r="AQ96" s="62" t="n"/>
      <c r="AR96" s="62" t="n"/>
      <c r="AS96" s="62" t="n"/>
      <c r="AT96" s="62" t="n"/>
      <c r="AU96" s="62" t="n"/>
      <c r="AV96" s="62" t="n"/>
      <c r="AW96" s="62" t="n"/>
      <c r="AX96" s="62" t="n"/>
      <c r="AY96" s="62" t="n"/>
    </row>
    <row r="97">
      <c r="A97" s="38">
        <f>IF(D97="","",COUNTA($D$71:D97))</f>
        <v/>
      </c>
      <c r="B97" s="52" t="n"/>
      <c r="C97" s="68" t="inlineStr">
        <is>
          <t>마케팅3팀</t>
        </is>
      </c>
      <c r="D97" s="52" t="n"/>
      <c r="E97" s="54" t="n"/>
      <c r="F97" s="52" t="n"/>
      <c r="G97" s="55" t="n"/>
      <c r="H97" s="54" t="n"/>
      <c r="I97" s="54" t="n"/>
      <c r="J97" s="54" t="n"/>
      <c r="K97" s="56">
        <f>IF(SUM(U97:AY97)=0,"",SUM(U97:AY97))</f>
        <v/>
      </c>
      <c r="L97" s="57">
        <f>IFERROR(INDEX(U$2:AY$2,MATCH(TRUE,U97:AY97&lt;&gt;"",0)),"")</f>
        <v/>
      </c>
      <c r="M97" s="58">
        <f>IFERROR(LOOKUP(2,1/(U97:AY97&lt;&gt;""),U$2:AY$2),"")</f>
        <v/>
      </c>
      <c r="N97" s="59">
        <f>IF(OR(G97="",M97=""),"",G97-M97)</f>
        <v/>
      </c>
      <c r="O97" s="60" t="n"/>
      <c r="P97" s="61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  <c r="AG97" s="62" t="n"/>
      <c r="AH97" s="62" t="n"/>
      <c r="AI97" s="62" t="n"/>
      <c r="AJ97" s="62" t="n"/>
      <c r="AK97" s="62" t="n"/>
      <c r="AL97" s="62" t="n"/>
      <c r="AM97" s="62" t="n"/>
      <c r="AN97" s="62" t="n"/>
      <c r="AO97" s="62" t="n"/>
      <c r="AP97" s="62" t="n"/>
      <c r="AQ97" s="62" t="n"/>
      <c r="AR97" s="62" t="n"/>
      <c r="AS97" s="62" t="n"/>
      <c r="AT97" s="62" t="n"/>
      <c r="AU97" s="62" t="n"/>
      <c r="AV97" s="62" t="n"/>
      <c r="AW97" s="62" t="n"/>
      <c r="AX97" s="62" t="n"/>
      <c r="AY97" s="62" t="n"/>
    </row>
    <row r="98">
      <c r="A98" s="38">
        <f>IF(D98="","",COUNTA($D$71:D98))</f>
        <v/>
      </c>
      <c r="B98" s="52" t="n"/>
      <c r="C98" s="68" t="inlineStr">
        <is>
          <t>마케팅3팀</t>
        </is>
      </c>
      <c r="D98" s="52" t="n"/>
      <c r="E98" s="54" t="n"/>
      <c r="F98" s="52" t="n"/>
      <c r="G98" s="55" t="n"/>
      <c r="H98" s="54" t="n"/>
      <c r="I98" s="54" t="n"/>
      <c r="J98" s="54" t="n"/>
      <c r="K98" s="56">
        <f>IF(SUM(U98:AY98)=0,"",SUM(U98:AY98))</f>
        <v/>
      </c>
      <c r="L98" s="57">
        <f>IFERROR(INDEX(U$2:AY$2,MATCH(TRUE,U98:AY98&lt;&gt;"",0)),"")</f>
        <v/>
      </c>
      <c r="M98" s="58">
        <f>IFERROR(LOOKUP(2,1/(U98:AY98&lt;&gt;""),U$2:AY$2),"")</f>
        <v/>
      </c>
      <c r="N98" s="59">
        <f>IF(OR(G98="",M98=""),"",G98-M98)</f>
        <v/>
      </c>
      <c r="O98" s="60" t="n"/>
      <c r="P98" s="61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  <c r="AG98" s="62" t="n"/>
      <c r="AH98" s="62" t="n"/>
      <c r="AI98" s="62" t="n"/>
      <c r="AJ98" s="62" t="n"/>
      <c r="AK98" s="62" t="n"/>
      <c r="AL98" s="62" t="n"/>
      <c r="AM98" s="62" t="n"/>
      <c r="AN98" s="62" t="n"/>
      <c r="AO98" s="62" t="n"/>
      <c r="AP98" s="62" t="n"/>
      <c r="AQ98" s="62" t="n"/>
      <c r="AR98" s="62" t="n"/>
      <c r="AS98" s="62" t="n"/>
      <c r="AT98" s="62" t="n"/>
      <c r="AU98" s="62" t="n"/>
      <c r="AV98" s="62" t="n"/>
      <c r="AW98" s="62" t="n"/>
      <c r="AX98" s="62" t="n"/>
      <c r="AY98" s="62" t="n"/>
    </row>
    <row r="99">
      <c r="A99" s="38">
        <f>IF(D99="","",COUNTA($D$71:D99))</f>
        <v/>
      </c>
      <c r="B99" s="52" t="n"/>
      <c r="C99" s="68" t="inlineStr">
        <is>
          <t>마케팅3팀</t>
        </is>
      </c>
      <c r="D99" s="52" t="n"/>
      <c r="E99" s="54" t="n"/>
      <c r="F99" s="52" t="n"/>
      <c r="G99" s="55" t="n"/>
      <c r="H99" s="54" t="n"/>
      <c r="I99" s="54" t="n"/>
      <c r="J99" s="54" t="n"/>
      <c r="K99" s="56">
        <f>IF(SUM(U99:AY99)=0,"",SUM(U99:AY99))</f>
        <v/>
      </c>
      <c r="L99" s="57">
        <f>IFERROR(INDEX(U$2:AY$2,MATCH(TRUE,U99:AY99&lt;&gt;"",0)),"")</f>
        <v/>
      </c>
      <c r="M99" s="58">
        <f>IFERROR(LOOKUP(2,1/(U99:AY99&lt;&gt;""),U$2:AY$2),"")</f>
        <v/>
      </c>
      <c r="N99" s="59">
        <f>IF(OR(G99="",M99=""),"",G99-M99)</f>
        <v/>
      </c>
      <c r="O99" s="60" t="n"/>
      <c r="P99" s="61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  <c r="AG99" s="62" t="n"/>
      <c r="AH99" s="62" t="n"/>
      <c r="AI99" s="62" t="n"/>
      <c r="AJ99" s="62" t="n"/>
      <c r="AK99" s="62" t="n"/>
      <c r="AL99" s="62" t="n"/>
      <c r="AM99" s="62" t="n"/>
      <c r="AN99" s="62" t="n"/>
      <c r="AO99" s="62" t="n"/>
      <c r="AP99" s="62" t="n"/>
      <c r="AQ99" s="62" t="n"/>
      <c r="AR99" s="62" t="n"/>
      <c r="AS99" s="62" t="n"/>
      <c r="AT99" s="62" t="n"/>
      <c r="AU99" s="62" t="n"/>
      <c r="AV99" s="62" t="n"/>
      <c r="AW99" s="62" t="n"/>
      <c r="AX99" s="62" t="n"/>
      <c r="AY99" s="62" t="n"/>
    </row>
    <row r="100">
      <c r="A100" s="38">
        <f>IF(D100="","",COUNTA($D$71:D100))</f>
        <v/>
      </c>
      <c r="B100" s="52" t="n"/>
      <c r="C100" s="68" t="inlineStr">
        <is>
          <t>마케팅3팀</t>
        </is>
      </c>
      <c r="D100" s="52" t="n"/>
      <c r="E100" s="54" t="n"/>
      <c r="F100" s="52" t="n"/>
      <c r="G100" s="55" t="n"/>
      <c r="H100" s="54" t="n"/>
      <c r="I100" s="54" t="n"/>
      <c r="J100" s="54" t="n"/>
      <c r="K100" s="56">
        <f>IF(SUM(U100:AY100)=0,"",SUM(U100:AY100))</f>
        <v/>
      </c>
      <c r="L100" s="57">
        <f>IFERROR(INDEX(U$2:AY$2,MATCH(TRUE,U100:AY100&lt;&gt;"",0)),"")</f>
        <v/>
      </c>
      <c r="M100" s="58">
        <f>IFERROR(LOOKUP(2,1/(U100:AY100&lt;&gt;""),U$2:AY$2),"")</f>
        <v/>
      </c>
      <c r="N100" s="59">
        <f>IF(OR(G100="",M100=""),"",G100-M100)</f>
        <v/>
      </c>
      <c r="O100" s="60" t="n"/>
      <c r="P100" s="61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  <c r="AG100" s="62" t="n"/>
      <c r="AH100" s="62" t="n"/>
      <c r="AI100" s="62" t="n"/>
      <c r="AJ100" s="62" t="n"/>
      <c r="AK100" s="62" t="n"/>
      <c r="AL100" s="62" t="n"/>
      <c r="AM100" s="62" t="n"/>
      <c r="AN100" s="62" t="n"/>
      <c r="AO100" s="62" t="n"/>
      <c r="AP100" s="62" t="n"/>
      <c r="AQ100" s="62" t="n"/>
      <c r="AR100" s="62" t="n"/>
      <c r="AS100" s="62" t="n"/>
      <c r="AT100" s="62" t="n"/>
      <c r="AU100" s="62" t="n"/>
      <c r="AV100" s="62" t="n"/>
      <c r="AW100" s="62" t="n"/>
      <c r="AX100" s="62" t="n"/>
      <c r="AY100" s="62" t="n"/>
    </row>
    <row r="101">
      <c r="A101" s="69" t="inlineStr">
        <is>
          <t>마케팅4팀  (102~131행)</t>
        </is>
      </c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  <c r="AJ101" s="70" t="n"/>
      <c r="AK101" s="70" t="n"/>
      <c r="AL101" s="70" t="n"/>
      <c r="AM101" s="70" t="n"/>
      <c r="AN101" s="70" t="n"/>
      <c r="AO101" s="70" t="n"/>
      <c r="AP101" s="70" t="n"/>
      <c r="AQ101" s="70" t="n"/>
      <c r="AR101" s="70" t="n"/>
      <c r="AS101" s="70" t="n"/>
      <c r="AT101" s="70" t="n"/>
      <c r="AU101" s="70" t="n"/>
      <c r="AV101" s="70" t="n"/>
      <c r="AW101" s="70" t="n"/>
      <c r="AX101" s="70" t="n"/>
      <c r="AY101" s="70" t="n"/>
    </row>
    <row r="102">
      <c r="A102" s="38">
        <f>IF(D102="","",COUNTA($D$102:D102))</f>
        <v/>
      </c>
      <c r="B102" s="52" t="n"/>
      <c r="C102" s="71" t="inlineStr">
        <is>
          <t>마케팅4팀</t>
        </is>
      </c>
      <c r="D102" s="52" t="n"/>
      <c r="E102" s="54" t="n"/>
      <c r="F102" s="52" t="n"/>
      <c r="G102" s="55" t="n"/>
      <c r="H102" s="54" t="n"/>
      <c r="I102" s="54" t="n"/>
      <c r="J102" s="54" t="n"/>
      <c r="K102" s="56">
        <f>IF(SUM(U102:AY102)=0,"",SUM(U102:AY102))</f>
        <v/>
      </c>
      <c r="L102" s="57">
        <f>IFERROR(INDEX(U$2:AY$2,MATCH(TRUE,U102:AY102&lt;&gt;"",0)),"")</f>
        <v/>
      </c>
      <c r="M102" s="58">
        <f>IFERROR(LOOKUP(2,1/(U102:AY102&lt;&gt;""),U$2:AY$2),"")</f>
        <v/>
      </c>
      <c r="N102" s="59">
        <f>IF(OR(G102="",M102=""),"",G102-M102)</f>
        <v/>
      </c>
      <c r="O102" s="60" t="n"/>
      <c r="P102" s="61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  <c r="AG102" s="62" t="n"/>
      <c r="AH102" s="62" t="n"/>
      <c r="AI102" s="62" t="n"/>
      <c r="AJ102" s="62" t="n"/>
      <c r="AK102" s="62" t="n"/>
      <c r="AL102" s="62" t="n"/>
      <c r="AM102" s="62" t="n"/>
      <c r="AN102" s="62" t="n"/>
      <c r="AO102" s="62" t="n"/>
      <c r="AP102" s="62" t="n"/>
      <c r="AQ102" s="62" t="n"/>
      <c r="AR102" s="62" t="n"/>
      <c r="AS102" s="62" t="n"/>
      <c r="AT102" s="62" t="n"/>
      <c r="AU102" s="62" t="n"/>
      <c r="AV102" s="62" t="n"/>
      <c r="AW102" s="62" t="n"/>
      <c r="AX102" s="62" t="n"/>
      <c r="AY102" s="62" t="n"/>
    </row>
    <row r="103">
      <c r="A103" s="38">
        <f>IF(D103="","",COUNTA($D$102:D103))</f>
        <v/>
      </c>
      <c r="B103" s="52" t="n"/>
      <c r="C103" s="71" t="inlineStr">
        <is>
          <t>마케팅4팀</t>
        </is>
      </c>
      <c r="D103" s="52" t="n"/>
      <c r="E103" s="54" t="n"/>
      <c r="F103" s="52" t="n"/>
      <c r="G103" s="55" t="n"/>
      <c r="H103" s="54" t="n"/>
      <c r="I103" s="54" t="n"/>
      <c r="J103" s="54" t="n"/>
      <c r="K103" s="56">
        <f>IF(SUM(U103:AY103)=0,"",SUM(U103:AY103))</f>
        <v/>
      </c>
      <c r="L103" s="57">
        <f>IFERROR(INDEX(U$2:AY$2,MATCH(TRUE,U103:AY103&lt;&gt;"",0)),"")</f>
        <v/>
      </c>
      <c r="M103" s="58">
        <f>IFERROR(LOOKUP(2,1/(U103:AY103&lt;&gt;""),U$2:AY$2),"")</f>
        <v/>
      </c>
      <c r="N103" s="59">
        <f>IF(OR(G103="",M103=""),"",G103-M103)</f>
        <v/>
      </c>
      <c r="O103" s="60" t="n"/>
      <c r="P103" s="61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  <c r="AG103" s="62" t="n"/>
      <c r="AH103" s="62" t="n"/>
      <c r="AI103" s="62" t="n"/>
      <c r="AJ103" s="62" t="n"/>
      <c r="AK103" s="62" t="n"/>
      <c r="AL103" s="62" t="n"/>
      <c r="AM103" s="62" t="n"/>
      <c r="AN103" s="62" t="n"/>
      <c r="AO103" s="62" t="n"/>
      <c r="AP103" s="62" t="n"/>
      <c r="AQ103" s="62" t="n"/>
      <c r="AR103" s="62" t="n"/>
      <c r="AS103" s="62" t="n"/>
      <c r="AT103" s="62" t="n"/>
      <c r="AU103" s="62" t="n"/>
      <c r="AV103" s="62" t="n"/>
      <c r="AW103" s="62" t="n"/>
      <c r="AX103" s="62" t="n"/>
      <c r="AY103" s="62" t="n"/>
    </row>
    <row r="104">
      <c r="A104" s="38">
        <f>IF(D104="","",COUNTA($D$102:D104))</f>
        <v/>
      </c>
      <c r="B104" s="52" t="n"/>
      <c r="C104" s="71" t="inlineStr">
        <is>
          <t>마케팅4팀</t>
        </is>
      </c>
      <c r="D104" s="52" t="n"/>
      <c r="E104" s="54" t="n"/>
      <c r="F104" s="52" t="n"/>
      <c r="G104" s="55" t="n"/>
      <c r="H104" s="54" t="n"/>
      <c r="I104" s="54" t="n"/>
      <c r="J104" s="54" t="n"/>
      <c r="K104" s="56">
        <f>IF(SUM(U104:AY104)=0,"",SUM(U104:AY104))</f>
        <v/>
      </c>
      <c r="L104" s="57">
        <f>IFERROR(INDEX(U$2:AY$2,MATCH(TRUE,U104:AY104&lt;&gt;"",0)),"")</f>
        <v/>
      </c>
      <c r="M104" s="58">
        <f>IFERROR(LOOKUP(2,1/(U104:AY104&lt;&gt;""),U$2:AY$2),"")</f>
        <v/>
      </c>
      <c r="N104" s="59">
        <f>IF(OR(G104="",M104=""),"",G104-M104)</f>
        <v/>
      </c>
      <c r="O104" s="60" t="n"/>
      <c r="P104" s="61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  <c r="AG104" s="62" t="n"/>
      <c r="AH104" s="62" t="n"/>
      <c r="AI104" s="62" t="n"/>
      <c r="AJ104" s="62" t="n"/>
      <c r="AK104" s="62" t="n"/>
      <c r="AL104" s="62" t="n"/>
      <c r="AM104" s="62" t="n"/>
      <c r="AN104" s="62" t="n"/>
      <c r="AO104" s="62" t="n"/>
      <c r="AP104" s="62" t="n"/>
      <c r="AQ104" s="62" t="n"/>
      <c r="AR104" s="62" t="n"/>
      <c r="AS104" s="62" t="n"/>
      <c r="AT104" s="62" t="n"/>
      <c r="AU104" s="62" t="n"/>
      <c r="AV104" s="62" t="n"/>
      <c r="AW104" s="62" t="n"/>
      <c r="AX104" s="62" t="n"/>
      <c r="AY104" s="62" t="n"/>
    </row>
    <row r="105">
      <c r="A105" s="38">
        <f>IF(D105="","",COUNTA($D$102:D105))</f>
        <v/>
      </c>
      <c r="B105" s="52" t="n"/>
      <c r="C105" s="71" t="inlineStr">
        <is>
          <t>마케팅4팀</t>
        </is>
      </c>
      <c r="D105" s="52" t="n"/>
      <c r="E105" s="54" t="n"/>
      <c r="F105" s="52" t="n"/>
      <c r="G105" s="55" t="n"/>
      <c r="H105" s="54" t="n"/>
      <c r="I105" s="54" t="n"/>
      <c r="J105" s="54" t="n"/>
      <c r="K105" s="56">
        <f>IF(SUM(U105:AY105)=0,"",SUM(U105:AY105))</f>
        <v/>
      </c>
      <c r="L105" s="57">
        <f>IFERROR(INDEX(U$2:AY$2,MATCH(TRUE,U105:AY105&lt;&gt;"",0)),"")</f>
        <v/>
      </c>
      <c r="M105" s="58">
        <f>IFERROR(LOOKUP(2,1/(U105:AY105&lt;&gt;""),U$2:AY$2),"")</f>
        <v/>
      </c>
      <c r="N105" s="59">
        <f>IF(OR(G105="",M105=""),"",G105-M105)</f>
        <v/>
      </c>
      <c r="O105" s="60" t="n"/>
      <c r="P105" s="61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  <c r="AG105" s="62" t="n"/>
      <c r="AH105" s="62" t="n"/>
      <c r="AI105" s="62" t="n"/>
      <c r="AJ105" s="62" t="n"/>
      <c r="AK105" s="62" t="n"/>
      <c r="AL105" s="62" t="n"/>
      <c r="AM105" s="62" t="n"/>
      <c r="AN105" s="62" t="n"/>
      <c r="AO105" s="62" t="n"/>
      <c r="AP105" s="62" t="n"/>
      <c r="AQ105" s="62" t="n"/>
      <c r="AR105" s="62" t="n"/>
      <c r="AS105" s="62" t="n"/>
      <c r="AT105" s="62" t="n"/>
      <c r="AU105" s="62" t="n"/>
      <c r="AV105" s="62" t="n"/>
      <c r="AW105" s="62" t="n"/>
      <c r="AX105" s="62" t="n"/>
      <c r="AY105" s="62" t="n"/>
    </row>
    <row r="106">
      <c r="A106" s="38">
        <f>IF(D106="","",COUNTA($D$102:D106))</f>
        <v/>
      </c>
      <c r="B106" s="52" t="n"/>
      <c r="C106" s="71" t="inlineStr">
        <is>
          <t>마케팅4팀</t>
        </is>
      </c>
      <c r="D106" s="52" t="n"/>
      <c r="E106" s="54" t="n"/>
      <c r="F106" s="52" t="n"/>
      <c r="G106" s="55" t="n"/>
      <c r="H106" s="54" t="n"/>
      <c r="I106" s="54" t="n"/>
      <c r="J106" s="54" t="n"/>
      <c r="K106" s="56">
        <f>IF(SUM(U106:AY106)=0,"",SUM(U106:AY106))</f>
        <v/>
      </c>
      <c r="L106" s="57">
        <f>IFERROR(INDEX(U$2:AY$2,MATCH(TRUE,U106:AY106&lt;&gt;"",0)),"")</f>
        <v/>
      </c>
      <c r="M106" s="58">
        <f>IFERROR(LOOKUP(2,1/(U106:AY106&lt;&gt;""),U$2:AY$2),"")</f>
        <v/>
      </c>
      <c r="N106" s="59">
        <f>IF(OR(G106="",M106=""),"",G106-M106)</f>
        <v/>
      </c>
      <c r="O106" s="60" t="n"/>
      <c r="P106" s="61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  <c r="AG106" s="62" t="n"/>
      <c r="AH106" s="62" t="n"/>
      <c r="AI106" s="62" t="n"/>
      <c r="AJ106" s="62" t="n"/>
      <c r="AK106" s="62" t="n"/>
      <c r="AL106" s="62" t="n"/>
      <c r="AM106" s="62" t="n"/>
      <c r="AN106" s="62" t="n"/>
      <c r="AO106" s="62" t="n"/>
      <c r="AP106" s="62" t="n"/>
      <c r="AQ106" s="62" t="n"/>
      <c r="AR106" s="62" t="n"/>
      <c r="AS106" s="62" t="n"/>
      <c r="AT106" s="62" t="n"/>
      <c r="AU106" s="62" t="n"/>
      <c r="AV106" s="62" t="n"/>
      <c r="AW106" s="62" t="n"/>
      <c r="AX106" s="62" t="n"/>
      <c r="AY106" s="62" t="n"/>
    </row>
    <row r="107">
      <c r="A107" s="38">
        <f>IF(D107="","",COUNTA($D$102:D107))</f>
        <v/>
      </c>
      <c r="B107" s="52" t="n"/>
      <c r="C107" s="71" t="inlineStr">
        <is>
          <t>마케팅4팀</t>
        </is>
      </c>
      <c r="D107" s="52" t="n"/>
      <c r="E107" s="54" t="n"/>
      <c r="F107" s="52" t="n"/>
      <c r="G107" s="55" t="n"/>
      <c r="H107" s="54" t="n"/>
      <c r="I107" s="54" t="n"/>
      <c r="J107" s="54" t="n"/>
      <c r="K107" s="56">
        <f>IF(SUM(U107:AY107)=0,"",SUM(U107:AY107))</f>
        <v/>
      </c>
      <c r="L107" s="57">
        <f>IFERROR(INDEX(U$2:AY$2,MATCH(TRUE,U107:AY107&lt;&gt;"",0)),"")</f>
        <v/>
      </c>
      <c r="M107" s="58">
        <f>IFERROR(LOOKUP(2,1/(U107:AY107&lt;&gt;""),U$2:AY$2),"")</f>
        <v/>
      </c>
      <c r="N107" s="59">
        <f>IF(OR(G107="",M107=""),"",G107-M107)</f>
        <v/>
      </c>
      <c r="O107" s="60" t="n"/>
      <c r="P107" s="61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  <c r="AG107" s="62" t="n"/>
      <c r="AH107" s="62" t="n"/>
      <c r="AI107" s="62" t="n"/>
      <c r="AJ107" s="62" t="n"/>
      <c r="AK107" s="62" t="n"/>
      <c r="AL107" s="62" t="n"/>
      <c r="AM107" s="62" t="n"/>
      <c r="AN107" s="62" t="n"/>
      <c r="AO107" s="62" t="n"/>
      <c r="AP107" s="62" t="n"/>
      <c r="AQ107" s="62" t="n"/>
      <c r="AR107" s="62" t="n"/>
      <c r="AS107" s="62" t="n"/>
      <c r="AT107" s="62" t="n"/>
      <c r="AU107" s="62" t="n"/>
      <c r="AV107" s="62" t="n"/>
      <c r="AW107" s="62" t="n"/>
      <c r="AX107" s="62" t="n"/>
      <c r="AY107" s="62" t="n"/>
    </row>
    <row r="108">
      <c r="A108" s="38">
        <f>IF(D108="","",COUNTA($D$102:D108))</f>
        <v/>
      </c>
      <c r="B108" s="52" t="n"/>
      <c r="C108" s="71" t="inlineStr">
        <is>
          <t>마케팅4팀</t>
        </is>
      </c>
      <c r="D108" s="52" t="n"/>
      <c r="E108" s="54" t="n"/>
      <c r="F108" s="52" t="n"/>
      <c r="G108" s="55" t="n"/>
      <c r="H108" s="54" t="n"/>
      <c r="I108" s="54" t="n"/>
      <c r="J108" s="54" t="n"/>
      <c r="K108" s="56">
        <f>IF(SUM(U108:AY108)=0,"",SUM(U108:AY108))</f>
        <v/>
      </c>
      <c r="L108" s="57">
        <f>IFERROR(INDEX(U$2:AY$2,MATCH(TRUE,U108:AY108&lt;&gt;"",0)),"")</f>
        <v/>
      </c>
      <c r="M108" s="58">
        <f>IFERROR(LOOKUP(2,1/(U108:AY108&lt;&gt;""),U$2:AY$2),"")</f>
        <v/>
      </c>
      <c r="N108" s="59">
        <f>IF(OR(G108="",M108=""),"",G108-M108)</f>
        <v/>
      </c>
      <c r="O108" s="60" t="n"/>
      <c r="P108" s="61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  <c r="AG108" s="62" t="n"/>
      <c r="AH108" s="62" t="n"/>
      <c r="AI108" s="62" t="n"/>
      <c r="AJ108" s="62" t="n"/>
      <c r="AK108" s="62" t="n"/>
      <c r="AL108" s="62" t="n"/>
      <c r="AM108" s="62" t="n"/>
      <c r="AN108" s="62" t="n"/>
      <c r="AO108" s="62" t="n"/>
      <c r="AP108" s="62" t="n"/>
      <c r="AQ108" s="62" t="n"/>
      <c r="AR108" s="62" t="n"/>
      <c r="AS108" s="62" t="n"/>
      <c r="AT108" s="62" t="n"/>
      <c r="AU108" s="62" t="n"/>
      <c r="AV108" s="62" t="n"/>
      <c r="AW108" s="62" t="n"/>
      <c r="AX108" s="62" t="n"/>
      <c r="AY108" s="62" t="n"/>
    </row>
    <row r="109">
      <c r="A109" s="38">
        <f>IF(D109="","",COUNTA($D$102:D109))</f>
        <v/>
      </c>
      <c r="B109" s="52" t="n"/>
      <c r="C109" s="71" t="inlineStr">
        <is>
          <t>마케팅4팀</t>
        </is>
      </c>
      <c r="D109" s="52" t="n"/>
      <c r="E109" s="54" t="n"/>
      <c r="F109" s="52" t="n"/>
      <c r="G109" s="55" t="n"/>
      <c r="H109" s="54" t="n"/>
      <c r="I109" s="54" t="n"/>
      <c r="J109" s="54" t="n"/>
      <c r="K109" s="56">
        <f>IF(SUM(U109:AY109)=0,"",SUM(U109:AY109))</f>
        <v/>
      </c>
      <c r="L109" s="57">
        <f>IFERROR(INDEX(U$2:AY$2,MATCH(TRUE,U109:AY109&lt;&gt;"",0)),"")</f>
        <v/>
      </c>
      <c r="M109" s="58">
        <f>IFERROR(LOOKUP(2,1/(U109:AY109&lt;&gt;""),U$2:AY$2),"")</f>
        <v/>
      </c>
      <c r="N109" s="59">
        <f>IF(OR(G109="",M109=""),"",G109-M109)</f>
        <v/>
      </c>
      <c r="O109" s="60" t="n"/>
      <c r="P109" s="61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  <c r="AG109" s="62" t="n"/>
      <c r="AH109" s="62" t="n"/>
      <c r="AI109" s="62" t="n"/>
      <c r="AJ109" s="62" t="n"/>
      <c r="AK109" s="62" t="n"/>
      <c r="AL109" s="62" t="n"/>
      <c r="AM109" s="62" t="n"/>
      <c r="AN109" s="62" t="n"/>
      <c r="AO109" s="62" t="n"/>
      <c r="AP109" s="62" t="n"/>
      <c r="AQ109" s="62" t="n"/>
      <c r="AR109" s="62" t="n"/>
      <c r="AS109" s="62" t="n"/>
      <c r="AT109" s="62" t="n"/>
      <c r="AU109" s="62" t="n"/>
      <c r="AV109" s="62" t="n"/>
      <c r="AW109" s="62" t="n"/>
      <c r="AX109" s="62" t="n"/>
      <c r="AY109" s="62" t="n"/>
    </row>
    <row r="110">
      <c r="A110" s="38">
        <f>IF(D110="","",COUNTA($D$102:D110))</f>
        <v/>
      </c>
      <c r="B110" s="52" t="n"/>
      <c r="C110" s="71" t="inlineStr">
        <is>
          <t>마케팅4팀</t>
        </is>
      </c>
      <c r="D110" s="52" t="n"/>
      <c r="E110" s="54" t="n"/>
      <c r="F110" s="52" t="n"/>
      <c r="G110" s="55" t="n"/>
      <c r="H110" s="54" t="n"/>
      <c r="I110" s="54" t="n"/>
      <c r="J110" s="54" t="n"/>
      <c r="K110" s="56">
        <f>IF(SUM(U110:AY110)=0,"",SUM(U110:AY110))</f>
        <v/>
      </c>
      <c r="L110" s="57">
        <f>IFERROR(INDEX(U$2:AY$2,MATCH(TRUE,U110:AY110&lt;&gt;"",0)),"")</f>
        <v/>
      </c>
      <c r="M110" s="58">
        <f>IFERROR(LOOKUP(2,1/(U110:AY110&lt;&gt;""),U$2:AY$2),"")</f>
        <v/>
      </c>
      <c r="N110" s="59">
        <f>IF(OR(G110="",M110=""),"",G110-M110)</f>
        <v/>
      </c>
      <c r="O110" s="60" t="n"/>
      <c r="P110" s="61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  <c r="AG110" s="62" t="n"/>
      <c r="AH110" s="62" t="n"/>
      <c r="AI110" s="62" t="n"/>
      <c r="AJ110" s="62" t="n"/>
      <c r="AK110" s="62" t="n"/>
      <c r="AL110" s="62" t="n"/>
      <c r="AM110" s="62" t="n"/>
      <c r="AN110" s="62" t="n"/>
      <c r="AO110" s="62" t="n"/>
      <c r="AP110" s="62" t="n"/>
      <c r="AQ110" s="62" t="n"/>
      <c r="AR110" s="62" t="n"/>
      <c r="AS110" s="62" t="n"/>
      <c r="AT110" s="62" t="n"/>
      <c r="AU110" s="62" t="n"/>
      <c r="AV110" s="62" t="n"/>
      <c r="AW110" s="62" t="n"/>
      <c r="AX110" s="62" t="n"/>
      <c r="AY110" s="62" t="n"/>
    </row>
    <row r="111">
      <c r="A111" s="38">
        <f>IF(D111="","",COUNTA($D$102:D111))</f>
        <v/>
      </c>
      <c r="B111" s="52" t="n"/>
      <c r="C111" s="71" t="inlineStr">
        <is>
          <t>마케팅4팀</t>
        </is>
      </c>
      <c r="D111" s="52" t="n"/>
      <c r="E111" s="54" t="n"/>
      <c r="F111" s="52" t="n"/>
      <c r="G111" s="55" t="n"/>
      <c r="H111" s="54" t="n"/>
      <c r="I111" s="54" t="n"/>
      <c r="J111" s="54" t="n"/>
      <c r="K111" s="56">
        <f>IF(SUM(U111:AY111)=0,"",SUM(U111:AY111))</f>
        <v/>
      </c>
      <c r="L111" s="57">
        <f>IFERROR(INDEX(U$2:AY$2,MATCH(TRUE,U111:AY111&lt;&gt;"",0)),"")</f>
        <v/>
      </c>
      <c r="M111" s="58">
        <f>IFERROR(LOOKUP(2,1/(U111:AY111&lt;&gt;""),U$2:AY$2),"")</f>
        <v/>
      </c>
      <c r="N111" s="59">
        <f>IF(OR(G111="",M111=""),"",G111-M111)</f>
        <v/>
      </c>
      <c r="O111" s="60" t="n"/>
      <c r="P111" s="61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  <c r="AG111" s="62" t="n"/>
      <c r="AH111" s="62" t="n"/>
      <c r="AI111" s="62" t="n"/>
      <c r="AJ111" s="62" t="n"/>
      <c r="AK111" s="62" t="n"/>
      <c r="AL111" s="62" t="n"/>
      <c r="AM111" s="62" t="n"/>
      <c r="AN111" s="62" t="n"/>
      <c r="AO111" s="62" t="n"/>
      <c r="AP111" s="62" t="n"/>
      <c r="AQ111" s="62" t="n"/>
      <c r="AR111" s="62" t="n"/>
      <c r="AS111" s="62" t="n"/>
      <c r="AT111" s="62" t="n"/>
      <c r="AU111" s="62" t="n"/>
      <c r="AV111" s="62" t="n"/>
      <c r="AW111" s="62" t="n"/>
      <c r="AX111" s="62" t="n"/>
      <c r="AY111" s="62" t="n"/>
    </row>
    <row r="112">
      <c r="A112" s="38">
        <f>IF(D112="","",COUNTA($D$102:D112))</f>
        <v/>
      </c>
      <c r="B112" s="52" t="n"/>
      <c r="C112" s="71" t="inlineStr">
        <is>
          <t>마케팅4팀</t>
        </is>
      </c>
      <c r="D112" s="52" t="n"/>
      <c r="E112" s="54" t="n"/>
      <c r="F112" s="52" t="n"/>
      <c r="G112" s="55" t="n"/>
      <c r="H112" s="54" t="n"/>
      <c r="I112" s="54" t="n"/>
      <c r="J112" s="54" t="n"/>
      <c r="K112" s="56">
        <f>IF(SUM(U112:AY112)=0,"",SUM(U112:AY112))</f>
        <v/>
      </c>
      <c r="L112" s="57">
        <f>IFERROR(INDEX(U$2:AY$2,MATCH(TRUE,U112:AY112&lt;&gt;"",0)),"")</f>
        <v/>
      </c>
      <c r="M112" s="58">
        <f>IFERROR(LOOKUP(2,1/(U112:AY112&lt;&gt;""),U$2:AY$2),"")</f>
        <v/>
      </c>
      <c r="N112" s="59">
        <f>IF(OR(G112="",M112=""),"",G112-M112)</f>
        <v/>
      </c>
      <c r="O112" s="60" t="n"/>
      <c r="P112" s="61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  <c r="AG112" s="62" t="n"/>
      <c r="AH112" s="62" t="n"/>
      <c r="AI112" s="62" t="n"/>
      <c r="AJ112" s="62" t="n"/>
      <c r="AK112" s="62" t="n"/>
      <c r="AL112" s="62" t="n"/>
      <c r="AM112" s="62" t="n"/>
      <c r="AN112" s="62" t="n"/>
      <c r="AO112" s="62" t="n"/>
      <c r="AP112" s="62" t="n"/>
      <c r="AQ112" s="62" t="n"/>
      <c r="AR112" s="62" t="n"/>
      <c r="AS112" s="62" t="n"/>
      <c r="AT112" s="62" t="n"/>
      <c r="AU112" s="62" t="n"/>
      <c r="AV112" s="62" t="n"/>
      <c r="AW112" s="62" t="n"/>
      <c r="AX112" s="62" t="n"/>
      <c r="AY112" s="62" t="n"/>
    </row>
    <row r="113">
      <c r="A113" s="38">
        <f>IF(D113="","",COUNTA($D$102:D113))</f>
        <v/>
      </c>
      <c r="B113" s="52" t="n"/>
      <c r="C113" s="71" t="inlineStr">
        <is>
          <t>마케팅4팀</t>
        </is>
      </c>
      <c r="D113" s="52" t="n"/>
      <c r="E113" s="54" t="n"/>
      <c r="F113" s="52" t="n"/>
      <c r="G113" s="55" t="n"/>
      <c r="H113" s="54" t="n"/>
      <c r="I113" s="54" t="n"/>
      <c r="J113" s="54" t="n"/>
      <c r="K113" s="56">
        <f>IF(SUM(U113:AY113)=0,"",SUM(U113:AY113))</f>
        <v/>
      </c>
      <c r="L113" s="57">
        <f>IFERROR(INDEX(U$2:AY$2,MATCH(TRUE,U113:AY113&lt;&gt;"",0)),"")</f>
        <v/>
      </c>
      <c r="M113" s="58">
        <f>IFERROR(LOOKUP(2,1/(U113:AY113&lt;&gt;""),U$2:AY$2),"")</f>
        <v/>
      </c>
      <c r="N113" s="59">
        <f>IF(OR(G113="",M113=""),"",G113-M113)</f>
        <v/>
      </c>
      <c r="O113" s="60" t="n"/>
      <c r="P113" s="61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  <c r="AG113" s="62" t="n"/>
      <c r="AH113" s="62" t="n"/>
      <c r="AI113" s="62" t="n"/>
      <c r="AJ113" s="62" t="n"/>
      <c r="AK113" s="62" t="n"/>
      <c r="AL113" s="62" t="n"/>
      <c r="AM113" s="62" t="n"/>
      <c r="AN113" s="62" t="n"/>
      <c r="AO113" s="62" t="n"/>
      <c r="AP113" s="62" t="n"/>
      <c r="AQ113" s="62" t="n"/>
      <c r="AR113" s="62" t="n"/>
      <c r="AS113" s="62" t="n"/>
      <c r="AT113" s="62" t="n"/>
      <c r="AU113" s="62" t="n"/>
      <c r="AV113" s="62" t="n"/>
      <c r="AW113" s="62" t="n"/>
      <c r="AX113" s="62" t="n"/>
      <c r="AY113" s="62" t="n"/>
    </row>
    <row r="114">
      <c r="A114" s="38">
        <f>IF(D114="","",COUNTA($D$102:D114))</f>
        <v/>
      </c>
      <c r="B114" s="52" t="n"/>
      <c r="C114" s="71" t="inlineStr">
        <is>
          <t>마케팅4팀</t>
        </is>
      </c>
      <c r="D114" s="52" t="n"/>
      <c r="E114" s="54" t="n"/>
      <c r="F114" s="52" t="n"/>
      <c r="G114" s="55" t="n"/>
      <c r="H114" s="54" t="n"/>
      <c r="I114" s="54" t="n"/>
      <c r="J114" s="54" t="n"/>
      <c r="K114" s="56">
        <f>IF(SUM(U114:AY114)=0,"",SUM(U114:AY114))</f>
        <v/>
      </c>
      <c r="L114" s="57">
        <f>IFERROR(INDEX(U$2:AY$2,MATCH(TRUE,U114:AY114&lt;&gt;"",0)),"")</f>
        <v/>
      </c>
      <c r="M114" s="58">
        <f>IFERROR(LOOKUP(2,1/(U114:AY114&lt;&gt;""),U$2:AY$2),"")</f>
        <v/>
      </c>
      <c r="N114" s="59">
        <f>IF(OR(G114="",M114=""),"",G114-M114)</f>
        <v/>
      </c>
      <c r="O114" s="60" t="n"/>
      <c r="P114" s="61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  <c r="AG114" s="62" t="n"/>
      <c r="AH114" s="62" t="n"/>
      <c r="AI114" s="62" t="n"/>
      <c r="AJ114" s="62" t="n"/>
      <c r="AK114" s="62" t="n"/>
      <c r="AL114" s="62" t="n"/>
      <c r="AM114" s="62" t="n"/>
      <c r="AN114" s="62" t="n"/>
      <c r="AO114" s="62" t="n"/>
      <c r="AP114" s="62" t="n"/>
      <c r="AQ114" s="62" t="n"/>
      <c r="AR114" s="62" t="n"/>
      <c r="AS114" s="62" t="n"/>
      <c r="AT114" s="62" t="n"/>
      <c r="AU114" s="62" t="n"/>
      <c r="AV114" s="62" t="n"/>
      <c r="AW114" s="62" t="n"/>
      <c r="AX114" s="62" t="n"/>
      <c r="AY114" s="62" t="n"/>
    </row>
    <row r="115">
      <c r="A115" s="38">
        <f>IF(D115="","",COUNTA($D$102:D115))</f>
        <v/>
      </c>
      <c r="B115" s="52" t="n"/>
      <c r="C115" s="71" t="inlineStr">
        <is>
          <t>마케팅4팀</t>
        </is>
      </c>
      <c r="D115" s="52" t="n"/>
      <c r="E115" s="54" t="n"/>
      <c r="F115" s="52" t="n"/>
      <c r="G115" s="55" t="n"/>
      <c r="H115" s="54" t="n"/>
      <c r="I115" s="54" t="n"/>
      <c r="J115" s="54" t="n"/>
      <c r="K115" s="56">
        <f>IF(SUM(U115:AY115)=0,"",SUM(U115:AY115))</f>
        <v/>
      </c>
      <c r="L115" s="57">
        <f>IFERROR(INDEX(U$2:AY$2,MATCH(TRUE,U115:AY115&lt;&gt;"",0)),"")</f>
        <v/>
      </c>
      <c r="M115" s="58">
        <f>IFERROR(LOOKUP(2,1/(U115:AY115&lt;&gt;""),U$2:AY$2),"")</f>
        <v/>
      </c>
      <c r="N115" s="59">
        <f>IF(OR(G115="",M115=""),"",G115-M115)</f>
        <v/>
      </c>
      <c r="O115" s="60" t="n"/>
      <c r="P115" s="61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  <c r="AG115" s="62" t="n"/>
      <c r="AH115" s="62" t="n"/>
      <c r="AI115" s="62" t="n"/>
      <c r="AJ115" s="62" t="n"/>
      <c r="AK115" s="62" t="n"/>
      <c r="AL115" s="62" t="n"/>
      <c r="AM115" s="62" t="n"/>
      <c r="AN115" s="62" t="n"/>
      <c r="AO115" s="62" t="n"/>
      <c r="AP115" s="62" t="n"/>
      <c r="AQ115" s="62" t="n"/>
      <c r="AR115" s="62" t="n"/>
      <c r="AS115" s="62" t="n"/>
      <c r="AT115" s="62" t="n"/>
      <c r="AU115" s="62" t="n"/>
      <c r="AV115" s="62" t="n"/>
      <c r="AW115" s="62" t="n"/>
      <c r="AX115" s="62" t="n"/>
      <c r="AY115" s="62" t="n"/>
    </row>
    <row r="116">
      <c r="A116" s="38">
        <f>IF(D116="","",COUNTA($D$102:D116))</f>
        <v/>
      </c>
      <c r="B116" s="52" t="n"/>
      <c r="C116" s="71" t="inlineStr">
        <is>
          <t>마케팅4팀</t>
        </is>
      </c>
      <c r="D116" s="52" t="n"/>
      <c r="E116" s="54" t="n"/>
      <c r="F116" s="52" t="n"/>
      <c r="G116" s="55" t="n"/>
      <c r="H116" s="54" t="n"/>
      <c r="I116" s="54" t="n"/>
      <c r="J116" s="54" t="n"/>
      <c r="K116" s="56">
        <f>IF(SUM(U116:AY116)=0,"",SUM(U116:AY116))</f>
        <v/>
      </c>
      <c r="L116" s="57">
        <f>IFERROR(INDEX(U$2:AY$2,MATCH(TRUE,U116:AY116&lt;&gt;"",0)),"")</f>
        <v/>
      </c>
      <c r="M116" s="58">
        <f>IFERROR(LOOKUP(2,1/(U116:AY116&lt;&gt;""),U$2:AY$2),"")</f>
        <v/>
      </c>
      <c r="N116" s="59">
        <f>IF(OR(G116="",M116=""),"",G116-M116)</f>
        <v/>
      </c>
      <c r="O116" s="60" t="n"/>
      <c r="P116" s="61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  <c r="AG116" s="62" t="n"/>
      <c r="AH116" s="62" t="n"/>
      <c r="AI116" s="62" t="n"/>
      <c r="AJ116" s="62" t="n"/>
      <c r="AK116" s="62" t="n"/>
      <c r="AL116" s="62" t="n"/>
      <c r="AM116" s="62" t="n"/>
      <c r="AN116" s="62" t="n"/>
      <c r="AO116" s="62" t="n"/>
      <c r="AP116" s="62" t="n"/>
      <c r="AQ116" s="62" t="n"/>
      <c r="AR116" s="62" t="n"/>
      <c r="AS116" s="62" t="n"/>
      <c r="AT116" s="62" t="n"/>
      <c r="AU116" s="62" t="n"/>
      <c r="AV116" s="62" t="n"/>
      <c r="AW116" s="62" t="n"/>
      <c r="AX116" s="62" t="n"/>
      <c r="AY116" s="62" t="n"/>
    </row>
    <row r="117">
      <c r="A117" s="38">
        <f>IF(D117="","",COUNTA($D$102:D117))</f>
        <v/>
      </c>
      <c r="B117" s="52" t="n"/>
      <c r="C117" s="71" t="inlineStr">
        <is>
          <t>마케팅4팀</t>
        </is>
      </c>
      <c r="D117" s="52" t="n"/>
      <c r="E117" s="54" t="n"/>
      <c r="F117" s="52" t="n"/>
      <c r="G117" s="55" t="n"/>
      <c r="H117" s="54" t="n"/>
      <c r="I117" s="54" t="n"/>
      <c r="J117" s="54" t="n"/>
      <c r="K117" s="56">
        <f>IF(SUM(U117:AY117)=0,"",SUM(U117:AY117))</f>
        <v/>
      </c>
      <c r="L117" s="57">
        <f>IFERROR(INDEX(U$2:AY$2,MATCH(TRUE,U117:AY117&lt;&gt;"",0)),"")</f>
        <v/>
      </c>
      <c r="M117" s="58">
        <f>IFERROR(LOOKUP(2,1/(U117:AY117&lt;&gt;""),U$2:AY$2),"")</f>
        <v/>
      </c>
      <c r="N117" s="59">
        <f>IF(OR(G117="",M117=""),"",G117-M117)</f>
        <v/>
      </c>
      <c r="O117" s="60" t="n"/>
      <c r="P117" s="61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  <c r="AG117" s="62" t="n"/>
      <c r="AH117" s="62" t="n"/>
      <c r="AI117" s="62" t="n"/>
      <c r="AJ117" s="62" t="n"/>
      <c r="AK117" s="62" t="n"/>
      <c r="AL117" s="62" t="n"/>
      <c r="AM117" s="62" t="n"/>
      <c r="AN117" s="62" t="n"/>
      <c r="AO117" s="62" t="n"/>
      <c r="AP117" s="62" t="n"/>
      <c r="AQ117" s="62" t="n"/>
      <c r="AR117" s="62" t="n"/>
      <c r="AS117" s="62" t="n"/>
      <c r="AT117" s="62" t="n"/>
      <c r="AU117" s="62" t="n"/>
      <c r="AV117" s="62" t="n"/>
      <c r="AW117" s="62" t="n"/>
      <c r="AX117" s="62" t="n"/>
      <c r="AY117" s="62" t="n"/>
    </row>
    <row r="118">
      <c r="A118" s="38">
        <f>IF(D118="","",COUNTA($D$102:D118))</f>
        <v/>
      </c>
      <c r="B118" s="52" t="n"/>
      <c r="C118" s="71" t="inlineStr">
        <is>
          <t>마케팅4팀</t>
        </is>
      </c>
      <c r="D118" s="52" t="n"/>
      <c r="E118" s="54" t="n"/>
      <c r="F118" s="52" t="n"/>
      <c r="G118" s="55" t="n"/>
      <c r="H118" s="54" t="n"/>
      <c r="I118" s="54" t="n"/>
      <c r="J118" s="54" t="n"/>
      <c r="K118" s="56">
        <f>IF(SUM(U118:AY118)=0,"",SUM(U118:AY118))</f>
        <v/>
      </c>
      <c r="L118" s="57">
        <f>IFERROR(INDEX(U$2:AY$2,MATCH(TRUE,U118:AY118&lt;&gt;"",0)),"")</f>
        <v/>
      </c>
      <c r="M118" s="58">
        <f>IFERROR(LOOKUP(2,1/(U118:AY118&lt;&gt;""),U$2:AY$2),"")</f>
        <v/>
      </c>
      <c r="N118" s="59">
        <f>IF(OR(G118="",M118=""),"",G118-M118)</f>
        <v/>
      </c>
      <c r="O118" s="60" t="n"/>
      <c r="P118" s="61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  <c r="AG118" s="62" t="n"/>
      <c r="AH118" s="62" t="n"/>
      <c r="AI118" s="62" t="n"/>
      <c r="AJ118" s="62" t="n"/>
      <c r="AK118" s="62" t="n"/>
      <c r="AL118" s="62" t="n"/>
      <c r="AM118" s="62" t="n"/>
      <c r="AN118" s="62" t="n"/>
      <c r="AO118" s="62" t="n"/>
      <c r="AP118" s="62" t="n"/>
      <c r="AQ118" s="62" t="n"/>
      <c r="AR118" s="62" t="n"/>
      <c r="AS118" s="62" t="n"/>
      <c r="AT118" s="62" t="n"/>
      <c r="AU118" s="62" t="n"/>
      <c r="AV118" s="62" t="n"/>
      <c r="AW118" s="62" t="n"/>
      <c r="AX118" s="62" t="n"/>
      <c r="AY118" s="62" t="n"/>
    </row>
    <row r="119">
      <c r="A119" s="38">
        <f>IF(D119="","",COUNTA($D$102:D119))</f>
        <v/>
      </c>
      <c r="B119" s="52" t="n"/>
      <c r="C119" s="71" t="inlineStr">
        <is>
          <t>마케팅4팀</t>
        </is>
      </c>
      <c r="D119" s="52" t="n"/>
      <c r="E119" s="54" t="n"/>
      <c r="F119" s="52" t="n"/>
      <c r="G119" s="55" t="n"/>
      <c r="H119" s="54" t="n"/>
      <c r="I119" s="54" t="n"/>
      <c r="J119" s="54" t="n"/>
      <c r="K119" s="56">
        <f>IF(SUM(U119:AY119)=0,"",SUM(U119:AY119))</f>
        <v/>
      </c>
      <c r="L119" s="57">
        <f>IFERROR(INDEX(U$2:AY$2,MATCH(TRUE,U119:AY119&lt;&gt;"",0)),"")</f>
        <v/>
      </c>
      <c r="M119" s="58">
        <f>IFERROR(LOOKUP(2,1/(U119:AY119&lt;&gt;""),U$2:AY$2),"")</f>
        <v/>
      </c>
      <c r="N119" s="59">
        <f>IF(OR(G119="",M119=""),"",G119-M119)</f>
        <v/>
      </c>
      <c r="O119" s="60" t="n"/>
      <c r="P119" s="61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  <c r="AG119" s="62" t="n"/>
      <c r="AH119" s="62" t="n"/>
      <c r="AI119" s="62" t="n"/>
      <c r="AJ119" s="62" t="n"/>
      <c r="AK119" s="62" t="n"/>
      <c r="AL119" s="62" t="n"/>
      <c r="AM119" s="62" t="n"/>
      <c r="AN119" s="62" t="n"/>
      <c r="AO119" s="62" t="n"/>
      <c r="AP119" s="62" t="n"/>
      <c r="AQ119" s="62" t="n"/>
      <c r="AR119" s="62" t="n"/>
      <c r="AS119" s="62" t="n"/>
      <c r="AT119" s="62" t="n"/>
      <c r="AU119" s="62" t="n"/>
      <c r="AV119" s="62" t="n"/>
      <c r="AW119" s="62" t="n"/>
      <c r="AX119" s="62" t="n"/>
      <c r="AY119" s="62" t="n"/>
    </row>
    <row r="120">
      <c r="A120" s="38">
        <f>IF(D120="","",COUNTA($D$102:D120))</f>
        <v/>
      </c>
      <c r="B120" s="52" t="n"/>
      <c r="C120" s="71" t="inlineStr">
        <is>
          <t>마케팅4팀</t>
        </is>
      </c>
      <c r="D120" s="52" t="n"/>
      <c r="E120" s="54" t="n"/>
      <c r="F120" s="52" t="n"/>
      <c r="G120" s="55" t="n"/>
      <c r="H120" s="54" t="n"/>
      <c r="I120" s="54" t="n"/>
      <c r="J120" s="54" t="n"/>
      <c r="K120" s="56">
        <f>IF(SUM(U120:AY120)=0,"",SUM(U120:AY120))</f>
        <v/>
      </c>
      <c r="L120" s="57">
        <f>IFERROR(INDEX(U$2:AY$2,MATCH(TRUE,U120:AY120&lt;&gt;"",0)),"")</f>
        <v/>
      </c>
      <c r="M120" s="58">
        <f>IFERROR(LOOKUP(2,1/(U120:AY120&lt;&gt;""),U$2:AY$2),"")</f>
        <v/>
      </c>
      <c r="N120" s="59">
        <f>IF(OR(G120="",M120=""),"",G120-M120)</f>
        <v/>
      </c>
      <c r="O120" s="60" t="n"/>
      <c r="P120" s="61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  <c r="AG120" s="62" t="n"/>
      <c r="AH120" s="62" t="n"/>
      <c r="AI120" s="62" t="n"/>
      <c r="AJ120" s="62" t="n"/>
      <c r="AK120" s="62" t="n"/>
      <c r="AL120" s="62" t="n"/>
      <c r="AM120" s="62" t="n"/>
      <c r="AN120" s="62" t="n"/>
      <c r="AO120" s="62" t="n"/>
      <c r="AP120" s="62" t="n"/>
      <c r="AQ120" s="62" t="n"/>
      <c r="AR120" s="62" t="n"/>
      <c r="AS120" s="62" t="n"/>
      <c r="AT120" s="62" t="n"/>
      <c r="AU120" s="62" t="n"/>
      <c r="AV120" s="62" t="n"/>
      <c r="AW120" s="62" t="n"/>
      <c r="AX120" s="62" t="n"/>
      <c r="AY120" s="62" t="n"/>
    </row>
    <row r="121">
      <c r="A121" s="38">
        <f>IF(D121="","",COUNTA($D$102:D121))</f>
        <v/>
      </c>
      <c r="B121" s="52" t="n"/>
      <c r="C121" s="71" t="inlineStr">
        <is>
          <t>마케팅4팀</t>
        </is>
      </c>
      <c r="D121" s="52" t="n"/>
      <c r="E121" s="54" t="n"/>
      <c r="F121" s="52" t="n"/>
      <c r="G121" s="55" t="n"/>
      <c r="H121" s="54" t="n"/>
      <c r="I121" s="54" t="n"/>
      <c r="J121" s="54" t="n"/>
      <c r="K121" s="56">
        <f>IF(SUM(U121:AY121)=0,"",SUM(U121:AY121))</f>
        <v/>
      </c>
      <c r="L121" s="57">
        <f>IFERROR(INDEX(U$2:AY$2,MATCH(TRUE,U121:AY121&lt;&gt;"",0)),"")</f>
        <v/>
      </c>
      <c r="M121" s="58">
        <f>IFERROR(LOOKUP(2,1/(U121:AY121&lt;&gt;""),U$2:AY$2),"")</f>
        <v/>
      </c>
      <c r="N121" s="59">
        <f>IF(OR(G121="",M121=""),"",G121-M121)</f>
        <v/>
      </c>
      <c r="O121" s="60" t="n"/>
      <c r="P121" s="61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  <c r="AG121" s="62" t="n"/>
      <c r="AH121" s="62" t="n"/>
      <c r="AI121" s="62" t="n"/>
      <c r="AJ121" s="62" t="n"/>
      <c r="AK121" s="62" t="n"/>
      <c r="AL121" s="62" t="n"/>
      <c r="AM121" s="62" t="n"/>
      <c r="AN121" s="62" t="n"/>
      <c r="AO121" s="62" t="n"/>
      <c r="AP121" s="62" t="n"/>
      <c r="AQ121" s="62" t="n"/>
      <c r="AR121" s="62" t="n"/>
      <c r="AS121" s="62" t="n"/>
      <c r="AT121" s="62" t="n"/>
      <c r="AU121" s="62" t="n"/>
      <c r="AV121" s="62" t="n"/>
      <c r="AW121" s="62" t="n"/>
      <c r="AX121" s="62" t="n"/>
      <c r="AY121" s="62" t="n"/>
    </row>
    <row r="122">
      <c r="A122" s="38">
        <f>IF(D122="","",COUNTA($D$102:D122))</f>
        <v/>
      </c>
      <c r="B122" s="52" t="n"/>
      <c r="C122" s="71" t="inlineStr">
        <is>
          <t>마케팅4팀</t>
        </is>
      </c>
      <c r="D122" s="52" t="n"/>
      <c r="E122" s="54" t="n"/>
      <c r="F122" s="52" t="n"/>
      <c r="G122" s="55" t="n"/>
      <c r="H122" s="54" t="n"/>
      <c r="I122" s="54" t="n"/>
      <c r="J122" s="54" t="n"/>
      <c r="K122" s="56">
        <f>IF(SUM(U122:AY122)=0,"",SUM(U122:AY122))</f>
        <v/>
      </c>
      <c r="L122" s="57">
        <f>IFERROR(INDEX(U$2:AY$2,MATCH(TRUE,U122:AY122&lt;&gt;"",0)),"")</f>
        <v/>
      </c>
      <c r="M122" s="58">
        <f>IFERROR(LOOKUP(2,1/(U122:AY122&lt;&gt;""),U$2:AY$2),"")</f>
        <v/>
      </c>
      <c r="N122" s="59">
        <f>IF(OR(G122="",M122=""),"",G122-M122)</f>
        <v/>
      </c>
      <c r="O122" s="60" t="n"/>
      <c r="P122" s="61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  <c r="AG122" s="62" t="n"/>
      <c r="AH122" s="62" t="n"/>
      <c r="AI122" s="62" t="n"/>
      <c r="AJ122" s="62" t="n"/>
      <c r="AK122" s="62" t="n"/>
      <c r="AL122" s="62" t="n"/>
      <c r="AM122" s="62" t="n"/>
      <c r="AN122" s="62" t="n"/>
      <c r="AO122" s="62" t="n"/>
      <c r="AP122" s="62" t="n"/>
      <c r="AQ122" s="62" t="n"/>
      <c r="AR122" s="62" t="n"/>
      <c r="AS122" s="62" t="n"/>
      <c r="AT122" s="62" t="n"/>
      <c r="AU122" s="62" t="n"/>
      <c r="AV122" s="62" t="n"/>
      <c r="AW122" s="62" t="n"/>
      <c r="AX122" s="62" t="n"/>
      <c r="AY122" s="62" t="n"/>
    </row>
    <row r="123">
      <c r="A123" s="38">
        <f>IF(D123="","",COUNTA($D$102:D123))</f>
        <v/>
      </c>
      <c r="B123" s="52" t="n"/>
      <c r="C123" s="71" t="inlineStr">
        <is>
          <t>마케팅4팀</t>
        </is>
      </c>
      <c r="D123" s="52" t="n"/>
      <c r="E123" s="54" t="n"/>
      <c r="F123" s="52" t="n"/>
      <c r="G123" s="55" t="n"/>
      <c r="H123" s="54" t="n"/>
      <c r="I123" s="54" t="n"/>
      <c r="J123" s="54" t="n"/>
      <c r="K123" s="56">
        <f>IF(SUM(U123:AY123)=0,"",SUM(U123:AY123))</f>
        <v/>
      </c>
      <c r="L123" s="57">
        <f>IFERROR(INDEX(U$2:AY$2,MATCH(TRUE,U123:AY123&lt;&gt;"",0)),"")</f>
        <v/>
      </c>
      <c r="M123" s="58">
        <f>IFERROR(LOOKUP(2,1/(U123:AY123&lt;&gt;""),U$2:AY$2),"")</f>
        <v/>
      </c>
      <c r="N123" s="59">
        <f>IF(OR(G123="",M123=""),"",G123-M123)</f>
        <v/>
      </c>
      <c r="O123" s="60" t="n"/>
      <c r="P123" s="61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  <c r="AG123" s="62" t="n"/>
      <c r="AH123" s="62" t="n"/>
      <c r="AI123" s="62" t="n"/>
      <c r="AJ123" s="62" t="n"/>
      <c r="AK123" s="62" t="n"/>
      <c r="AL123" s="62" t="n"/>
      <c r="AM123" s="62" t="n"/>
      <c r="AN123" s="62" t="n"/>
      <c r="AO123" s="62" t="n"/>
      <c r="AP123" s="62" t="n"/>
      <c r="AQ123" s="62" t="n"/>
      <c r="AR123" s="62" t="n"/>
      <c r="AS123" s="62" t="n"/>
      <c r="AT123" s="62" t="n"/>
      <c r="AU123" s="62" t="n"/>
      <c r="AV123" s="62" t="n"/>
      <c r="AW123" s="62" t="n"/>
      <c r="AX123" s="62" t="n"/>
      <c r="AY123" s="62" t="n"/>
    </row>
    <row r="124">
      <c r="A124" s="38">
        <f>IF(D124="","",COUNTA($D$102:D124))</f>
        <v/>
      </c>
      <c r="B124" s="52" t="n"/>
      <c r="C124" s="71" t="inlineStr">
        <is>
          <t>마케팅4팀</t>
        </is>
      </c>
      <c r="D124" s="52" t="n"/>
      <c r="E124" s="54" t="n"/>
      <c r="F124" s="52" t="n"/>
      <c r="G124" s="55" t="n"/>
      <c r="H124" s="54" t="n"/>
      <c r="I124" s="54" t="n"/>
      <c r="J124" s="54" t="n"/>
      <c r="K124" s="56">
        <f>IF(SUM(U124:AY124)=0,"",SUM(U124:AY124))</f>
        <v/>
      </c>
      <c r="L124" s="57">
        <f>IFERROR(INDEX(U$2:AY$2,MATCH(TRUE,U124:AY124&lt;&gt;"",0)),"")</f>
        <v/>
      </c>
      <c r="M124" s="58">
        <f>IFERROR(LOOKUP(2,1/(U124:AY124&lt;&gt;""),U$2:AY$2),"")</f>
        <v/>
      </c>
      <c r="N124" s="59">
        <f>IF(OR(G124="",M124=""),"",G124-M124)</f>
        <v/>
      </c>
      <c r="O124" s="60" t="n"/>
      <c r="P124" s="61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  <c r="AG124" s="62" t="n"/>
      <c r="AH124" s="62" t="n"/>
      <c r="AI124" s="62" t="n"/>
      <c r="AJ124" s="62" t="n"/>
      <c r="AK124" s="62" t="n"/>
      <c r="AL124" s="62" t="n"/>
      <c r="AM124" s="62" t="n"/>
      <c r="AN124" s="62" t="n"/>
      <c r="AO124" s="62" t="n"/>
      <c r="AP124" s="62" t="n"/>
      <c r="AQ124" s="62" t="n"/>
      <c r="AR124" s="62" t="n"/>
      <c r="AS124" s="62" t="n"/>
      <c r="AT124" s="62" t="n"/>
      <c r="AU124" s="62" t="n"/>
      <c r="AV124" s="62" t="n"/>
      <c r="AW124" s="62" t="n"/>
      <c r="AX124" s="62" t="n"/>
      <c r="AY124" s="62" t="n"/>
    </row>
    <row r="125">
      <c r="A125" s="38">
        <f>IF(D125="","",COUNTA($D$102:D125))</f>
        <v/>
      </c>
      <c r="B125" s="52" t="n"/>
      <c r="C125" s="71" t="inlineStr">
        <is>
          <t>마케팅4팀</t>
        </is>
      </c>
      <c r="D125" s="52" t="n"/>
      <c r="E125" s="54" t="n"/>
      <c r="F125" s="52" t="n"/>
      <c r="G125" s="55" t="n"/>
      <c r="H125" s="54" t="n"/>
      <c r="I125" s="54" t="n"/>
      <c r="J125" s="54" t="n"/>
      <c r="K125" s="56">
        <f>IF(SUM(U125:AY125)=0,"",SUM(U125:AY125))</f>
        <v/>
      </c>
      <c r="L125" s="57">
        <f>IFERROR(INDEX(U$2:AY$2,MATCH(TRUE,U125:AY125&lt;&gt;"",0)),"")</f>
        <v/>
      </c>
      <c r="M125" s="58">
        <f>IFERROR(LOOKUP(2,1/(U125:AY125&lt;&gt;""),U$2:AY$2),"")</f>
        <v/>
      </c>
      <c r="N125" s="59">
        <f>IF(OR(G125="",M125=""),"",G125-M125)</f>
        <v/>
      </c>
      <c r="O125" s="60" t="n"/>
      <c r="P125" s="61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  <c r="AG125" s="62" t="n"/>
      <c r="AH125" s="62" t="n"/>
      <c r="AI125" s="62" t="n"/>
      <c r="AJ125" s="62" t="n"/>
      <c r="AK125" s="62" t="n"/>
      <c r="AL125" s="62" t="n"/>
      <c r="AM125" s="62" t="n"/>
      <c r="AN125" s="62" t="n"/>
      <c r="AO125" s="62" t="n"/>
      <c r="AP125" s="62" t="n"/>
      <c r="AQ125" s="62" t="n"/>
      <c r="AR125" s="62" t="n"/>
      <c r="AS125" s="62" t="n"/>
      <c r="AT125" s="62" t="n"/>
      <c r="AU125" s="62" t="n"/>
      <c r="AV125" s="62" t="n"/>
      <c r="AW125" s="62" t="n"/>
      <c r="AX125" s="62" t="n"/>
      <c r="AY125" s="62" t="n"/>
    </row>
    <row r="126">
      <c r="A126" s="38">
        <f>IF(D126="","",COUNTA($D$102:D126))</f>
        <v/>
      </c>
      <c r="B126" s="52" t="n"/>
      <c r="C126" s="71" t="inlineStr">
        <is>
          <t>마케팅4팀</t>
        </is>
      </c>
      <c r="D126" s="52" t="n"/>
      <c r="E126" s="54" t="n"/>
      <c r="F126" s="52" t="n"/>
      <c r="G126" s="55" t="n"/>
      <c r="H126" s="54" t="n"/>
      <c r="I126" s="54" t="n"/>
      <c r="J126" s="54" t="n"/>
      <c r="K126" s="56">
        <f>IF(SUM(U126:AY126)=0,"",SUM(U126:AY126))</f>
        <v/>
      </c>
      <c r="L126" s="57">
        <f>IFERROR(INDEX(U$2:AY$2,MATCH(TRUE,U126:AY126&lt;&gt;"",0)),"")</f>
        <v/>
      </c>
      <c r="M126" s="58">
        <f>IFERROR(LOOKUP(2,1/(U126:AY126&lt;&gt;""),U$2:AY$2),"")</f>
        <v/>
      </c>
      <c r="N126" s="59">
        <f>IF(OR(G126="",M126=""),"",G126-M126)</f>
        <v/>
      </c>
      <c r="O126" s="60" t="n"/>
      <c r="P126" s="61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  <c r="AG126" s="62" t="n"/>
      <c r="AH126" s="62" t="n"/>
      <c r="AI126" s="62" t="n"/>
      <c r="AJ126" s="62" t="n"/>
      <c r="AK126" s="62" t="n"/>
      <c r="AL126" s="62" t="n"/>
      <c r="AM126" s="62" t="n"/>
      <c r="AN126" s="62" t="n"/>
      <c r="AO126" s="62" t="n"/>
      <c r="AP126" s="62" t="n"/>
      <c r="AQ126" s="62" t="n"/>
      <c r="AR126" s="62" t="n"/>
      <c r="AS126" s="62" t="n"/>
      <c r="AT126" s="62" t="n"/>
      <c r="AU126" s="62" t="n"/>
      <c r="AV126" s="62" t="n"/>
      <c r="AW126" s="62" t="n"/>
      <c r="AX126" s="62" t="n"/>
      <c r="AY126" s="62" t="n"/>
    </row>
    <row r="127">
      <c r="A127" s="38">
        <f>IF(D127="","",COUNTA($D$102:D127))</f>
        <v/>
      </c>
      <c r="B127" s="52" t="n"/>
      <c r="C127" s="71" t="inlineStr">
        <is>
          <t>마케팅4팀</t>
        </is>
      </c>
      <c r="D127" s="52" t="n"/>
      <c r="E127" s="54" t="n"/>
      <c r="F127" s="52" t="n"/>
      <c r="G127" s="55" t="n"/>
      <c r="H127" s="54" t="n"/>
      <c r="I127" s="54" t="n"/>
      <c r="J127" s="54" t="n"/>
      <c r="K127" s="56">
        <f>IF(SUM(U127:AY127)=0,"",SUM(U127:AY127))</f>
        <v/>
      </c>
      <c r="L127" s="57">
        <f>IFERROR(INDEX(U$2:AY$2,MATCH(TRUE,U127:AY127&lt;&gt;"",0)),"")</f>
        <v/>
      </c>
      <c r="M127" s="58">
        <f>IFERROR(LOOKUP(2,1/(U127:AY127&lt;&gt;""),U$2:AY$2),"")</f>
        <v/>
      </c>
      <c r="N127" s="59">
        <f>IF(OR(G127="",M127=""),"",G127-M127)</f>
        <v/>
      </c>
      <c r="O127" s="60" t="n"/>
      <c r="P127" s="61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  <c r="AG127" s="62" t="n"/>
      <c r="AH127" s="62" t="n"/>
      <c r="AI127" s="62" t="n"/>
      <c r="AJ127" s="62" t="n"/>
      <c r="AK127" s="62" t="n"/>
      <c r="AL127" s="62" t="n"/>
      <c r="AM127" s="62" t="n"/>
      <c r="AN127" s="62" t="n"/>
      <c r="AO127" s="62" t="n"/>
      <c r="AP127" s="62" t="n"/>
      <c r="AQ127" s="62" t="n"/>
      <c r="AR127" s="62" t="n"/>
      <c r="AS127" s="62" t="n"/>
      <c r="AT127" s="62" t="n"/>
      <c r="AU127" s="62" t="n"/>
      <c r="AV127" s="62" t="n"/>
      <c r="AW127" s="62" t="n"/>
      <c r="AX127" s="62" t="n"/>
      <c r="AY127" s="62" t="n"/>
    </row>
    <row r="128">
      <c r="A128" s="38">
        <f>IF(D128="","",COUNTA($D$102:D128))</f>
        <v/>
      </c>
      <c r="B128" s="52" t="n"/>
      <c r="C128" s="71" t="inlineStr">
        <is>
          <t>마케팅4팀</t>
        </is>
      </c>
      <c r="D128" s="52" t="n"/>
      <c r="E128" s="54" t="n"/>
      <c r="F128" s="52" t="n"/>
      <c r="G128" s="55" t="n"/>
      <c r="H128" s="54" t="n"/>
      <c r="I128" s="54" t="n"/>
      <c r="J128" s="54" t="n"/>
      <c r="K128" s="56">
        <f>IF(SUM(U128:AY128)=0,"",SUM(U128:AY128))</f>
        <v/>
      </c>
      <c r="L128" s="57">
        <f>IFERROR(INDEX(U$2:AY$2,MATCH(TRUE,U128:AY128&lt;&gt;"",0)),"")</f>
        <v/>
      </c>
      <c r="M128" s="58">
        <f>IFERROR(LOOKUP(2,1/(U128:AY128&lt;&gt;""),U$2:AY$2),"")</f>
        <v/>
      </c>
      <c r="N128" s="59">
        <f>IF(OR(G128="",M128=""),"",G128-M128)</f>
        <v/>
      </c>
      <c r="O128" s="60" t="n"/>
      <c r="P128" s="61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  <c r="AG128" s="62" t="n"/>
      <c r="AH128" s="62" t="n"/>
      <c r="AI128" s="62" t="n"/>
      <c r="AJ128" s="62" t="n"/>
      <c r="AK128" s="62" t="n"/>
      <c r="AL128" s="62" t="n"/>
      <c r="AM128" s="62" t="n"/>
      <c r="AN128" s="62" t="n"/>
      <c r="AO128" s="62" t="n"/>
      <c r="AP128" s="62" t="n"/>
      <c r="AQ128" s="62" t="n"/>
      <c r="AR128" s="62" t="n"/>
      <c r="AS128" s="62" t="n"/>
      <c r="AT128" s="62" t="n"/>
      <c r="AU128" s="62" t="n"/>
      <c r="AV128" s="62" t="n"/>
      <c r="AW128" s="62" t="n"/>
      <c r="AX128" s="62" t="n"/>
      <c r="AY128" s="62" t="n"/>
    </row>
    <row r="129">
      <c r="A129" s="38">
        <f>IF(D129="","",COUNTA($D$102:D129))</f>
        <v/>
      </c>
      <c r="B129" s="52" t="n"/>
      <c r="C129" s="71" t="inlineStr">
        <is>
          <t>마케팅4팀</t>
        </is>
      </c>
      <c r="D129" s="52" t="n"/>
      <c r="E129" s="54" t="n"/>
      <c r="F129" s="52" t="n"/>
      <c r="G129" s="55" t="n"/>
      <c r="H129" s="54" t="n"/>
      <c r="I129" s="54" t="n"/>
      <c r="J129" s="54" t="n"/>
      <c r="K129" s="56">
        <f>IF(SUM(U129:AY129)=0,"",SUM(U129:AY129))</f>
        <v/>
      </c>
      <c r="L129" s="57">
        <f>IFERROR(INDEX(U$2:AY$2,MATCH(TRUE,U129:AY129&lt;&gt;"",0)),"")</f>
        <v/>
      </c>
      <c r="M129" s="58">
        <f>IFERROR(LOOKUP(2,1/(U129:AY129&lt;&gt;""),U$2:AY$2),"")</f>
        <v/>
      </c>
      <c r="N129" s="59">
        <f>IF(OR(G129="",M129=""),"",G129-M129)</f>
        <v/>
      </c>
      <c r="O129" s="60" t="n"/>
      <c r="P129" s="61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  <c r="AG129" s="62" t="n"/>
      <c r="AH129" s="62" t="n"/>
      <c r="AI129" s="62" t="n"/>
      <c r="AJ129" s="62" t="n"/>
      <c r="AK129" s="62" t="n"/>
      <c r="AL129" s="62" t="n"/>
      <c r="AM129" s="62" t="n"/>
      <c r="AN129" s="62" t="n"/>
      <c r="AO129" s="62" t="n"/>
      <c r="AP129" s="62" t="n"/>
      <c r="AQ129" s="62" t="n"/>
      <c r="AR129" s="62" t="n"/>
      <c r="AS129" s="62" t="n"/>
      <c r="AT129" s="62" t="n"/>
      <c r="AU129" s="62" t="n"/>
      <c r="AV129" s="62" t="n"/>
      <c r="AW129" s="62" t="n"/>
      <c r="AX129" s="62" t="n"/>
      <c r="AY129" s="62" t="n"/>
    </row>
    <row r="130">
      <c r="A130" s="38">
        <f>IF(D130="","",COUNTA($D$102:D130))</f>
        <v/>
      </c>
      <c r="B130" s="52" t="n"/>
      <c r="C130" s="71" t="inlineStr">
        <is>
          <t>마케팅4팀</t>
        </is>
      </c>
      <c r="D130" s="52" t="n"/>
      <c r="E130" s="54" t="n"/>
      <c r="F130" s="52" t="n"/>
      <c r="G130" s="55" t="n"/>
      <c r="H130" s="54" t="n"/>
      <c r="I130" s="54" t="n"/>
      <c r="J130" s="54" t="n"/>
      <c r="K130" s="56">
        <f>IF(SUM(U130:AY130)=0,"",SUM(U130:AY130))</f>
        <v/>
      </c>
      <c r="L130" s="57">
        <f>IFERROR(INDEX(U$2:AY$2,MATCH(TRUE,U130:AY130&lt;&gt;"",0)),"")</f>
        <v/>
      </c>
      <c r="M130" s="58">
        <f>IFERROR(LOOKUP(2,1/(U130:AY130&lt;&gt;""),U$2:AY$2),"")</f>
        <v/>
      </c>
      <c r="N130" s="59">
        <f>IF(OR(G130="",M130=""),"",G130-M130)</f>
        <v/>
      </c>
      <c r="O130" s="60" t="n"/>
      <c r="P130" s="61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  <c r="AG130" s="62" t="n"/>
      <c r="AH130" s="62" t="n"/>
      <c r="AI130" s="62" t="n"/>
      <c r="AJ130" s="62" t="n"/>
      <c r="AK130" s="62" t="n"/>
      <c r="AL130" s="62" t="n"/>
      <c r="AM130" s="62" t="n"/>
      <c r="AN130" s="62" t="n"/>
      <c r="AO130" s="62" t="n"/>
      <c r="AP130" s="62" t="n"/>
      <c r="AQ130" s="62" t="n"/>
      <c r="AR130" s="62" t="n"/>
      <c r="AS130" s="62" t="n"/>
      <c r="AT130" s="62" t="n"/>
      <c r="AU130" s="62" t="n"/>
      <c r="AV130" s="62" t="n"/>
      <c r="AW130" s="62" t="n"/>
      <c r="AX130" s="62" t="n"/>
      <c r="AY130" s="62" t="n"/>
    </row>
    <row r="131">
      <c r="A131" s="38">
        <f>IF(D131="","",COUNTA($D$102:D131))</f>
        <v/>
      </c>
      <c r="B131" s="52" t="n"/>
      <c r="C131" s="71" t="inlineStr">
        <is>
          <t>마케팅4팀</t>
        </is>
      </c>
      <c r="D131" s="52" t="n"/>
      <c r="E131" s="54" t="n"/>
      <c r="F131" s="52" t="n"/>
      <c r="G131" s="55" t="n"/>
      <c r="H131" s="54" t="n"/>
      <c r="I131" s="54" t="n"/>
      <c r="J131" s="54" t="n"/>
      <c r="K131" s="56">
        <f>IF(SUM(U131:AY131)=0,"",SUM(U131:AY131))</f>
        <v/>
      </c>
      <c r="L131" s="57">
        <f>IFERROR(INDEX(U$2:AY$2,MATCH(TRUE,U131:AY131&lt;&gt;"",0)),"")</f>
        <v/>
      </c>
      <c r="M131" s="58">
        <f>IFERROR(LOOKUP(2,1/(U131:AY131&lt;&gt;""),U$2:AY$2),"")</f>
        <v/>
      </c>
      <c r="N131" s="59">
        <f>IF(OR(G131="",M131=""),"",G131-M131)</f>
        <v/>
      </c>
      <c r="O131" s="60" t="n"/>
      <c r="P131" s="61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  <c r="AG131" s="62" t="n"/>
      <c r="AH131" s="62" t="n"/>
      <c r="AI131" s="62" t="n"/>
      <c r="AJ131" s="62" t="n"/>
      <c r="AK131" s="62" t="n"/>
      <c r="AL131" s="62" t="n"/>
      <c r="AM131" s="62" t="n"/>
      <c r="AN131" s="62" t="n"/>
      <c r="AO131" s="62" t="n"/>
      <c r="AP131" s="62" t="n"/>
      <c r="AQ131" s="62" t="n"/>
      <c r="AR131" s="62" t="n"/>
      <c r="AS131" s="62" t="n"/>
      <c r="AT131" s="62" t="n"/>
      <c r="AU131" s="62" t="n"/>
      <c r="AV131" s="62" t="n"/>
      <c r="AW131" s="62" t="n"/>
      <c r="AX131" s="62" t="n"/>
      <c r="AY131" s="62" t="n"/>
    </row>
    <row r="132">
      <c r="A132" s="72" t="inlineStr">
        <is>
          <t>기타  (133~162행)</t>
        </is>
      </c>
      <c r="U132" s="34" t="n"/>
      <c r="V132" s="34" t="n"/>
      <c r="W132" s="34" t="n"/>
      <c r="X132" s="34" t="n"/>
      <c r="Y132" s="34" t="n"/>
      <c r="Z132" s="34" t="n"/>
      <c r="AA132" s="34" t="n"/>
      <c r="AB132" s="34" t="n"/>
      <c r="AC132" s="34" t="n"/>
      <c r="AD132" s="34" t="n"/>
      <c r="AE132" s="34" t="n"/>
      <c r="AF132" s="34" t="n"/>
      <c r="AG132" s="34" t="n"/>
      <c r="AH132" s="34" t="n"/>
      <c r="AI132" s="34" t="n"/>
      <c r="AJ132" s="34" t="n"/>
      <c r="AK132" s="34" t="n"/>
      <c r="AL132" s="34" t="n"/>
      <c r="AM132" s="34" t="n"/>
      <c r="AN132" s="34" t="n"/>
      <c r="AO132" s="34" t="n"/>
      <c r="AP132" s="34" t="n"/>
      <c r="AQ132" s="34" t="n"/>
      <c r="AR132" s="34" t="n"/>
      <c r="AS132" s="34" t="n"/>
      <c r="AT132" s="34" t="n"/>
      <c r="AU132" s="34" t="n"/>
      <c r="AV132" s="34" t="n"/>
      <c r="AW132" s="34" t="n"/>
      <c r="AX132" s="34" t="n"/>
      <c r="AY132" s="34" t="n"/>
    </row>
    <row r="133">
      <c r="A133" s="38">
        <f>IF(D133="","",COUNTA($D$133:D133))</f>
        <v/>
      </c>
      <c r="B133" s="52" t="n"/>
      <c r="C133" s="73" t="inlineStr">
        <is>
          <t>기타</t>
        </is>
      </c>
      <c r="D133" s="52" t="n"/>
      <c r="E133" s="54" t="n"/>
      <c r="F133" s="52" t="n"/>
      <c r="G133" s="55" t="n"/>
      <c r="H133" s="54" t="n"/>
      <c r="I133" s="54" t="n"/>
      <c r="J133" s="54" t="n"/>
      <c r="K133" s="56">
        <f>IF(SUM(U133:AY133)=0,"",SUM(U133:AY133))</f>
        <v/>
      </c>
      <c r="L133" s="57">
        <f>IFERROR(INDEX(U$2:AY$2,MATCH(TRUE,U133:AY133&lt;&gt;"",0)),"")</f>
        <v/>
      </c>
      <c r="M133" s="58">
        <f>IFERROR(LOOKUP(2,1/(U133:AY133&lt;&gt;""),U$2:AY$2),"")</f>
        <v/>
      </c>
      <c r="N133" s="59">
        <f>IF(OR(G133="",M133=""),"",G133-M133)</f>
        <v/>
      </c>
      <c r="O133" s="60" t="n"/>
      <c r="P133" s="61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  <c r="AG133" s="62" t="n"/>
      <c r="AH133" s="62" t="n"/>
      <c r="AI133" s="62" t="n"/>
      <c r="AJ133" s="62" t="n"/>
      <c r="AK133" s="62" t="n"/>
      <c r="AL133" s="62" t="n"/>
      <c r="AM133" s="62" t="n"/>
      <c r="AN133" s="62" t="n"/>
      <c r="AO133" s="62" t="n"/>
      <c r="AP133" s="62" t="n"/>
      <c r="AQ133" s="62" t="n"/>
      <c r="AR133" s="62" t="n"/>
      <c r="AS133" s="62" t="n"/>
      <c r="AT133" s="62" t="n"/>
      <c r="AU133" s="62" t="n"/>
      <c r="AV133" s="62" t="n"/>
      <c r="AW133" s="62" t="n"/>
      <c r="AX133" s="62" t="n"/>
      <c r="AY133" s="62" t="n"/>
    </row>
    <row r="134">
      <c r="A134" s="38">
        <f>IF(D134="","",COUNTA($D$133:D134))</f>
        <v/>
      </c>
      <c r="B134" s="52" t="n"/>
      <c r="C134" s="73" t="inlineStr">
        <is>
          <t>기타</t>
        </is>
      </c>
      <c r="D134" s="52" t="n"/>
      <c r="E134" s="54" t="n"/>
      <c r="F134" s="52" t="n"/>
      <c r="G134" s="55" t="n"/>
      <c r="H134" s="54" t="n"/>
      <c r="I134" s="54" t="n"/>
      <c r="J134" s="54" t="n"/>
      <c r="K134" s="56">
        <f>IF(SUM(U134:AY134)=0,"",SUM(U134:AY134))</f>
        <v/>
      </c>
      <c r="L134" s="57">
        <f>IFERROR(INDEX(U$2:AY$2,MATCH(TRUE,U134:AY134&lt;&gt;"",0)),"")</f>
        <v/>
      </c>
      <c r="M134" s="58">
        <f>IFERROR(LOOKUP(2,1/(U134:AY134&lt;&gt;""),U$2:AY$2),"")</f>
        <v/>
      </c>
      <c r="N134" s="59">
        <f>IF(OR(G134="",M134=""),"",G134-M134)</f>
        <v/>
      </c>
      <c r="O134" s="60" t="n"/>
      <c r="P134" s="61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  <c r="AG134" s="62" t="n"/>
      <c r="AH134" s="62" t="n"/>
      <c r="AI134" s="62" t="n"/>
      <c r="AJ134" s="62" t="n"/>
      <c r="AK134" s="62" t="n"/>
      <c r="AL134" s="62" t="n"/>
      <c r="AM134" s="62" t="n"/>
      <c r="AN134" s="62" t="n"/>
      <c r="AO134" s="62" t="n"/>
      <c r="AP134" s="62" t="n"/>
      <c r="AQ134" s="62" t="n"/>
      <c r="AR134" s="62" t="n"/>
      <c r="AS134" s="62" t="n"/>
      <c r="AT134" s="62" t="n"/>
      <c r="AU134" s="62" t="n"/>
      <c r="AV134" s="62" t="n"/>
      <c r="AW134" s="62" t="n"/>
      <c r="AX134" s="62" t="n"/>
      <c r="AY134" s="62" t="n"/>
    </row>
    <row r="135">
      <c r="A135" s="38">
        <f>IF(D135="","",COUNTA($D$133:D135))</f>
        <v/>
      </c>
      <c r="B135" s="52" t="n"/>
      <c r="C135" s="73" t="inlineStr">
        <is>
          <t>기타</t>
        </is>
      </c>
      <c r="D135" s="52" t="n"/>
      <c r="E135" s="54" t="n"/>
      <c r="F135" s="52" t="n"/>
      <c r="G135" s="55" t="n"/>
      <c r="H135" s="54" t="n"/>
      <c r="I135" s="54" t="n"/>
      <c r="J135" s="54" t="n"/>
      <c r="K135" s="56">
        <f>IF(SUM(U135:AY135)=0,"",SUM(U135:AY135))</f>
        <v/>
      </c>
      <c r="L135" s="57">
        <f>IFERROR(INDEX(U$2:AY$2,MATCH(TRUE,U135:AY135&lt;&gt;"",0)),"")</f>
        <v/>
      </c>
      <c r="M135" s="58">
        <f>IFERROR(LOOKUP(2,1/(U135:AY135&lt;&gt;""),U$2:AY$2),"")</f>
        <v/>
      </c>
      <c r="N135" s="59">
        <f>IF(OR(G135="",M135=""),"",G135-M135)</f>
        <v/>
      </c>
      <c r="O135" s="60" t="n"/>
      <c r="P135" s="61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  <c r="AG135" s="62" t="n"/>
      <c r="AH135" s="62" t="n"/>
      <c r="AI135" s="62" t="n"/>
      <c r="AJ135" s="62" t="n"/>
      <c r="AK135" s="62" t="n"/>
      <c r="AL135" s="62" t="n"/>
      <c r="AM135" s="62" t="n"/>
      <c r="AN135" s="62" t="n"/>
      <c r="AO135" s="62" t="n"/>
      <c r="AP135" s="62" t="n"/>
      <c r="AQ135" s="62" t="n"/>
      <c r="AR135" s="62" t="n"/>
      <c r="AS135" s="62" t="n"/>
      <c r="AT135" s="62" t="n"/>
      <c r="AU135" s="62" t="n"/>
      <c r="AV135" s="62" t="n"/>
      <c r="AW135" s="62" t="n"/>
      <c r="AX135" s="62" t="n"/>
      <c r="AY135" s="62" t="n"/>
    </row>
    <row r="136">
      <c r="A136" s="38">
        <f>IF(D136="","",COUNTA($D$133:D136))</f>
        <v/>
      </c>
      <c r="B136" s="52" t="n"/>
      <c r="C136" s="73" t="inlineStr">
        <is>
          <t>기타</t>
        </is>
      </c>
      <c r="D136" s="52" t="n"/>
      <c r="E136" s="54" t="n"/>
      <c r="F136" s="52" t="n"/>
      <c r="G136" s="55" t="n"/>
      <c r="H136" s="54" t="n"/>
      <c r="I136" s="54" t="n"/>
      <c r="J136" s="54" t="n"/>
      <c r="K136" s="56">
        <f>IF(SUM(U136:AY136)=0,"",SUM(U136:AY136))</f>
        <v/>
      </c>
      <c r="L136" s="57">
        <f>IFERROR(INDEX(U$2:AY$2,MATCH(TRUE,U136:AY136&lt;&gt;"",0)),"")</f>
        <v/>
      </c>
      <c r="M136" s="58">
        <f>IFERROR(LOOKUP(2,1/(U136:AY136&lt;&gt;""),U$2:AY$2),"")</f>
        <v/>
      </c>
      <c r="N136" s="59">
        <f>IF(OR(G136="",M136=""),"",G136-M136)</f>
        <v/>
      </c>
      <c r="O136" s="60" t="n"/>
      <c r="P136" s="61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  <c r="AG136" s="62" t="n"/>
      <c r="AH136" s="62" t="n"/>
      <c r="AI136" s="62" t="n"/>
      <c r="AJ136" s="62" t="n"/>
      <c r="AK136" s="62" t="n"/>
      <c r="AL136" s="62" t="n"/>
      <c r="AM136" s="62" t="n"/>
      <c r="AN136" s="62" t="n"/>
      <c r="AO136" s="62" t="n"/>
      <c r="AP136" s="62" t="n"/>
      <c r="AQ136" s="62" t="n"/>
      <c r="AR136" s="62" t="n"/>
      <c r="AS136" s="62" t="n"/>
      <c r="AT136" s="62" t="n"/>
      <c r="AU136" s="62" t="n"/>
      <c r="AV136" s="62" t="n"/>
      <c r="AW136" s="62" t="n"/>
      <c r="AX136" s="62" t="n"/>
      <c r="AY136" s="62" t="n"/>
    </row>
    <row r="137">
      <c r="A137" s="38">
        <f>IF(D137="","",COUNTA($D$133:D137))</f>
        <v/>
      </c>
      <c r="B137" s="52" t="n"/>
      <c r="C137" s="73" t="inlineStr">
        <is>
          <t>기타</t>
        </is>
      </c>
      <c r="D137" s="52" t="n"/>
      <c r="E137" s="54" t="n"/>
      <c r="F137" s="52" t="n"/>
      <c r="G137" s="55" t="n"/>
      <c r="H137" s="54" t="n"/>
      <c r="I137" s="54" t="n"/>
      <c r="J137" s="54" t="n"/>
      <c r="K137" s="56">
        <f>IF(SUM(U137:AY137)=0,"",SUM(U137:AY137))</f>
        <v/>
      </c>
      <c r="L137" s="57">
        <f>IFERROR(INDEX(U$2:AY$2,MATCH(TRUE,U137:AY137&lt;&gt;"",0)),"")</f>
        <v/>
      </c>
      <c r="M137" s="58">
        <f>IFERROR(LOOKUP(2,1/(U137:AY137&lt;&gt;""),U$2:AY$2),"")</f>
        <v/>
      </c>
      <c r="N137" s="59">
        <f>IF(OR(G137="",M137=""),"",G137-M137)</f>
        <v/>
      </c>
      <c r="O137" s="60" t="n"/>
      <c r="P137" s="61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  <c r="AG137" s="62" t="n"/>
      <c r="AH137" s="62" t="n"/>
      <c r="AI137" s="62" t="n"/>
      <c r="AJ137" s="62" t="n"/>
      <c r="AK137" s="62" t="n"/>
      <c r="AL137" s="62" t="n"/>
      <c r="AM137" s="62" t="n"/>
      <c r="AN137" s="62" t="n"/>
      <c r="AO137" s="62" t="n"/>
      <c r="AP137" s="62" t="n"/>
      <c r="AQ137" s="62" t="n"/>
      <c r="AR137" s="62" t="n"/>
      <c r="AS137" s="62" t="n"/>
      <c r="AT137" s="62" t="n"/>
      <c r="AU137" s="62" t="n"/>
      <c r="AV137" s="62" t="n"/>
      <c r="AW137" s="62" t="n"/>
      <c r="AX137" s="62" t="n"/>
      <c r="AY137" s="62" t="n"/>
    </row>
    <row r="138">
      <c r="A138" s="38">
        <f>IF(D138="","",COUNTA($D$133:D138))</f>
        <v/>
      </c>
      <c r="B138" s="52" t="n"/>
      <c r="C138" s="73" t="inlineStr">
        <is>
          <t>기타</t>
        </is>
      </c>
      <c r="D138" s="52" t="n"/>
      <c r="E138" s="54" t="n"/>
      <c r="F138" s="52" t="n"/>
      <c r="G138" s="55" t="n"/>
      <c r="H138" s="54" t="n"/>
      <c r="I138" s="54" t="n"/>
      <c r="J138" s="54" t="n"/>
      <c r="K138" s="56">
        <f>IF(SUM(U138:AY138)=0,"",SUM(U138:AY138))</f>
        <v/>
      </c>
      <c r="L138" s="57">
        <f>IFERROR(INDEX(U$2:AY$2,MATCH(TRUE,U138:AY138&lt;&gt;"",0)),"")</f>
        <v/>
      </c>
      <c r="M138" s="58">
        <f>IFERROR(LOOKUP(2,1/(U138:AY138&lt;&gt;""),U$2:AY$2),"")</f>
        <v/>
      </c>
      <c r="N138" s="59">
        <f>IF(OR(G138="",M138=""),"",G138-M138)</f>
        <v/>
      </c>
      <c r="O138" s="60" t="n"/>
      <c r="P138" s="61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  <c r="AG138" s="62" t="n"/>
      <c r="AH138" s="62" t="n"/>
      <c r="AI138" s="62" t="n"/>
      <c r="AJ138" s="62" t="n"/>
      <c r="AK138" s="62" t="n"/>
      <c r="AL138" s="62" t="n"/>
      <c r="AM138" s="62" t="n"/>
      <c r="AN138" s="62" t="n"/>
      <c r="AO138" s="62" t="n"/>
      <c r="AP138" s="62" t="n"/>
      <c r="AQ138" s="62" t="n"/>
      <c r="AR138" s="62" t="n"/>
      <c r="AS138" s="62" t="n"/>
      <c r="AT138" s="62" t="n"/>
      <c r="AU138" s="62" t="n"/>
      <c r="AV138" s="62" t="n"/>
      <c r="AW138" s="62" t="n"/>
      <c r="AX138" s="62" t="n"/>
      <c r="AY138" s="62" t="n"/>
    </row>
    <row r="139">
      <c r="A139" s="38">
        <f>IF(D139="","",COUNTA($D$133:D139))</f>
        <v/>
      </c>
      <c r="B139" s="52" t="n"/>
      <c r="C139" s="73" t="inlineStr">
        <is>
          <t>기타</t>
        </is>
      </c>
      <c r="D139" s="52" t="n"/>
      <c r="E139" s="54" t="n"/>
      <c r="F139" s="52" t="n"/>
      <c r="G139" s="55" t="n"/>
      <c r="H139" s="54" t="n"/>
      <c r="I139" s="54" t="n"/>
      <c r="J139" s="54" t="n"/>
      <c r="K139" s="56">
        <f>IF(SUM(U139:AY139)=0,"",SUM(U139:AY139))</f>
        <v/>
      </c>
      <c r="L139" s="57">
        <f>IFERROR(INDEX(U$2:AY$2,MATCH(TRUE,U139:AY139&lt;&gt;"",0)),"")</f>
        <v/>
      </c>
      <c r="M139" s="58">
        <f>IFERROR(LOOKUP(2,1/(U139:AY139&lt;&gt;""),U$2:AY$2),"")</f>
        <v/>
      </c>
      <c r="N139" s="59">
        <f>IF(OR(G139="",M139=""),"",G139-M139)</f>
        <v/>
      </c>
      <c r="O139" s="60" t="n"/>
      <c r="P139" s="61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  <c r="AG139" s="62" t="n"/>
      <c r="AH139" s="62" t="n"/>
      <c r="AI139" s="62" t="n"/>
      <c r="AJ139" s="62" t="n"/>
      <c r="AK139" s="62" t="n"/>
      <c r="AL139" s="62" t="n"/>
      <c r="AM139" s="62" t="n"/>
      <c r="AN139" s="62" t="n"/>
      <c r="AO139" s="62" t="n"/>
      <c r="AP139" s="62" t="n"/>
      <c r="AQ139" s="62" t="n"/>
      <c r="AR139" s="62" t="n"/>
      <c r="AS139" s="62" t="n"/>
      <c r="AT139" s="62" t="n"/>
      <c r="AU139" s="62" t="n"/>
      <c r="AV139" s="62" t="n"/>
      <c r="AW139" s="62" t="n"/>
      <c r="AX139" s="62" t="n"/>
      <c r="AY139" s="62" t="n"/>
    </row>
    <row r="140">
      <c r="A140" s="38">
        <f>IF(D140="","",COUNTA($D$133:D140))</f>
        <v/>
      </c>
      <c r="B140" s="52" t="n"/>
      <c r="C140" s="73" t="inlineStr">
        <is>
          <t>기타</t>
        </is>
      </c>
      <c r="D140" s="52" t="n"/>
      <c r="E140" s="54" t="n"/>
      <c r="F140" s="52" t="n"/>
      <c r="G140" s="55" t="n"/>
      <c r="H140" s="54" t="n"/>
      <c r="I140" s="54" t="n"/>
      <c r="J140" s="54" t="n"/>
      <c r="K140" s="56">
        <f>IF(SUM(U140:AY140)=0,"",SUM(U140:AY140))</f>
        <v/>
      </c>
      <c r="L140" s="57">
        <f>IFERROR(INDEX(U$2:AY$2,MATCH(TRUE,U140:AY140&lt;&gt;"",0)),"")</f>
        <v/>
      </c>
      <c r="M140" s="58">
        <f>IFERROR(LOOKUP(2,1/(U140:AY140&lt;&gt;""),U$2:AY$2),"")</f>
        <v/>
      </c>
      <c r="N140" s="59">
        <f>IF(OR(G140="",M140=""),"",G140-M140)</f>
        <v/>
      </c>
      <c r="O140" s="60" t="n"/>
      <c r="P140" s="61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  <c r="AG140" s="62" t="n"/>
      <c r="AH140" s="62" t="n"/>
      <c r="AI140" s="62" t="n"/>
      <c r="AJ140" s="62" t="n"/>
      <c r="AK140" s="62" t="n"/>
      <c r="AL140" s="62" t="n"/>
      <c r="AM140" s="62" t="n"/>
      <c r="AN140" s="62" t="n"/>
      <c r="AO140" s="62" t="n"/>
      <c r="AP140" s="62" t="n"/>
      <c r="AQ140" s="62" t="n"/>
      <c r="AR140" s="62" t="n"/>
      <c r="AS140" s="62" t="n"/>
      <c r="AT140" s="62" t="n"/>
      <c r="AU140" s="62" t="n"/>
      <c r="AV140" s="62" t="n"/>
      <c r="AW140" s="62" t="n"/>
      <c r="AX140" s="62" t="n"/>
      <c r="AY140" s="62" t="n"/>
    </row>
    <row r="141">
      <c r="A141" s="38">
        <f>IF(D141="","",COUNTA($D$133:D141))</f>
        <v/>
      </c>
      <c r="B141" s="52" t="n"/>
      <c r="C141" s="73" t="inlineStr">
        <is>
          <t>기타</t>
        </is>
      </c>
      <c r="D141" s="52" t="n"/>
      <c r="E141" s="54" t="n"/>
      <c r="F141" s="52" t="n"/>
      <c r="G141" s="55" t="n"/>
      <c r="H141" s="54" t="n"/>
      <c r="I141" s="54" t="n"/>
      <c r="J141" s="54" t="n"/>
      <c r="K141" s="56">
        <f>IF(SUM(U141:AY141)=0,"",SUM(U141:AY141))</f>
        <v/>
      </c>
      <c r="L141" s="57">
        <f>IFERROR(INDEX(U$2:AY$2,MATCH(TRUE,U141:AY141&lt;&gt;"",0)),"")</f>
        <v/>
      </c>
      <c r="M141" s="58">
        <f>IFERROR(LOOKUP(2,1/(U141:AY141&lt;&gt;""),U$2:AY$2),"")</f>
        <v/>
      </c>
      <c r="N141" s="59">
        <f>IF(OR(G141="",M141=""),"",G141-M141)</f>
        <v/>
      </c>
      <c r="O141" s="60" t="n"/>
      <c r="P141" s="61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  <c r="AG141" s="62" t="n"/>
      <c r="AH141" s="62" t="n"/>
      <c r="AI141" s="62" t="n"/>
      <c r="AJ141" s="62" t="n"/>
      <c r="AK141" s="62" t="n"/>
      <c r="AL141" s="62" t="n"/>
      <c r="AM141" s="62" t="n"/>
      <c r="AN141" s="62" t="n"/>
      <c r="AO141" s="62" t="n"/>
      <c r="AP141" s="62" t="n"/>
      <c r="AQ141" s="62" t="n"/>
      <c r="AR141" s="62" t="n"/>
      <c r="AS141" s="62" t="n"/>
      <c r="AT141" s="62" t="n"/>
      <c r="AU141" s="62" t="n"/>
      <c r="AV141" s="62" t="n"/>
      <c r="AW141" s="62" t="n"/>
      <c r="AX141" s="62" t="n"/>
      <c r="AY141" s="62" t="n"/>
    </row>
    <row r="142">
      <c r="A142" s="38">
        <f>IF(D142="","",COUNTA($D$133:D142))</f>
        <v/>
      </c>
      <c r="B142" s="52" t="n"/>
      <c r="C142" s="73" t="inlineStr">
        <is>
          <t>기타</t>
        </is>
      </c>
      <c r="D142" s="52" t="n"/>
      <c r="E142" s="54" t="n"/>
      <c r="F142" s="52" t="n"/>
      <c r="G142" s="55" t="n"/>
      <c r="H142" s="54" t="n"/>
      <c r="I142" s="54" t="n"/>
      <c r="J142" s="54" t="n"/>
      <c r="K142" s="56">
        <f>IF(SUM(U142:AY142)=0,"",SUM(U142:AY142))</f>
        <v/>
      </c>
      <c r="L142" s="57">
        <f>IFERROR(INDEX(U$2:AY$2,MATCH(TRUE,U142:AY142&lt;&gt;"",0)),"")</f>
        <v/>
      </c>
      <c r="M142" s="58">
        <f>IFERROR(LOOKUP(2,1/(U142:AY142&lt;&gt;""),U$2:AY$2),"")</f>
        <v/>
      </c>
      <c r="N142" s="59">
        <f>IF(OR(G142="",M142=""),"",G142-M142)</f>
        <v/>
      </c>
      <c r="O142" s="60" t="n"/>
      <c r="P142" s="61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  <c r="AG142" s="62" t="n"/>
      <c r="AH142" s="62" t="n"/>
      <c r="AI142" s="62" t="n"/>
      <c r="AJ142" s="62" t="n"/>
      <c r="AK142" s="62" t="n"/>
      <c r="AL142" s="62" t="n"/>
      <c r="AM142" s="62" t="n"/>
      <c r="AN142" s="62" t="n"/>
      <c r="AO142" s="62" t="n"/>
      <c r="AP142" s="62" t="n"/>
      <c r="AQ142" s="62" t="n"/>
      <c r="AR142" s="62" t="n"/>
      <c r="AS142" s="62" t="n"/>
      <c r="AT142" s="62" t="n"/>
      <c r="AU142" s="62" t="n"/>
      <c r="AV142" s="62" t="n"/>
      <c r="AW142" s="62" t="n"/>
      <c r="AX142" s="62" t="n"/>
      <c r="AY142" s="62" t="n"/>
    </row>
    <row r="143">
      <c r="A143" s="38">
        <f>IF(D143="","",COUNTA($D$133:D143))</f>
        <v/>
      </c>
      <c r="B143" s="52" t="n"/>
      <c r="C143" s="73" t="inlineStr">
        <is>
          <t>기타</t>
        </is>
      </c>
      <c r="D143" s="52" t="n"/>
      <c r="E143" s="54" t="n"/>
      <c r="F143" s="52" t="n"/>
      <c r="G143" s="55" t="n"/>
      <c r="H143" s="54" t="n"/>
      <c r="I143" s="54" t="n"/>
      <c r="J143" s="54" t="n"/>
      <c r="K143" s="56">
        <f>IF(SUM(U143:AY143)=0,"",SUM(U143:AY143))</f>
        <v/>
      </c>
      <c r="L143" s="57">
        <f>IFERROR(INDEX(U$2:AY$2,MATCH(TRUE,U143:AY143&lt;&gt;"",0)),"")</f>
        <v/>
      </c>
      <c r="M143" s="58">
        <f>IFERROR(LOOKUP(2,1/(U143:AY143&lt;&gt;""),U$2:AY$2),"")</f>
        <v/>
      </c>
      <c r="N143" s="59">
        <f>IF(OR(G143="",M143=""),"",G143-M143)</f>
        <v/>
      </c>
      <c r="O143" s="60" t="n"/>
      <c r="P143" s="61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  <c r="AG143" s="62" t="n"/>
      <c r="AH143" s="62" t="n"/>
      <c r="AI143" s="62" t="n"/>
      <c r="AJ143" s="62" t="n"/>
      <c r="AK143" s="62" t="n"/>
      <c r="AL143" s="62" t="n"/>
      <c r="AM143" s="62" t="n"/>
      <c r="AN143" s="62" t="n"/>
      <c r="AO143" s="62" t="n"/>
      <c r="AP143" s="62" t="n"/>
      <c r="AQ143" s="62" t="n"/>
      <c r="AR143" s="62" t="n"/>
      <c r="AS143" s="62" t="n"/>
      <c r="AT143" s="62" t="n"/>
      <c r="AU143" s="62" t="n"/>
      <c r="AV143" s="62" t="n"/>
      <c r="AW143" s="62" t="n"/>
      <c r="AX143" s="62" t="n"/>
      <c r="AY143" s="62" t="n"/>
    </row>
    <row r="144">
      <c r="A144" s="38">
        <f>IF(D144="","",COUNTA($D$133:D144))</f>
        <v/>
      </c>
      <c r="B144" s="52" t="n"/>
      <c r="C144" s="73" t="inlineStr">
        <is>
          <t>기타</t>
        </is>
      </c>
      <c r="D144" s="52" t="n"/>
      <c r="E144" s="54" t="n"/>
      <c r="F144" s="52" t="n"/>
      <c r="G144" s="55" t="n"/>
      <c r="H144" s="54" t="n"/>
      <c r="I144" s="54" t="n"/>
      <c r="J144" s="54" t="n"/>
      <c r="K144" s="56">
        <f>IF(SUM(U144:AY144)=0,"",SUM(U144:AY144))</f>
        <v/>
      </c>
      <c r="L144" s="57">
        <f>IFERROR(INDEX(U$2:AY$2,MATCH(TRUE,U144:AY144&lt;&gt;"",0)),"")</f>
        <v/>
      </c>
      <c r="M144" s="58">
        <f>IFERROR(LOOKUP(2,1/(U144:AY144&lt;&gt;""),U$2:AY$2),"")</f>
        <v/>
      </c>
      <c r="N144" s="59">
        <f>IF(OR(G144="",M144=""),"",G144-M144)</f>
        <v/>
      </c>
      <c r="O144" s="60" t="n"/>
      <c r="P144" s="61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  <c r="AG144" s="62" t="n"/>
      <c r="AH144" s="62" t="n"/>
      <c r="AI144" s="62" t="n"/>
      <c r="AJ144" s="62" t="n"/>
      <c r="AK144" s="62" t="n"/>
      <c r="AL144" s="62" t="n"/>
      <c r="AM144" s="62" t="n"/>
      <c r="AN144" s="62" t="n"/>
      <c r="AO144" s="62" t="n"/>
      <c r="AP144" s="62" t="n"/>
      <c r="AQ144" s="62" t="n"/>
      <c r="AR144" s="62" t="n"/>
      <c r="AS144" s="62" t="n"/>
      <c r="AT144" s="62" t="n"/>
      <c r="AU144" s="62" t="n"/>
      <c r="AV144" s="62" t="n"/>
      <c r="AW144" s="62" t="n"/>
      <c r="AX144" s="62" t="n"/>
      <c r="AY144" s="62" t="n"/>
    </row>
    <row r="145">
      <c r="A145" s="38">
        <f>IF(D145="","",COUNTA($D$133:D145))</f>
        <v/>
      </c>
      <c r="B145" s="52" t="n"/>
      <c r="C145" s="73" t="inlineStr">
        <is>
          <t>기타</t>
        </is>
      </c>
      <c r="D145" s="52" t="n"/>
      <c r="E145" s="54" t="n"/>
      <c r="F145" s="52" t="n"/>
      <c r="G145" s="55" t="n"/>
      <c r="H145" s="54" t="n"/>
      <c r="I145" s="54" t="n"/>
      <c r="J145" s="54" t="n"/>
      <c r="K145" s="56">
        <f>IF(SUM(U145:AY145)=0,"",SUM(U145:AY145))</f>
        <v/>
      </c>
      <c r="L145" s="57">
        <f>IFERROR(INDEX(U$2:AY$2,MATCH(TRUE,U145:AY145&lt;&gt;"",0)),"")</f>
        <v/>
      </c>
      <c r="M145" s="58">
        <f>IFERROR(LOOKUP(2,1/(U145:AY145&lt;&gt;""),U$2:AY$2),"")</f>
        <v/>
      </c>
      <c r="N145" s="59">
        <f>IF(OR(G145="",M145=""),"",G145-M145)</f>
        <v/>
      </c>
      <c r="O145" s="60" t="n"/>
      <c r="P145" s="61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  <c r="AG145" s="62" t="n"/>
      <c r="AH145" s="62" t="n"/>
      <c r="AI145" s="62" t="n"/>
      <c r="AJ145" s="62" t="n"/>
      <c r="AK145" s="62" t="n"/>
      <c r="AL145" s="62" t="n"/>
      <c r="AM145" s="62" t="n"/>
      <c r="AN145" s="62" t="n"/>
      <c r="AO145" s="62" t="n"/>
      <c r="AP145" s="62" t="n"/>
      <c r="AQ145" s="62" t="n"/>
      <c r="AR145" s="62" t="n"/>
      <c r="AS145" s="62" t="n"/>
      <c r="AT145" s="62" t="n"/>
      <c r="AU145" s="62" t="n"/>
      <c r="AV145" s="62" t="n"/>
      <c r="AW145" s="62" t="n"/>
      <c r="AX145" s="62" t="n"/>
      <c r="AY145" s="62" t="n"/>
    </row>
    <row r="146">
      <c r="A146" s="38">
        <f>IF(D146="","",COUNTA($D$133:D146))</f>
        <v/>
      </c>
      <c r="B146" s="52" t="n"/>
      <c r="C146" s="73" t="inlineStr">
        <is>
          <t>기타</t>
        </is>
      </c>
      <c r="D146" s="52" t="n"/>
      <c r="E146" s="54" t="n"/>
      <c r="F146" s="52" t="n"/>
      <c r="G146" s="55" t="n"/>
      <c r="H146" s="54" t="n"/>
      <c r="I146" s="54" t="n"/>
      <c r="J146" s="54" t="n"/>
      <c r="K146" s="56">
        <f>IF(SUM(U146:AY146)=0,"",SUM(U146:AY146))</f>
        <v/>
      </c>
      <c r="L146" s="57">
        <f>IFERROR(INDEX(U$2:AY$2,MATCH(TRUE,U146:AY146&lt;&gt;"",0)),"")</f>
        <v/>
      </c>
      <c r="M146" s="58">
        <f>IFERROR(LOOKUP(2,1/(U146:AY146&lt;&gt;""),U$2:AY$2),"")</f>
        <v/>
      </c>
      <c r="N146" s="59">
        <f>IF(OR(G146="",M146=""),"",G146-M146)</f>
        <v/>
      </c>
      <c r="O146" s="60" t="n"/>
      <c r="P146" s="61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  <c r="AG146" s="62" t="n"/>
      <c r="AH146" s="62" t="n"/>
      <c r="AI146" s="62" t="n"/>
      <c r="AJ146" s="62" t="n"/>
      <c r="AK146" s="62" t="n"/>
      <c r="AL146" s="62" t="n"/>
      <c r="AM146" s="62" t="n"/>
      <c r="AN146" s="62" t="n"/>
      <c r="AO146" s="62" t="n"/>
      <c r="AP146" s="62" t="n"/>
      <c r="AQ146" s="62" t="n"/>
      <c r="AR146" s="62" t="n"/>
      <c r="AS146" s="62" t="n"/>
      <c r="AT146" s="62" t="n"/>
      <c r="AU146" s="62" t="n"/>
      <c r="AV146" s="62" t="n"/>
      <c r="AW146" s="62" t="n"/>
      <c r="AX146" s="62" t="n"/>
      <c r="AY146" s="62" t="n"/>
    </row>
    <row r="147">
      <c r="A147" s="38">
        <f>IF(D147="","",COUNTA($D$133:D147))</f>
        <v/>
      </c>
      <c r="B147" s="52" t="n"/>
      <c r="C147" s="73" t="inlineStr">
        <is>
          <t>기타</t>
        </is>
      </c>
      <c r="D147" s="52" t="n"/>
      <c r="E147" s="54" t="n"/>
      <c r="F147" s="52" t="n"/>
      <c r="G147" s="55" t="n"/>
      <c r="H147" s="54" t="n"/>
      <c r="I147" s="54" t="n"/>
      <c r="J147" s="54" t="n"/>
      <c r="K147" s="56">
        <f>IF(SUM(U147:AY147)=0,"",SUM(U147:AY147))</f>
        <v/>
      </c>
      <c r="L147" s="57">
        <f>IFERROR(INDEX(U$2:AY$2,MATCH(TRUE,U147:AY147&lt;&gt;"",0)),"")</f>
        <v/>
      </c>
      <c r="M147" s="58">
        <f>IFERROR(LOOKUP(2,1/(U147:AY147&lt;&gt;""),U$2:AY$2),"")</f>
        <v/>
      </c>
      <c r="N147" s="59">
        <f>IF(OR(G147="",M147=""),"",G147-M147)</f>
        <v/>
      </c>
      <c r="O147" s="60" t="n"/>
      <c r="P147" s="61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  <c r="AG147" s="62" t="n"/>
      <c r="AH147" s="62" t="n"/>
      <c r="AI147" s="62" t="n"/>
      <c r="AJ147" s="62" t="n"/>
      <c r="AK147" s="62" t="n"/>
      <c r="AL147" s="62" t="n"/>
      <c r="AM147" s="62" t="n"/>
      <c r="AN147" s="62" t="n"/>
      <c r="AO147" s="62" t="n"/>
      <c r="AP147" s="62" t="n"/>
      <c r="AQ147" s="62" t="n"/>
      <c r="AR147" s="62" t="n"/>
      <c r="AS147" s="62" t="n"/>
      <c r="AT147" s="62" t="n"/>
      <c r="AU147" s="62" t="n"/>
      <c r="AV147" s="62" t="n"/>
      <c r="AW147" s="62" t="n"/>
      <c r="AX147" s="62" t="n"/>
      <c r="AY147" s="62" t="n"/>
    </row>
    <row r="148">
      <c r="A148" s="38">
        <f>IF(D148="","",COUNTA($D$133:D148))</f>
        <v/>
      </c>
      <c r="B148" s="52" t="n"/>
      <c r="C148" s="73" t="inlineStr">
        <is>
          <t>기타</t>
        </is>
      </c>
      <c r="D148" s="52" t="n"/>
      <c r="E148" s="54" t="n"/>
      <c r="F148" s="52" t="n"/>
      <c r="G148" s="55" t="n"/>
      <c r="H148" s="54" t="n"/>
      <c r="I148" s="54" t="n"/>
      <c r="J148" s="54" t="n"/>
      <c r="K148" s="56">
        <f>IF(SUM(U148:AY148)=0,"",SUM(U148:AY148))</f>
        <v/>
      </c>
      <c r="L148" s="57">
        <f>IFERROR(INDEX(U$2:AY$2,MATCH(TRUE,U148:AY148&lt;&gt;"",0)),"")</f>
        <v/>
      </c>
      <c r="M148" s="58">
        <f>IFERROR(LOOKUP(2,1/(U148:AY148&lt;&gt;""),U$2:AY$2),"")</f>
        <v/>
      </c>
      <c r="N148" s="59">
        <f>IF(OR(G148="",M148=""),"",G148-M148)</f>
        <v/>
      </c>
      <c r="O148" s="60" t="n"/>
      <c r="P148" s="61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  <c r="AG148" s="62" t="n"/>
      <c r="AH148" s="62" t="n"/>
      <c r="AI148" s="62" t="n"/>
      <c r="AJ148" s="62" t="n"/>
      <c r="AK148" s="62" t="n"/>
      <c r="AL148" s="62" t="n"/>
      <c r="AM148" s="62" t="n"/>
      <c r="AN148" s="62" t="n"/>
      <c r="AO148" s="62" t="n"/>
      <c r="AP148" s="62" t="n"/>
      <c r="AQ148" s="62" t="n"/>
      <c r="AR148" s="62" t="n"/>
      <c r="AS148" s="62" t="n"/>
      <c r="AT148" s="62" t="n"/>
      <c r="AU148" s="62" t="n"/>
      <c r="AV148" s="62" t="n"/>
      <c r="AW148" s="62" t="n"/>
      <c r="AX148" s="62" t="n"/>
      <c r="AY148" s="62" t="n"/>
    </row>
    <row r="149">
      <c r="A149" s="38">
        <f>IF(D149="","",COUNTA($D$133:D149))</f>
        <v/>
      </c>
      <c r="B149" s="52" t="n"/>
      <c r="C149" s="73" t="inlineStr">
        <is>
          <t>기타</t>
        </is>
      </c>
      <c r="D149" s="52" t="n"/>
      <c r="E149" s="54" t="n"/>
      <c r="F149" s="52" t="n"/>
      <c r="G149" s="55" t="n"/>
      <c r="H149" s="54" t="n"/>
      <c r="I149" s="54" t="n"/>
      <c r="J149" s="54" t="n"/>
      <c r="K149" s="56">
        <f>IF(SUM(U149:AY149)=0,"",SUM(U149:AY149))</f>
        <v/>
      </c>
      <c r="L149" s="57">
        <f>IFERROR(INDEX(U$2:AY$2,MATCH(TRUE,U149:AY149&lt;&gt;"",0)),"")</f>
        <v/>
      </c>
      <c r="M149" s="58">
        <f>IFERROR(LOOKUP(2,1/(U149:AY149&lt;&gt;""),U$2:AY$2),"")</f>
        <v/>
      </c>
      <c r="N149" s="59">
        <f>IF(OR(G149="",M149=""),"",G149-M149)</f>
        <v/>
      </c>
      <c r="O149" s="60" t="n"/>
      <c r="P149" s="61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  <c r="AG149" s="62" t="n"/>
      <c r="AH149" s="62" t="n"/>
      <c r="AI149" s="62" t="n"/>
      <c r="AJ149" s="62" t="n"/>
      <c r="AK149" s="62" t="n"/>
      <c r="AL149" s="62" t="n"/>
      <c r="AM149" s="62" t="n"/>
      <c r="AN149" s="62" t="n"/>
      <c r="AO149" s="62" t="n"/>
      <c r="AP149" s="62" t="n"/>
      <c r="AQ149" s="62" t="n"/>
      <c r="AR149" s="62" t="n"/>
      <c r="AS149" s="62" t="n"/>
      <c r="AT149" s="62" t="n"/>
      <c r="AU149" s="62" t="n"/>
      <c r="AV149" s="62" t="n"/>
      <c r="AW149" s="62" t="n"/>
      <c r="AX149" s="62" t="n"/>
      <c r="AY149" s="62" t="n"/>
    </row>
    <row r="150">
      <c r="A150" s="38">
        <f>IF(D150="","",COUNTA($D$133:D150))</f>
        <v/>
      </c>
      <c r="B150" s="52" t="n"/>
      <c r="C150" s="73" t="inlineStr">
        <is>
          <t>기타</t>
        </is>
      </c>
      <c r="D150" s="52" t="n"/>
      <c r="E150" s="54" t="n"/>
      <c r="F150" s="52" t="n"/>
      <c r="G150" s="55" t="n"/>
      <c r="H150" s="54" t="n"/>
      <c r="I150" s="54" t="n"/>
      <c r="J150" s="54" t="n"/>
      <c r="K150" s="56">
        <f>IF(SUM(U150:AY150)=0,"",SUM(U150:AY150))</f>
        <v/>
      </c>
      <c r="L150" s="57">
        <f>IFERROR(INDEX(U$2:AY$2,MATCH(TRUE,U150:AY150&lt;&gt;"",0)),"")</f>
        <v/>
      </c>
      <c r="M150" s="58">
        <f>IFERROR(LOOKUP(2,1/(U150:AY150&lt;&gt;""),U$2:AY$2),"")</f>
        <v/>
      </c>
      <c r="N150" s="59">
        <f>IF(OR(G150="",M150=""),"",G150-M150)</f>
        <v/>
      </c>
      <c r="O150" s="60" t="n"/>
      <c r="P150" s="61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  <c r="AG150" s="62" t="n"/>
      <c r="AH150" s="62" t="n"/>
      <c r="AI150" s="62" t="n"/>
      <c r="AJ150" s="62" t="n"/>
      <c r="AK150" s="62" t="n"/>
      <c r="AL150" s="62" t="n"/>
      <c r="AM150" s="62" t="n"/>
      <c r="AN150" s="62" t="n"/>
      <c r="AO150" s="62" t="n"/>
      <c r="AP150" s="62" t="n"/>
      <c r="AQ150" s="62" t="n"/>
      <c r="AR150" s="62" t="n"/>
      <c r="AS150" s="62" t="n"/>
      <c r="AT150" s="62" t="n"/>
      <c r="AU150" s="62" t="n"/>
      <c r="AV150" s="62" t="n"/>
      <c r="AW150" s="62" t="n"/>
      <c r="AX150" s="62" t="n"/>
      <c r="AY150" s="62" t="n"/>
    </row>
    <row r="151">
      <c r="A151" s="38">
        <f>IF(D151="","",COUNTA($D$133:D151))</f>
        <v/>
      </c>
      <c r="B151" s="52" t="n"/>
      <c r="C151" s="73" t="inlineStr">
        <is>
          <t>기타</t>
        </is>
      </c>
      <c r="D151" s="52" t="n"/>
      <c r="E151" s="54" t="n"/>
      <c r="F151" s="52" t="n"/>
      <c r="G151" s="55" t="n"/>
      <c r="H151" s="54" t="n"/>
      <c r="I151" s="54" t="n"/>
      <c r="J151" s="54" t="n"/>
      <c r="K151" s="56">
        <f>IF(SUM(U151:AY151)=0,"",SUM(U151:AY151))</f>
        <v/>
      </c>
      <c r="L151" s="57">
        <f>IFERROR(INDEX(U$2:AY$2,MATCH(TRUE,U151:AY151&lt;&gt;"",0)),"")</f>
        <v/>
      </c>
      <c r="M151" s="58">
        <f>IFERROR(LOOKUP(2,1/(U151:AY151&lt;&gt;""),U$2:AY$2),"")</f>
        <v/>
      </c>
      <c r="N151" s="59">
        <f>IF(OR(G151="",M151=""),"",G151-M151)</f>
        <v/>
      </c>
      <c r="O151" s="60" t="n"/>
      <c r="P151" s="61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  <c r="AG151" s="62" t="n"/>
      <c r="AH151" s="62" t="n"/>
      <c r="AI151" s="62" t="n"/>
      <c r="AJ151" s="62" t="n"/>
      <c r="AK151" s="62" t="n"/>
      <c r="AL151" s="62" t="n"/>
      <c r="AM151" s="62" t="n"/>
      <c r="AN151" s="62" t="n"/>
      <c r="AO151" s="62" t="n"/>
      <c r="AP151" s="62" t="n"/>
      <c r="AQ151" s="62" t="n"/>
      <c r="AR151" s="62" t="n"/>
      <c r="AS151" s="62" t="n"/>
      <c r="AT151" s="62" t="n"/>
      <c r="AU151" s="62" t="n"/>
      <c r="AV151" s="62" t="n"/>
      <c r="AW151" s="62" t="n"/>
      <c r="AX151" s="62" t="n"/>
      <c r="AY151" s="62" t="n"/>
    </row>
    <row r="152">
      <c r="A152" s="38">
        <f>IF(D152="","",COUNTA($D$133:D152))</f>
        <v/>
      </c>
      <c r="B152" s="52" t="n"/>
      <c r="C152" s="73" t="inlineStr">
        <is>
          <t>기타</t>
        </is>
      </c>
      <c r="D152" s="52" t="n"/>
      <c r="E152" s="54" t="n"/>
      <c r="F152" s="52" t="n"/>
      <c r="G152" s="55" t="n"/>
      <c r="H152" s="54" t="n"/>
      <c r="I152" s="54" t="n"/>
      <c r="J152" s="54" t="n"/>
      <c r="K152" s="56">
        <f>IF(SUM(U152:AY152)=0,"",SUM(U152:AY152))</f>
        <v/>
      </c>
      <c r="L152" s="57">
        <f>IFERROR(INDEX(U$2:AY$2,MATCH(TRUE,U152:AY152&lt;&gt;"",0)),"")</f>
        <v/>
      </c>
      <c r="M152" s="58">
        <f>IFERROR(LOOKUP(2,1/(U152:AY152&lt;&gt;""),U$2:AY$2),"")</f>
        <v/>
      </c>
      <c r="N152" s="59">
        <f>IF(OR(G152="",M152=""),"",G152-M152)</f>
        <v/>
      </c>
      <c r="O152" s="60" t="n"/>
      <c r="P152" s="61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  <c r="AG152" s="62" t="n"/>
      <c r="AH152" s="62" t="n"/>
      <c r="AI152" s="62" t="n"/>
      <c r="AJ152" s="62" t="n"/>
      <c r="AK152" s="62" t="n"/>
      <c r="AL152" s="62" t="n"/>
      <c r="AM152" s="62" t="n"/>
      <c r="AN152" s="62" t="n"/>
      <c r="AO152" s="62" t="n"/>
      <c r="AP152" s="62" t="n"/>
      <c r="AQ152" s="62" t="n"/>
      <c r="AR152" s="62" t="n"/>
      <c r="AS152" s="62" t="n"/>
      <c r="AT152" s="62" t="n"/>
      <c r="AU152" s="62" t="n"/>
      <c r="AV152" s="62" t="n"/>
      <c r="AW152" s="62" t="n"/>
      <c r="AX152" s="62" t="n"/>
      <c r="AY152" s="62" t="n"/>
    </row>
    <row r="153">
      <c r="A153" s="38">
        <f>IF(D153="","",COUNTA($D$133:D153))</f>
        <v/>
      </c>
      <c r="B153" s="52" t="n"/>
      <c r="C153" s="73" t="inlineStr">
        <is>
          <t>기타</t>
        </is>
      </c>
      <c r="D153" s="52" t="n"/>
      <c r="E153" s="54" t="n"/>
      <c r="F153" s="52" t="n"/>
      <c r="G153" s="55" t="n"/>
      <c r="H153" s="54" t="n"/>
      <c r="I153" s="54" t="n"/>
      <c r="J153" s="54" t="n"/>
      <c r="K153" s="56">
        <f>IF(SUM(U153:AY153)=0,"",SUM(U153:AY153))</f>
        <v/>
      </c>
      <c r="L153" s="57">
        <f>IFERROR(INDEX(U$2:AY$2,MATCH(TRUE,U153:AY153&lt;&gt;"",0)),"")</f>
        <v/>
      </c>
      <c r="M153" s="58">
        <f>IFERROR(LOOKUP(2,1/(U153:AY153&lt;&gt;""),U$2:AY$2),"")</f>
        <v/>
      </c>
      <c r="N153" s="59">
        <f>IF(OR(G153="",M153=""),"",G153-M153)</f>
        <v/>
      </c>
      <c r="O153" s="60" t="n"/>
      <c r="P153" s="61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  <c r="AG153" s="62" t="n"/>
      <c r="AH153" s="62" t="n"/>
      <c r="AI153" s="62" t="n"/>
      <c r="AJ153" s="62" t="n"/>
      <c r="AK153" s="62" t="n"/>
      <c r="AL153" s="62" t="n"/>
      <c r="AM153" s="62" t="n"/>
      <c r="AN153" s="62" t="n"/>
      <c r="AO153" s="62" t="n"/>
      <c r="AP153" s="62" t="n"/>
      <c r="AQ153" s="62" t="n"/>
      <c r="AR153" s="62" t="n"/>
      <c r="AS153" s="62" t="n"/>
      <c r="AT153" s="62" t="n"/>
      <c r="AU153" s="62" t="n"/>
      <c r="AV153" s="62" t="n"/>
      <c r="AW153" s="62" t="n"/>
      <c r="AX153" s="62" t="n"/>
      <c r="AY153" s="62" t="n"/>
    </row>
    <row r="154">
      <c r="A154" s="38">
        <f>IF(D154="","",COUNTA($D$133:D154))</f>
        <v/>
      </c>
      <c r="B154" s="52" t="n"/>
      <c r="C154" s="73" t="inlineStr">
        <is>
          <t>기타</t>
        </is>
      </c>
      <c r="D154" s="52" t="n"/>
      <c r="E154" s="54" t="n"/>
      <c r="F154" s="52" t="n"/>
      <c r="G154" s="55" t="n"/>
      <c r="H154" s="54" t="n"/>
      <c r="I154" s="54" t="n"/>
      <c r="J154" s="54" t="n"/>
      <c r="K154" s="56">
        <f>IF(SUM(U154:AY154)=0,"",SUM(U154:AY154))</f>
        <v/>
      </c>
      <c r="L154" s="57">
        <f>IFERROR(INDEX(U$2:AY$2,MATCH(TRUE,U154:AY154&lt;&gt;"",0)),"")</f>
        <v/>
      </c>
      <c r="M154" s="58">
        <f>IFERROR(LOOKUP(2,1/(U154:AY154&lt;&gt;""),U$2:AY$2),"")</f>
        <v/>
      </c>
      <c r="N154" s="59">
        <f>IF(OR(G154="",M154=""),"",G154-M154)</f>
        <v/>
      </c>
      <c r="O154" s="60" t="n"/>
      <c r="P154" s="61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  <c r="AG154" s="62" t="n"/>
      <c r="AH154" s="62" t="n"/>
      <c r="AI154" s="62" t="n"/>
      <c r="AJ154" s="62" t="n"/>
      <c r="AK154" s="62" t="n"/>
      <c r="AL154" s="62" t="n"/>
      <c r="AM154" s="62" t="n"/>
      <c r="AN154" s="62" t="n"/>
      <c r="AO154" s="62" t="n"/>
      <c r="AP154" s="62" t="n"/>
      <c r="AQ154" s="62" t="n"/>
      <c r="AR154" s="62" t="n"/>
      <c r="AS154" s="62" t="n"/>
      <c r="AT154" s="62" t="n"/>
      <c r="AU154" s="62" t="n"/>
      <c r="AV154" s="62" t="n"/>
      <c r="AW154" s="62" t="n"/>
      <c r="AX154" s="62" t="n"/>
      <c r="AY154" s="62" t="n"/>
    </row>
    <row r="155">
      <c r="A155" s="38">
        <f>IF(D155="","",COUNTA($D$133:D155))</f>
        <v/>
      </c>
      <c r="B155" s="52" t="n"/>
      <c r="C155" s="73" t="inlineStr">
        <is>
          <t>기타</t>
        </is>
      </c>
      <c r="D155" s="52" t="n"/>
      <c r="E155" s="54" t="n"/>
      <c r="F155" s="52" t="n"/>
      <c r="G155" s="55" t="n"/>
      <c r="H155" s="54" t="n"/>
      <c r="I155" s="54" t="n"/>
      <c r="J155" s="54" t="n"/>
      <c r="K155" s="56">
        <f>IF(SUM(U155:AY155)=0,"",SUM(U155:AY155))</f>
        <v/>
      </c>
      <c r="L155" s="57">
        <f>IFERROR(INDEX(U$2:AY$2,MATCH(TRUE,U155:AY155&lt;&gt;"",0)),"")</f>
        <v/>
      </c>
      <c r="M155" s="58">
        <f>IFERROR(LOOKUP(2,1/(U155:AY155&lt;&gt;""),U$2:AY$2),"")</f>
        <v/>
      </c>
      <c r="N155" s="59">
        <f>IF(OR(G155="",M155=""),"",G155-M155)</f>
        <v/>
      </c>
      <c r="O155" s="60" t="n"/>
      <c r="P155" s="61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  <c r="AG155" s="62" t="n"/>
      <c r="AH155" s="62" t="n"/>
      <c r="AI155" s="62" t="n"/>
      <c r="AJ155" s="62" t="n"/>
      <c r="AK155" s="62" t="n"/>
      <c r="AL155" s="62" t="n"/>
      <c r="AM155" s="62" t="n"/>
      <c r="AN155" s="62" t="n"/>
      <c r="AO155" s="62" t="n"/>
      <c r="AP155" s="62" t="n"/>
      <c r="AQ155" s="62" t="n"/>
      <c r="AR155" s="62" t="n"/>
      <c r="AS155" s="62" t="n"/>
      <c r="AT155" s="62" t="n"/>
      <c r="AU155" s="62" t="n"/>
      <c r="AV155" s="62" t="n"/>
      <c r="AW155" s="62" t="n"/>
      <c r="AX155" s="62" t="n"/>
      <c r="AY155" s="62" t="n"/>
    </row>
    <row r="156">
      <c r="A156" s="38">
        <f>IF(D156="","",COUNTA($D$133:D156))</f>
        <v/>
      </c>
      <c r="B156" s="52" t="n"/>
      <c r="C156" s="73" t="inlineStr">
        <is>
          <t>기타</t>
        </is>
      </c>
      <c r="D156" s="52" t="n"/>
      <c r="E156" s="54" t="n"/>
      <c r="F156" s="52" t="n"/>
      <c r="G156" s="55" t="n"/>
      <c r="H156" s="54" t="n"/>
      <c r="I156" s="54" t="n"/>
      <c r="J156" s="54" t="n"/>
      <c r="K156" s="56">
        <f>IF(SUM(U156:AY156)=0,"",SUM(U156:AY156))</f>
        <v/>
      </c>
      <c r="L156" s="57">
        <f>IFERROR(INDEX(U$2:AY$2,MATCH(TRUE,U156:AY156&lt;&gt;"",0)),"")</f>
        <v/>
      </c>
      <c r="M156" s="58">
        <f>IFERROR(LOOKUP(2,1/(U156:AY156&lt;&gt;""),U$2:AY$2),"")</f>
        <v/>
      </c>
      <c r="N156" s="59">
        <f>IF(OR(G156="",M156=""),"",G156-M156)</f>
        <v/>
      </c>
      <c r="O156" s="60" t="n"/>
      <c r="P156" s="61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  <c r="AG156" s="62" t="n"/>
      <c r="AH156" s="62" t="n"/>
      <c r="AI156" s="62" t="n"/>
      <c r="AJ156" s="62" t="n"/>
      <c r="AK156" s="62" t="n"/>
      <c r="AL156" s="62" t="n"/>
      <c r="AM156" s="62" t="n"/>
      <c r="AN156" s="62" t="n"/>
      <c r="AO156" s="62" t="n"/>
      <c r="AP156" s="62" t="n"/>
      <c r="AQ156" s="62" t="n"/>
      <c r="AR156" s="62" t="n"/>
      <c r="AS156" s="62" t="n"/>
      <c r="AT156" s="62" t="n"/>
      <c r="AU156" s="62" t="n"/>
      <c r="AV156" s="62" t="n"/>
      <c r="AW156" s="62" t="n"/>
      <c r="AX156" s="62" t="n"/>
      <c r="AY156" s="62" t="n"/>
    </row>
    <row r="157">
      <c r="A157" s="38">
        <f>IF(D157="","",COUNTA($D$133:D157))</f>
        <v/>
      </c>
      <c r="B157" s="52" t="n"/>
      <c r="C157" s="73" t="inlineStr">
        <is>
          <t>기타</t>
        </is>
      </c>
      <c r="D157" s="52" t="n"/>
      <c r="E157" s="54" t="n"/>
      <c r="F157" s="52" t="n"/>
      <c r="G157" s="55" t="n"/>
      <c r="H157" s="54" t="n"/>
      <c r="I157" s="54" t="n"/>
      <c r="J157" s="54" t="n"/>
      <c r="K157" s="56">
        <f>IF(SUM(U157:AY157)=0,"",SUM(U157:AY157))</f>
        <v/>
      </c>
      <c r="L157" s="57">
        <f>IFERROR(INDEX(U$2:AY$2,MATCH(TRUE,U157:AY157&lt;&gt;"",0)),"")</f>
        <v/>
      </c>
      <c r="M157" s="58">
        <f>IFERROR(LOOKUP(2,1/(U157:AY157&lt;&gt;""),U$2:AY$2),"")</f>
        <v/>
      </c>
      <c r="N157" s="59">
        <f>IF(OR(G157="",M157=""),"",G157-M157)</f>
        <v/>
      </c>
      <c r="O157" s="60" t="n"/>
      <c r="P157" s="61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  <c r="AG157" s="62" t="n"/>
      <c r="AH157" s="62" t="n"/>
      <c r="AI157" s="62" t="n"/>
      <c r="AJ157" s="62" t="n"/>
      <c r="AK157" s="62" t="n"/>
      <c r="AL157" s="62" t="n"/>
      <c r="AM157" s="62" t="n"/>
      <c r="AN157" s="62" t="n"/>
      <c r="AO157" s="62" t="n"/>
      <c r="AP157" s="62" t="n"/>
      <c r="AQ157" s="62" t="n"/>
      <c r="AR157" s="62" t="n"/>
      <c r="AS157" s="62" t="n"/>
      <c r="AT157" s="62" t="n"/>
      <c r="AU157" s="62" t="n"/>
      <c r="AV157" s="62" t="n"/>
      <c r="AW157" s="62" t="n"/>
      <c r="AX157" s="62" t="n"/>
      <c r="AY157" s="62" t="n"/>
    </row>
    <row r="158">
      <c r="A158" s="38">
        <f>IF(D158="","",COUNTA($D$133:D158))</f>
        <v/>
      </c>
      <c r="B158" s="52" t="n"/>
      <c r="C158" s="73" t="inlineStr">
        <is>
          <t>기타</t>
        </is>
      </c>
      <c r="D158" s="52" t="n"/>
      <c r="E158" s="54" t="n"/>
      <c r="F158" s="52" t="n"/>
      <c r="G158" s="55" t="n"/>
      <c r="H158" s="54" t="n"/>
      <c r="I158" s="54" t="n"/>
      <c r="J158" s="54" t="n"/>
      <c r="K158" s="56">
        <f>IF(SUM(U158:AY158)=0,"",SUM(U158:AY158))</f>
        <v/>
      </c>
      <c r="L158" s="57">
        <f>IFERROR(INDEX(U$2:AY$2,MATCH(TRUE,U158:AY158&lt;&gt;"",0)),"")</f>
        <v/>
      </c>
      <c r="M158" s="58">
        <f>IFERROR(LOOKUP(2,1/(U158:AY158&lt;&gt;""),U$2:AY$2),"")</f>
        <v/>
      </c>
      <c r="N158" s="59">
        <f>IF(OR(G158="",M158=""),"",G158-M158)</f>
        <v/>
      </c>
      <c r="O158" s="60" t="n"/>
      <c r="P158" s="61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  <c r="AG158" s="62" t="n"/>
      <c r="AH158" s="62" t="n"/>
      <c r="AI158" s="62" t="n"/>
      <c r="AJ158" s="62" t="n"/>
      <c r="AK158" s="62" t="n"/>
      <c r="AL158" s="62" t="n"/>
      <c r="AM158" s="62" t="n"/>
      <c r="AN158" s="62" t="n"/>
      <c r="AO158" s="62" t="n"/>
      <c r="AP158" s="62" t="n"/>
      <c r="AQ158" s="62" t="n"/>
      <c r="AR158" s="62" t="n"/>
      <c r="AS158" s="62" t="n"/>
      <c r="AT158" s="62" t="n"/>
      <c r="AU158" s="62" t="n"/>
      <c r="AV158" s="62" t="n"/>
      <c r="AW158" s="62" t="n"/>
      <c r="AX158" s="62" t="n"/>
      <c r="AY158" s="62" t="n"/>
    </row>
    <row r="159">
      <c r="A159" s="38">
        <f>IF(D159="","",COUNTA($D$133:D159))</f>
        <v/>
      </c>
      <c r="B159" s="52" t="n"/>
      <c r="C159" s="73" t="inlineStr">
        <is>
          <t>기타</t>
        </is>
      </c>
      <c r="D159" s="52" t="n"/>
      <c r="E159" s="54" t="n"/>
      <c r="F159" s="52" t="n"/>
      <c r="G159" s="55" t="n"/>
      <c r="H159" s="54" t="n"/>
      <c r="I159" s="54" t="n"/>
      <c r="J159" s="54" t="n"/>
      <c r="K159" s="56">
        <f>IF(SUM(U159:AY159)=0,"",SUM(U159:AY159))</f>
        <v/>
      </c>
      <c r="L159" s="57">
        <f>IFERROR(INDEX(U$2:AY$2,MATCH(TRUE,U159:AY159&lt;&gt;"",0)),"")</f>
        <v/>
      </c>
      <c r="M159" s="58">
        <f>IFERROR(LOOKUP(2,1/(U159:AY159&lt;&gt;""),U$2:AY$2),"")</f>
        <v/>
      </c>
      <c r="N159" s="59">
        <f>IF(OR(G159="",M159=""),"",G159-M159)</f>
        <v/>
      </c>
      <c r="O159" s="60" t="n"/>
      <c r="P159" s="61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  <c r="AG159" s="62" t="n"/>
      <c r="AH159" s="62" t="n"/>
      <c r="AI159" s="62" t="n"/>
      <c r="AJ159" s="62" t="n"/>
      <c r="AK159" s="62" t="n"/>
      <c r="AL159" s="62" t="n"/>
      <c r="AM159" s="62" t="n"/>
      <c r="AN159" s="62" t="n"/>
      <c r="AO159" s="62" t="n"/>
      <c r="AP159" s="62" t="n"/>
      <c r="AQ159" s="62" t="n"/>
      <c r="AR159" s="62" t="n"/>
      <c r="AS159" s="62" t="n"/>
      <c r="AT159" s="62" t="n"/>
      <c r="AU159" s="62" t="n"/>
      <c r="AV159" s="62" t="n"/>
      <c r="AW159" s="62" t="n"/>
      <c r="AX159" s="62" t="n"/>
      <c r="AY159" s="62" t="n"/>
    </row>
    <row r="160">
      <c r="A160" s="38">
        <f>IF(D160="","",COUNTA($D$133:D160))</f>
        <v/>
      </c>
      <c r="B160" s="52" t="n"/>
      <c r="C160" s="73" t="inlineStr">
        <is>
          <t>기타</t>
        </is>
      </c>
      <c r="D160" s="52" t="n"/>
      <c r="E160" s="54" t="n"/>
      <c r="F160" s="52" t="n"/>
      <c r="G160" s="55" t="n"/>
      <c r="H160" s="54" t="n"/>
      <c r="I160" s="54" t="n"/>
      <c r="J160" s="54" t="n"/>
      <c r="K160" s="56">
        <f>IF(SUM(U160:AY160)=0,"",SUM(U160:AY160))</f>
        <v/>
      </c>
      <c r="L160" s="57">
        <f>IFERROR(INDEX(U$2:AY$2,MATCH(TRUE,U160:AY160&lt;&gt;"",0)),"")</f>
        <v/>
      </c>
      <c r="M160" s="58">
        <f>IFERROR(LOOKUP(2,1/(U160:AY160&lt;&gt;""),U$2:AY$2),"")</f>
        <v/>
      </c>
      <c r="N160" s="59">
        <f>IF(OR(G160="",M160=""),"",G160-M160)</f>
        <v/>
      </c>
      <c r="O160" s="60" t="n"/>
      <c r="P160" s="61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  <c r="AG160" s="62" t="n"/>
      <c r="AH160" s="62" t="n"/>
      <c r="AI160" s="62" t="n"/>
      <c r="AJ160" s="62" t="n"/>
      <c r="AK160" s="62" t="n"/>
      <c r="AL160" s="62" t="n"/>
      <c r="AM160" s="62" t="n"/>
      <c r="AN160" s="62" t="n"/>
      <c r="AO160" s="62" t="n"/>
      <c r="AP160" s="62" t="n"/>
      <c r="AQ160" s="62" t="n"/>
      <c r="AR160" s="62" t="n"/>
      <c r="AS160" s="62" t="n"/>
      <c r="AT160" s="62" t="n"/>
      <c r="AU160" s="62" t="n"/>
      <c r="AV160" s="62" t="n"/>
      <c r="AW160" s="62" t="n"/>
      <c r="AX160" s="62" t="n"/>
      <c r="AY160" s="62" t="n"/>
    </row>
    <row r="161">
      <c r="A161" s="38">
        <f>IF(D161="","",COUNTA($D$133:D161))</f>
        <v/>
      </c>
      <c r="B161" s="52" t="n"/>
      <c r="C161" s="73" t="inlineStr">
        <is>
          <t>기타</t>
        </is>
      </c>
      <c r="D161" s="52" t="n"/>
      <c r="E161" s="54" t="n"/>
      <c r="F161" s="52" t="n"/>
      <c r="G161" s="55" t="n"/>
      <c r="H161" s="54" t="n"/>
      <c r="I161" s="54" t="n"/>
      <c r="J161" s="54" t="n"/>
      <c r="K161" s="56">
        <f>IF(SUM(U161:AY161)=0,"",SUM(U161:AY161))</f>
        <v/>
      </c>
      <c r="L161" s="57">
        <f>IFERROR(INDEX(U$2:AY$2,MATCH(TRUE,U161:AY161&lt;&gt;"",0)),"")</f>
        <v/>
      </c>
      <c r="M161" s="58">
        <f>IFERROR(LOOKUP(2,1/(U161:AY161&lt;&gt;""),U$2:AY$2),"")</f>
        <v/>
      </c>
      <c r="N161" s="59">
        <f>IF(OR(G161="",M161=""),"",G161-M161)</f>
        <v/>
      </c>
      <c r="O161" s="60" t="n"/>
      <c r="P161" s="61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  <c r="AG161" s="62" t="n"/>
      <c r="AH161" s="62" t="n"/>
      <c r="AI161" s="62" t="n"/>
      <c r="AJ161" s="62" t="n"/>
      <c r="AK161" s="62" t="n"/>
      <c r="AL161" s="62" t="n"/>
      <c r="AM161" s="62" t="n"/>
      <c r="AN161" s="62" t="n"/>
      <c r="AO161" s="62" t="n"/>
      <c r="AP161" s="62" t="n"/>
      <c r="AQ161" s="62" t="n"/>
      <c r="AR161" s="62" t="n"/>
      <c r="AS161" s="62" t="n"/>
      <c r="AT161" s="62" t="n"/>
      <c r="AU161" s="62" t="n"/>
      <c r="AV161" s="62" t="n"/>
      <c r="AW161" s="62" t="n"/>
      <c r="AX161" s="62" t="n"/>
      <c r="AY161" s="62" t="n"/>
    </row>
    <row r="162">
      <c r="A162" s="38">
        <f>IF(D162="","",COUNTA($D$133:D162))</f>
        <v/>
      </c>
      <c r="B162" s="52" t="n"/>
      <c r="C162" s="73" t="inlineStr">
        <is>
          <t>기타</t>
        </is>
      </c>
      <c r="D162" s="52" t="n"/>
      <c r="E162" s="54" t="n"/>
      <c r="F162" s="52" t="n"/>
      <c r="G162" s="55" t="n"/>
      <c r="H162" s="54" t="n"/>
      <c r="I162" s="54" t="n"/>
      <c r="J162" s="54" t="n"/>
      <c r="K162" s="56">
        <f>IF(SUM(U162:AY162)=0,"",SUM(U162:AY162))</f>
        <v/>
      </c>
      <c r="L162" s="57">
        <f>IFERROR(INDEX(U$2:AY$2,MATCH(TRUE,U162:AY162&lt;&gt;"",0)),"")</f>
        <v/>
      </c>
      <c r="M162" s="58">
        <f>IFERROR(LOOKUP(2,1/(U162:AY162&lt;&gt;""),U$2:AY$2),"")</f>
        <v/>
      </c>
      <c r="N162" s="59">
        <f>IF(OR(G162="",M162=""),"",G162-M162)</f>
        <v/>
      </c>
      <c r="O162" s="60" t="n"/>
      <c r="P162" s="61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  <c r="AG162" s="62" t="n"/>
      <c r="AH162" s="62" t="n"/>
      <c r="AI162" s="62" t="n"/>
      <c r="AJ162" s="62" t="n"/>
      <c r="AK162" s="62" t="n"/>
      <c r="AL162" s="62" t="n"/>
      <c r="AM162" s="62" t="n"/>
      <c r="AN162" s="62" t="n"/>
      <c r="AO162" s="62" t="n"/>
      <c r="AP162" s="62" t="n"/>
      <c r="AQ162" s="62" t="n"/>
      <c r="AR162" s="62" t="n"/>
      <c r="AS162" s="62" t="n"/>
      <c r="AT162" s="62" t="n"/>
      <c r="AU162" s="62" t="n"/>
      <c r="AV162" s="62" t="n"/>
      <c r="AW162" s="62" t="n"/>
      <c r="AX162" s="62" t="n"/>
      <c r="AY162" s="62" t="n"/>
    </row>
    <row r="163">
      <c r="A163" s="74">
        <f>'마스터'!$J$5</f>
        <v/>
      </c>
    </row>
    <row r="164">
      <c r="A164" s="74" t="inlineStr">
        <is>
          <t>공휴일(로컬 미러 - 조건부서식 전용, 편집 불필요)</t>
        </is>
      </c>
    </row>
    <row r="165">
      <c r="A165" s="75">
        <f>'마스터'!$J$13</f>
        <v/>
      </c>
    </row>
    <row r="166">
      <c r="A166" s="75">
        <f>'마스터'!$J$14</f>
        <v/>
      </c>
    </row>
    <row r="167">
      <c r="A167" s="75">
        <f>'마스터'!$J$15</f>
        <v/>
      </c>
    </row>
    <row r="168">
      <c r="A168" s="75">
        <f>'마스터'!$J$16</f>
        <v/>
      </c>
    </row>
    <row r="169">
      <c r="A169" s="75">
        <f>'마스터'!$J$17</f>
        <v/>
      </c>
    </row>
    <row r="170">
      <c r="A170" s="75">
        <f>'마스터'!$J$18</f>
        <v/>
      </c>
    </row>
    <row r="171">
      <c r="A171" s="75">
        <f>'마스터'!$J$19</f>
        <v/>
      </c>
    </row>
    <row r="172">
      <c r="A172" s="75">
        <f>'마스터'!$J$20</f>
        <v/>
      </c>
    </row>
    <row r="173">
      <c r="A173" s="75">
        <f>'마스터'!$J$21</f>
        <v/>
      </c>
    </row>
    <row r="174">
      <c r="A174" s="75">
        <f>'마스터'!$J$22</f>
        <v/>
      </c>
    </row>
    <row r="175">
      <c r="A175" s="75">
        <f>'마스터'!$J$23</f>
        <v/>
      </c>
    </row>
    <row r="176">
      <c r="A176" s="75">
        <f>'마스터'!$J$24</f>
        <v/>
      </c>
    </row>
    <row r="177">
      <c r="A177" s="75">
        <f>'마스터'!$J$25</f>
        <v/>
      </c>
    </row>
    <row r="178">
      <c r="A178" s="75">
        <f>'마스터'!$J$26</f>
        <v/>
      </c>
    </row>
    <row r="179">
      <c r="A179" s="75">
        <f>'마스터'!$J$27</f>
        <v/>
      </c>
    </row>
  </sheetData>
  <mergeCells count="13">
    <mergeCell ref="H1:J1"/>
    <mergeCell ref="K1:P1"/>
    <mergeCell ref="A1:G1"/>
    <mergeCell ref="A132:P132"/>
    <mergeCell ref="A5:F5"/>
    <mergeCell ref="A70:P70"/>
    <mergeCell ref="A8:P8"/>
    <mergeCell ref="U1:AY1"/>
    <mergeCell ref="A6:F6"/>
    <mergeCell ref="A39:P39"/>
    <mergeCell ref="A4:F4"/>
    <mergeCell ref="A101:P101"/>
    <mergeCell ref="A3:F3"/>
  </mergeCells>
  <conditionalFormatting sqref="U3:AY6">
    <cfRule type="expression" priority="1" dxfId="0">
      <formula>U3&gt;$H3</formula>
    </cfRule>
    <cfRule type="expression" priority="2" dxfId="1">
      <formula>AND(U3&gt;0,U3&gt;=$H3*0.8)</formula>
    </cfRule>
  </conditionalFormatting>
  <conditionalFormatting sqref="U3:AY162">
    <cfRule type="expression" priority="3" dxfId="2">
      <formula>OR(WEEKDAY(U$2,2)&gt;5,COUNTIF($A$165:$A$179,U$2)&gt;0)</formula>
    </cfRule>
  </conditionalFormatting>
  <conditionalFormatting sqref="U8:AY162">
    <cfRule type="expression" priority="4" dxfId="3">
      <formula>AND($F8&lt;&gt;"",U8&lt;&gt;"",SUMIF($F$8:$F$162,$F8,U$8:U$162)&gt;$A$163)</formula>
    </cfRule>
    <cfRule type="expression" priority="5" dxfId="4">
      <formula>$E8="기획"</formula>
    </cfRule>
    <cfRule type="expression" priority="6" dxfId="5">
      <formula>$E8="이미지"</formula>
    </cfRule>
    <cfRule type="expression" priority="7" dxfId="6">
      <formula>$E8="영상"</formula>
    </cfRule>
    <cfRule type="expression" priority="8" dxfId="7">
      <formula>AND($E8="기획",U8&lt;&gt;"")</formula>
    </cfRule>
    <cfRule type="expression" priority="9" dxfId="8">
      <formula>AND($E8="이미지",U8&lt;&gt;"")</formula>
    </cfRule>
    <cfRule type="expression" priority="10" dxfId="9">
      <formula>AND($E8="영상",U8&lt;&gt;"")</formula>
    </cfRule>
  </conditionalFormatting>
  <conditionalFormatting sqref="N8:N162">
    <cfRule type="expression" priority="11" dxfId="10">
      <formula>AND(N8&lt;&gt;"",N8&lt;0)</formula>
    </cfRule>
    <cfRule type="expression" priority="12" dxfId="11">
      <formula>AND(N8&lt;&gt;"",N8&gt;=0,N8&lt;=1)</formula>
    </cfRule>
    <cfRule type="expression" priority="13" dxfId="12">
      <formula>AND(N8&lt;&gt;"",N8&gt;1)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E8:E162" showDropDown="0" showInputMessage="0" showErrorMessage="0" allowBlank="1" type="list">
      <formula1>='마스터'!$E$3:$E$5</formula1>
    </dataValidation>
    <dataValidation sqref="O8:O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179"/>
  <sheetViews>
    <sheetView showGridLines="0" workbookViewId="0">
      <pane xSplit="7" ySplit="7" topLeftCell="H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20" customWidth="1" min="4" max="4"/>
    <col width="7" customWidth="1" min="5" max="5"/>
    <col width="9" customWidth="1" min="6" max="6"/>
    <col width="9" customWidth="1" min="7" max="7"/>
    <col width="5" customWidth="1" min="8" max="8"/>
    <col width="5" customWidth="1" min="9" max="9"/>
    <col width="5" customWidth="1" min="10" max="10"/>
    <col width="6" customWidth="1" min="11" max="11"/>
    <col width="8" customWidth="1" min="12" max="12"/>
    <col width="8" customWidth="1" min="13" max="13"/>
    <col width="6" customWidth="1" min="14" max="14"/>
    <col width="7" customWidth="1" min="15" max="15"/>
    <col width="12" customWidth="1" min="16" max="16"/>
    <col width="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</cols>
  <sheetData>
    <row r="1">
      <c r="A1" s="40" t="inlineStr">
        <is>
          <t>2월 업무 정보 (소재명 = 직군별 줄)</t>
        </is>
      </c>
      <c r="H1" s="41" t="inlineStr">
        <is>
          <t>수량 (소재당 1번만)</t>
        </is>
      </c>
      <c r="K1" s="42" t="inlineStr">
        <is>
          <t>집계 / 일정 (자동)</t>
        </is>
      </c>
      <c r="U1" s="14" t="inlineStr">
        <is>
          <t>2월 간트 - 날짜 칸에 MD 직접 입력 (주말+공휴일 회색)  상단 4줄=일자별 직군 TO 상태</t>
        </is>
      </c>
    </row>
    <row r="2">
      <c r="A2" s="43" t="inlineStr">
        <is>
          <t>No</t>
        </is>
      </c>
      <c r="B2" s="43" t="inlineStr">
        <is>
          <t>게임 타이틀명</t>
        </is>
      </c>
      <c r="C2" s="43" t="inlineStr">
        <is>
          <t>고객팀</t>
        </is>
      </c>
      <c r="D2" s="43" t="inlineStr">
        <is>
          <t>소재명(업무명)</t>
        </is>
      </c>
      <c r="E2" s="43" t="inlineStr">
        <is>
          <t>직군</t>
        </is>
      </c>
      <c r="F2" s="43" t="inlineStr">
        <is>
          <t>담당자</t>
        </is>
      </c>
      <c r="G2" s="43" t="inlineStr">
        <is>
          <t>최종완료일
(고객전달)</t>
        </is>
      </c>
      <c r="H2" s="43" t="inlineStr">
        <is>
          <t>영상
수</t>
        </is>
      </c>
      <c r="I2" s="43" t="inlineStr">
        <is>
          <t>사이즈
베리</t>
        </is>
      </c>
      <c r="J2" s="43" t="inlineStr">
        <is>
          <t>다국어
베리</t>
        </is>
      </c>
      <c r="K2" s="43" t="inlineStr">
        <is>
          <t>합계
MD</t>
        </is>
      </c>
      <c r="L2" s="43" t="inlineStr">
        <is>
          <t>시작일
(자동)</t>
        </is>
      </c>
      <c r="M2" s="43" t="inlineStr">
        <is>
          <t>완료일
(자동)</t>
        </is>
      </c>
      <c r="N2" s="43" t="inlineStr">
        <is>
          <t>여유</t>
        </is>
      </c>
      <c r="O2" s="43" t="inlineStr">
        <is>
          <t>상태</t>
        </is>
      </c>
      <c r="P2" s="43" t="inlineStr">
        <is>
          <t>비고</t>
        </is>
      </c>
      <c r="U2" s="44">
        <f>DATE('마스터'!$J$3,2,1)</f>
        <v/>
      </c>
      <c r="V2" s="44">
        <f>U2+1</f>
        <v/>
      </c>
      <c r="W2" s="44">
        <f>V2+1</f>
        <v/>
      </c>
      <c r="X2" s="44">
        <f>W2+1</f>
        <v/>
      </c>
      <c r="Y2" s="44">
        <f>X2+1</f>
        <v/>
      </c>
      <c r="Z2" s="44">
        <f>Y2+1</f>
        <v/>
      </c>
      <c r="AA2" s="44">
        <f>Z2+1</f>
        <v/>
      </c>
      <c r="AB2" s="44">
        <f>AA2+1</f>
        <v/>
      </c>
      <c r="AC2" s="44">
        <f>AB2+1</f>
        <v/>
      </c>
      <c r="AD2" s="44">
        <f>AC2+1</f>
        <v/>
      </c>
      <c r="AE2" s="44">
        <f>AD2+1</f>
        <v/>
      </c>
      <c r="AF2" s="44">
        <f>AE2+1</f>
        <v/>
      </c>
      <c r="AG2" s="44">
        <f>AF2+1</f>
        <v/>
      </c>
      <c r="AH2" s="44">
        <f>AG2+1</f>
        <v/>
      </c>
      <c r="AI2" s="44">
        <f>AH2+1</f>
        <v/>
      </c>
      <c r="AJ2" s="44">
        <f>AI2+1</f>
        <v/>
      </c>
      <c r="AK2" s="44">
        <f>AJ2+1</f>
        <v/>
      </c>
      <c r="AL2" s="44">
        <f>AK2+1</f>
        <v/>
      </c>
      <c r="AM2" s="44">
        <f>AL2+1</f>
        <v/>
      </c>
      <c r="AN2" s="44">
        <f>AM2+1</f>
        <v/>
      </c>
      <c r="AO2" s="44">
        <f>AN2+1</f>
        <v/>
      </c>
      <c r="AP2" s="44">
        <f>AO2+1</f>
        <v/>
      </c>
      <c r="AQ2" s="44">
        <f>AP2+1</f>
        <v/>
      </c>
      <c r="AR2" s="44">
        <f>AQ2+1</f>
        <v/>
      </c>
      <c r="AS2" s="44">
        <f>AR2+1</f>
        <v/>
      </c>
      <c r="AT2" s="44">
        <f>AS2+1</f>
        <v/>
      </c>
      <c r="AU2" s="44">
        <f>AT2+1</f>
        <v/>
      </c>
      <c r="AV2" s="44">
        <f>AU2+1</f>
        <v/>
      </c>
      <c r="AW2" s="44">
        <f>AV2+1</f>
        <v/>
      </c>
      <c r="AX2" s="44">
        <f>AW2+1</f>
        <v/>
      </c>
      <c r="AY2" s="44">
        <f>AX2+1</f>
        <v/>
      </c>
    </row>
    <row r="3">
      <c r="A3" s="45" t="inlineStr">
        <is>
          <t>전체 TO (일자별 부하)</t>
        </is>
      </c>
      <c r="G3" s="46" t="inlineStr">
        <is>
          <t>정원</t>
        </is>
      </c>
      <c r="H3" s="47">
        <f>SUM('마스터'!$J$8:$J$10)</f>
        <v/>
      </c>
      <c r="I3" s="48" t="n"/>
      <c r="J3" s="48" t="n"/>
      <c r="K3" s="48" t="n"/>
      <c r="L3" s="48" t="n"/>
      <c r="M3" s="48" t="n"/>
      <c r="N3" s="48" t="n"/>
      <c r="O3" s="48" t="n"/>
      <c r="P3" s="48" t="n"/>
      <c r="U3" s="49">
        <f>SUM(U$8:U$162)</f>
        <v/>
      </c>
      <c r="V3" s="49">
        <f>SUM(V$8:V$162)</f>
        <v/>
      </c>
      <c r="W3" s="49">
        <f>SUM(W$8:W$162)</f>
        <v/>
      </c>
      <c r="X3" s="49">
        <f>SUM(X$8:X$162)</f>
        <v/>
      </c>
      <c r="Y3" s="49">
        <f>SUM(Y$8:Y$162)</f>
        <v/>
      </c>
      <c r="Z3" s="49">
        <f>SUM(Z$8:Z$162)</f>
        <v/>
      </c>
      <c r="AA3" s="49">
        <f>SUM(AA$8:AA$162)</f>
        <v/>
      </c>
      <c r="AB3" s="49">
        <f>SUM(AB$8:AB$162)</f>
        <v/>
      </c>
      <c r="AC3" s="49">
        <f>SUM(AC$8:AC$162)</f>
        <v/>
      </c>
      <c r="AD3" s="49">
        <f>SUM(AD$8:AD$162)</f>
        <v/>
      </c>
      <c r="AE3" s="49">
        <f>SUM(AE$8:AE$162)</f>
        <v/>
      </c>
      <c r="AF3" s="49">
        <f>SUM(AF$8:AF$162)</f>
        <v/>
      </c>
      <c r="AG3" s="49">
        <f>SUM(AG$8:AG$162)</f>
        <v/>
      </c>
      <c r="AH3" s="49">
        <f>SUM(AH$8:AH$162)</f>
        <v/>
      </c>
      <c r="AI3" s="49">
        <f>SUM(AI$8:AI$162)</f>
        <v/>
      </c>
      <c r="AJ3" s="49">
        <f>SUM(AJ$8:AJ$162)</f>
        <v/>
      </c>
      <c r="AK3" s="49">
        <f>SUM(AK$8:AK$162)</f>
        <v/>
      </c>
      <c r="AL3" s="49">
        <f>SUM(AL$8:AL$162)</f>
        <v/>
      </c>
      <c r="AM3" s="49">
        <f>SUM(AM$8:AM$162)</f>
        <v/>
      </c>
      <c r="AN3" s="49">
        <f>SUM(AN$8:AN$162)</f>
        <v/>
      </c>
      <c r="AO3" s="49">
        <f>SUM(AO$8:AO$162)</f>
        <v/>
      </c>
      <c r="AP3" s="49">
        <f>SUM(AP$8:AP$162)</f>
        <v/>
      </c>
      <c r="AQ3" s="49">
        <f>SUM(AQ$8:AQ$162)</f>
        <v/>
      </c>
      <c r="AR3" s="49">
        <f>SUM(AR$8:AR$162)</f>
        <v/>
      </c>
      <c r="AS3" s="49">
        <f>SUM(AS$8:AS$162)</f>
        <v/>
      </c>
      <c r="AT3" s="49">
        <f>SUM(AT$8:AT$162)</f>
        <v/>
      </c>
      <c r="AU3" s="49">
        <f>SUM(AU$8:AU$162)</f>
        <v/>
      </c>
      <c r="AV3" s="49">
        <f>SUM(AV$8:AV$162)</f>
        <v/>
      </c>
      <c r="AW3" s="49">
        <f>SUM(AW$8:AW$162)</f>
        <v/>
      </c>
      <c r="AX3" s="49">
        <f>SUM(AX$8:AX$162)</f>
        <v/>
      </c>
      <c r="AY3" s="49">
        <f>SUM(AY$8:AY$162)</f>
        <v/>
      </c>
    </row>
    <row r="4">
      <c r="A4" s="45" t="inlineStr">
        <is>
          <t>영상 TO</t>
        </is>
      </c>
      <c r="G4" s="46" t="inlineStr">
        <is>
          <t>정원</t>
        </is>
      </c>
      <c r="H4" s="47">
        <f>'마스터'!$J$8</f>
        <v/>
      </c>
      <c r="I4" s="48" t="n"/>
      <c r="J4" s="48" t="n"/>
      <c r="K4" s="48" t="n"/>
      <c r="L4" s="48" t="n"/>
      <c r="M4" s="48" t="n"/>
      <c r="N4" s="48" t="n"/>
      <c r="O4" s="48" t="n"/>
      <c r="P4" s="48" t="n"/>
      <c r="U4" s="49">
        <f>SUMIF($E$8:$E$162,"영상",U$8:U$162)</f>
        <v/>
      </c>
      <c r="V4" s="49">
        <f>SUMIF($E$8:$E$162,"영상",V$8:V$162)</f>
        <v/>
      </c>
      <c r="W4" s="49">
        <f>SUMIF($E$8:$E$162,"영상",W$8:W$162)</f>
        <v/>
      </c>
      <c r="X4" s="49">
        <f>SUMIF($E$8:$E$162,"영상",X$8:X$162)</f>
        <v/>
      </c>
      <c r="Y4" s="49">
        <f>SUMIF($E$8:$E$162,"영상",Y$8:Y$162)</f>
        <v/>
      </c>
      <c r="Z4" s="49">
        <f>SUMIF($E$8:$E$162,"영상",Z$8:Z$162)</f>
        <v/>
      </c>
      <c r="AA4" s="49">
        <f>SUMIF($E$8:$E$162,"영상",AA$8:AA$162)</f>
        <v/>
      </c>
      <c r="AB4" s="49">
        <f>SUMIF($E$8:$E$162,"영상",AB$8:AB$162)</f>
        <v/>
      </c>
      <c r="AC4" s="49">
        <f>SUMIF($E$8:$E$162,"영상",AC$8:AC$162)</f>
        <v/>
      </c>
      <c r="AD4" s="49">
        <f>SUMIF($E$8:$E$162,"영상",AD$8:AD$162)</f>
        <v/>
      </c>
      <c r="AE4" s="49">
        <f>SUMIF($E$8:$E$162,"영상",AE$8:AE$162)</f>
        <v/>
      </c>
      <c r="AF4" s="49">
        <f>SUMIF($E$8:$E$162,"영상",AF$8:AF$162)</f>
        <v/>
      </c>
      <c r="AG4" s="49">
        <f>SUMIF($E$8:$E$162,"영상",AG$8:AG$162)</f>
        <v/>
      </c>
      <c r="AH4" s="49">
        <f>SUMIF($E$8:$E$162,"영상",AH$8:AH$162)</f>
        <v/>
      </c>
      <c r="AI4" s="49">
        <f>SUMIF($E$8:$E$162,"영상",AI$8:AI$162)</f>
        <v/>
      </c>
      <c r="AJ4" s="49">
        <f>SUMIF($E$8:$E$162,"영상",AJ$8:AJ$162)</f>
        <v/>
      </c>
      <c r="AK4" s="49">
        <f>SUMIF($E$8:$E$162,"영상",AK$8:AK$162)</f>
        <v/>
      </c>
      <c r="AL4" s="49">
        <f>SUMIF($E$8:$E$162,"영상",AL$8:AL$162)</f>
        <v/>
      </c>
      <c r="AM4" s="49">
        <f>SUMIF($E$8:$E$162,"영상",AM$8:AM$162)</f>
        <v/>
      </c>
      <c r="AN4" s="49">
        <f>SUMIF($E$8:$E$162,"영상",AN$8:AN$162)</f>
        <v/>
      </c>
      <c r="AO4" s="49">
        <f>SUMIF($E$8:$E$162,"영상",AO$8:AO$162)</f>
        <v/>
      </c>
      <c r="AP4" s="49">
        <f>SUMIF($E$8:$E$162,"영상",AP$8:AP$162)</f>
        <v/>
      </c>
      <c r="AQ4" s="49">
        <f>SUMIF($E$8:$E$162,"영상",AQ$8:AQ$162)</f>
        <v/>
      </c>
      <c r="AR4" s="49">
        <f>SUMIF($E$8:$E$162,"영상",AR$8:AR$162)</f>
        <v/>
      </c>
      <c r="AS4" s="49">
        <f>SUMIF($E$8:$E$162,"영상",AS$8:AS$162)</f>
        <v/>
      </c>
      <c r="AT4" s="49">
        <f>SUMIF($E$8:$E$162,"영상",AT$8:AT$162)</f>
        <v/>
      </c>
      <c r="AU4" s="49">
        <f>SUMIF($E$8:$E$162,"영상",AU$8:AU$162)</f>
        <v/>
      </c>
      <c r="AV4" s="49">
        <f>SUMIF($E$8:$E$162,"영상",AV$8:AV$162)</f>
        <v/>
      </c>
      <c r="AW4" s="49">
        <f>SUMIF($E$8:$E$162,"영상",AW$8:AW$162)</f>
        <v/>
      </c>
      <c r="AX4" s="49">
        <f>SUMIF($E$8:$E$162,"영상",AX$8:AX$162)</f>
        <v/>
      </c>
      <c r="AY4" s="49">
        <f>SUMIF($E$8:$E$162,"영상",AY$8:AY$162)</f>
        <v/>
      </c>
    </row>
    <row r="5">
      <c r="A5" s="45" t="inlineStr">
        <is>
          <t>이미지 TO</t>
        </is>
      </c>
      <c r="G5" s="46" t="inlineStr">
        <is>
          <t>정원</t>
        </is>
      </c>
      <c r="H5" s="47">
        <f>'마스터'!$J$9</f>
        <v/>
      </c>
      <c r="I5" s="48" t="n"/>
      <c r="J5" s="48" t="n"/>
      <c r="K5" s="48" t="n"/>
      <c r="L5" s="48" t="n"/>
      <c r="M5" s="48" t="n"/>
      <c r="N5" s="48" t="n"/>
      <c r="O5" s="48" t="n"/>
      <c r="P5" s="48" t="n"/>
      <c r="U5" s="49">
        <f>SUMIF($E$8:$E$162,"이미지",U$8:U$162)</f>
        <v/>
      </c>
      <c r="V5" s="49">
        <f>SUMIF($E$8:$E$162,"이미지",V$8:V$162)</f>
        <v/>
      </c>
      <c r="W5" s="49">
        <f>SUMIF($E$8:$E$162,"이미지",W$8:W$162)</f>
        <v/>
      </c>
      <c r="X5" s="49">
        <f>SUMIF($E$8:$E$162,"이미지",X$8:X$162)</f>
        <v/>
      </c>
      <c r="Y5" s="49">
        <f>SUMIF($E$8:$E$162,"이미지",Y$8:Y$162)</f>
        <v/>
      </c>
      <c r="Z5" s="49">
        <f>SUMIF($E$8:$E$162,"이미지",Z$8:Z$162)</f>
        <v/>
      </c>
      <c r="AA5" s="49">
        <f>SUMIF($E$8:$E$162,"이미지",AA$8:AA$162)</f>
        <v/>
      </c>
      <c r="AB5" s="49">
        <f>SUMIF($E$8:$E$162,"이미지",AB$8:AB$162)</f>
        <v/>
      </c>
      <c r="AC5" s="49">
        <f>SUMIF($E$8:$E$162,"이미지",AC$8:AC$162)</f>
        <v/>
      </c>
      <c r="AD5" s="49">
        <f>SUMIF($E$8:$E$162,"이미지",AD$8:AD$162)</f>
        <v/>
      </c>
      <c r="AE5" s="49">
        <f>SUMIF($E$8:$E$162,"이미지",AE$8:AE$162)</f>
        <v/>
      </c>
      <c r="AF5" s="49">
        <f>SUMIF($E$8:$E$162,"이미지",AF$8:AF$162)</f>
        <v/>
      </c>
      <c r="AG5" s="49">
        <f>SUMIF($E$8:$E$162,"이미지",AG$8:AG$162)</f>
        <v/>
      </c>
      <c r="AH5" s="49">
        <f>SUMIF($E$8:$E$162,"이미지",AH$8:AH$162)</f>
        <v/>
      </c>
      <c r="AI5" s="49">
        <f>SUMIF($E$8:$E$162,"이미지",AI$8:AI$162)</f>
        <v/>
      </c>
      <c r="AJ5" s="49">
        <f>SUMIF($E$8:$E$162,"이미지",AJ$8:AJ$162)</f>
        <v/>
      </c>
      <c r="AK5" s="49">
        <f>SUMIF($E$8:$E$162,"이미지",AK$8:AK$162)</f>
        <v/>
      </c>
      <c r="AL5" s="49">
        <f>SUMIF($E$8:$E$162,"이미지",AL$8:AL$162)</f>
        <v/>
      </c>
      <c r="AM5" s="49">
        <f>SUMIF($E$8:$E$162,"이미지",AM$8:AM$162)</f>
        <v/>
      </c>
      <c r="AN5" s="49">
        <f>SUMIF($E$8:$E$162,"이미지",AN$8:AN$162)</f>
        <v/>
      </c>
      <c r="AO5" s="49">
        <f>SUMIF($E$8:$E$162,"이미지",AO$8:AO$162)</f>
        <v/>
      </c>
      <c r="AP5" s="49">
        <f>SUMIF($E$8:$E$162,"이미지",AP$8:AP$162)</f>
        <v/>
      </c>
      <c r="AQ5" s="49">
        <f>SUMIF($E$8:$E$162,"이미지",AQ$8:AQ$162)</f>
        <v/>
      </c>
      <c r="AR5" s="49">
        <f>SUMIF($E$8:$E$162,"이미지",AR$8:AR$162)</f>
        <v/>
      </c>
      <c r="AS5" s="49">
        <f>SUMIF($E$8:$E$162,"이미지",AS$8:AS$162)</f>
        <v/>
      </c>
      <c r="AT5" s="49">
        <f>SUMIF($E$8:$E$162,"이미지",AT$8:AT$162)</f>
        <v/>
      </c>
      <c r="AU5" s="49">
        <f>SUMIF($E$8:$E$162,"이미지",AU$8:AU$162)</f>
        <v/>
      </c>
      <c r="AV5" s="49">
        <f>SUMIF($E$8:$E$162,"이미지",AV$8:AV$162)</f>
        <v/>
      </c>
      <c r="AW5" s="49">
        <f>SUMIF($E$8:$E$162,"이미지",AW$8:AW$162)</f>
        <v/>
      </c>
      <c r="AX5" s="49">
        <f>SUMIF($E$8:$E$162,"이미지",AX$8:AX$162)</f>
        <v/>
      </c>
      <c r="AY5" s="49">
        <f>SUMIF($E$8:$E$162,"이미지",AY$8:AY$162)</f>
        <v/>
      </c>
    </row>
    <row r="6">
      <c r="A6" s="45" t="inlineStr">
        <is>
          <t>기획 TO</t>
        </is>
      </c>
      <c r="G6" s="46" t="inlineStr">
        <is>
          <t>정원</t>
        </is>
      </c>
      <c r="H6" s="47">
        <f>'마스터'!$J$10</f>
        <v/>
      </c>
      <c r="I6" s="48" t="n"/>
      <c r="J6" s="48" t="n"/>
      <c r="K6" s="48" t="n"/>
      <c r="L6" s="48" t="n"/>
      <c r="M6" s="48" t="n"/>
      <c r="N6" s="48" t="n"/>
      <c r="O6" s="48" t="n"/>
      <c r="P6" s="48" t="n"/>
      <c r="U6" s="49">
        <f>SUMIF($E$8:$E$162,"기획",U$8:U$162)</f>
        <v/>
      </c>
      <c r="V6" s="49">
        <f>SUMIF($E$8:$E$162,"기획",V$8:V$162)</f>
        <v/>
      </c>
      <c r="W6" s="49">
        <f>SUMIF($E$8:$E$162,"기획",W$8:W$162)</f>
        <v/>
      </c>
      <c r="X6" s="49">
        <f>SUMIF($E$8:$E$162,"기획",X$8:X$162)</f>
        <v/>
      </c>
      <c r="Y6" s="49">
        <f>SUMIF($E$8:$E$162,"기획",Y$8:Y$162)</f>
        <v/>
      </c>
      <c r="Z6" s="49">
        <f>SUMIF($E$8:$E$162,"기획",Z$8:Z$162)</f>
        <v/>
      </c>
      <c r="AA6" s="49">
        <f>SUMIF($E$8:$E$162,"기획",AA$8:AA$162)</f>
        <v/>
      </c>
      <c r="AB6" s="49">
        <f>SUMIF($E$8:$E$162,"기획",AB$8:AB$162)</f>
        <v/>
      </c>
      <c r="AC6" s="49">
        <f>SUMIF($E$8:$E$162,"기획",AC$8:AC$162)</f>
        <v/>
      </c>
      <c r="AD6" s="49">
        <f>SUMIF($E$8:$E$162,"기획",AD$8:AD$162)</f>
        <v/>
      </c>
      <c r="AE6" s="49">
        <f>SUMIF($E$8:$E$162,"기획",AE$8:AE$162)</f>
        <v/>
      </c>
      <c r="AF6" s="49">
        <f>SUMIF($E$8:$E$162,"기획",AF$8:AF$162)</f>
        <v/>
      </c>
      <c r="AG6" s="49">
        <f>SUMIF($E$8:$E$162,"기획",AG$8:AG$162)</f>
        <v/>
      </c>
      <c r="AH6" s="49">
        <f>SUMIF($E$8:$E$162,"기획",AH$8:AH$162)</f>
        <v/>
      </c>
      <c r="AI6" s="49">
        <f>SUMIF($E$8:$E$162,"기획",AI$8:AI$162)</f>
        <v/>
      </c>
      <c r="AJ6" s="49">
        <f>SUMIF($E$8:$E$162,"기획",AJ$8:AJ$162)</f>
        <v/>
      </c>
      <c r="AK6" s="49">
        <f>SUMIF($E$8:$E$162,"기획",AK$8:AK$162)</f>
        <v/>
      </c>
      <c r="AL6" s="49">
        <f>SUMIF($E$8:$E$162,"기획",AL$8:AL$162)</f>
        <v/>
      </c>
      <c r="AM6" s="49">
        <f>SUMIF($E$8:$E$162,"기획",AM$8:AM$162)</f>
        <v/>
      </c>
      <c r="AN6" s="49">
        <f>SUMIF($E$8:$E$162,"기획",AN$8:AN$162)</f>
        <v/>
      </c>
      <c r="AO6" s="49">
        <f>SUMIF($E$8:$E$162,"기획",AO$8:AO$162)</f>
        <v/>
      </c>
      <c r="AP6" s="49">
        <f>SUMIF($E$8:$E$162,"기획",AP$8:AP$162)</f>
        <v/>
      </c>
      <c r="AQ6" s="49">
        <f>SUMIF($E$8:$E$162,"기획",AQ$8:AQ$162)</f>
        <v/>
      </c>
      <c r="AR6" s="49">
        <f>SUMIF($E$8:$E$162,"기획",AR$8:AR$162)</f>
        <v/>
      </c>
      <c r="AS6" s="49">
        <f>SUMIF($E$8:$E$162,"기획",AS$8:AS$162)</f>
        <v/>
      </c>
      <c r="AT6" s="49">
        <f>SUMIF($E$8:$E$162,"기획",AT$8:AT$162)</f>
        <v/>
      </c>
      <c r="AU6" s="49">
        <f>SUMIF($E$8:$E$162,"기획",AU$8:AU$162)</f>
        <v/>
      </c>
      <c r="AV6" s="49">
        <f>SUMIF($E$8:$E$162,"기획",AV$8:AV$162)</f>
        <v/>
      </c>
      <c r="AW6" s="49">
        <f>SUMIF($E$8:$E$162,"기획",AW$8:AW$162)</f>
        <v/>
      </c>
      <c r="AX6" s="49">
        <f>SUMIF($E$8:$E$162,"기획",AX$8:AX$162)</f>
        <v/>
      </c>
      <c r="AY6" s="49">
        <f>SUMIF($E$8:$E$162,"기획",AY$8:AY$162)</f>
        <v/>
      </c>
    </row>
    <row r="8">
      <c r="A8" s="50" t="inlineStr">
        <is>
          <t>마케팅1팀  (9~38행)</t>
        </is>
      </c>
      <c r="U8" s="51" t="n"/>
      <c r="V8" s="51" t="n"/>
      <c r="W8" s="51" t="n"/>
      <c r="X8" s="51" t="n"/>
      <c r="Y8" s="51" t="n"/>
      <c r="Z8" s="51" t="n"/>
      <c r="AA8" s="51" t="n"/>
      <c r="AB8" s="51" t="n"/>
      <c r="AC8" s="51" t="n"/>
      <c r="AD8" s="51" t="n"/>
      <c r="AE8" s="51" t="n"/>
      <c r="AF8" s="51" t="n"/>
      <c r="AG8" s="51" t="n"/>
      <c r="AH8" s="51" t="n"/>
      <c r="AI8" s="51" t="n"/>
      <c r="AJ8" s="51" t="n"/>
      <c r="AK8" s="51" t="n"/>
      <c r="AL8" s="51" t="n"/>
      <c r="AM8" s="51" t="n"/>
      <c r="AN8" s="51" t="n"/>
      <c r="AO8" s="51" t="n"/>
      <c r="AP8" s="51" t="n"/>
      <c r="AQ8" s="51" t="n"/>
      <c r="AR8" s="51" t="n"/>
      <c r="AS8" s="51" t="n"/>
      <c r="AT8" s="51" t="n"/>
      <c r="AU8" s="51" t="n"/>
      <c r="AV8" s="51" t="n"/>
      <c r="AW8" s="51" t="n"/>
      <c r="AX8" s="51" t="n"/>
      <c r="AY8" s="51" t="n"/>
    </row>
    <row r="9">
      <c r="A9" s="38">
        <f>IF(D9="","",COUNTA($D$9:D9))</f>
        <v/>
      </c>
      <c r="B9" s="52" t="n"/>
      <c r="C9" s="53" t="inlineStr">
        <is>
          <t>마케팅1팀</t>
        </is>
      </c>
      <c r="D9" s="52" t="n"/>
      <c r="E9" s="54" t="n"/>
      <c r="F9" s="52" t="n"/>
      <c r="G9" s="55" t="n"/>
      <c r="H9" s="54" t="n"/>
      <c r="I9" s="54" t="n"/>
      <c r="J9" s="54" t="n"/>
      <c r="K9" s="56">
        <f>IF(SUM(U9:AY9)=0,"",SUM(U9:AY9))</f>
        <v/>
      </c>
      <c r="L9" s="57">
        <f>IFERROR(INDEX(U$2:AY$2,MATCH(TRUE,U9:AY9&lt;&gt;"",0)),"")</f>
        <v/>
      </c>
      <c r="M9" s="58">
        <f>IFERROR(LOOKUP(2,1/(U9:AY9&lt;&gt;""),U$2:AY$2),"")</f>
        <v/>
      </c>
      <c r="N9" s="59">
        <f>IF(OR(G9="",M9=""),"",G9-M9)</f>
        <v/>
      </c>
      <c r="O9" s="60" t="n"/>
      <c r="P9" s="61" t="n"/>
      <c r="U9" s="62" t="n"/>
      <c r="V9" s="62" t="n"/>
      <c r="W9" s="62" t="n"/>
      <c r="X9" s="62" t="n"/>
      <c r="Y9" s="62" t="n"/>
      <c r="Z9" s="62" t="n"/>
      <c r="AA9" s="62" t="n"/>
      <c r="AB9" s="62" t="n"/>
      <c r="AC9" s="62" t="n"/>
      <c r="AD9" s="62" t="n"/>
      <c r="AE9" s="62" t="n"/>
      <c r="AF9" s="62" t="n"/>
      <c r="AG9" s="62" t="n"/>
      <c r="AH9" s="62" t="n"/>
      <c r="AI9" s="62" t="n"/>
      <c r="AJ9" s="62" t="n"/>
      <c r="AK9" s="62" t="n"/>
      <c r="AL9" s="62" t="n"/>
      <c r="AM9" s="62" t="n"/>
      <c r="AN9" s="62" t="n"/>
      <c r="AO9" s="62" t="n"/>
      <c r="AP9" s="62" t="n"/>
      <c r="AQ9" s="62" t="n"/>
      <c r="AR9" s="62" t="n"/>
      <c r="AS9" s="62" t="n"/>
      <c r="AT9" s="62" t="n"/>
      <c r="AU9" s="62" t="n"/>
      <c r="AV9" s="62" t="n"/>
      <c r="AW9" s="62" t="n"/>
      <c r="AX9" s="62" t="n"/>
      <c r="AY9" s="62" t="n"/>
    </row>
    <row r="10">
      <c r="A10" s="38">
        <f>IF(D10="","",COUNTA($D$9:D10))</f>
        <v/>
      </c>
      <c r="B10" s="52" t="n"/>
      <c r="C10" s="53" t="inlineStr">
        <is>
          <t>마케팅1팀</t>
        </is>
      </c>
      <c r="D10" s="52" t="n"/>
      <c r="E10" s="54" t="n"/>
      <c r="F10" s="52" t="n"/>
      <c r="G10" s="55" t="n"/>
      <c r="H10" s="54" t="n"/>
      <c r="I10" s="54" t="n"/>
      <c r="J10" s="54" t="n"/>
      <c r="K10" s="56">
        <f>IF(SUM(U10:AY10)=0,"",SUM(U10:AY10))</f>
        <v/>
      </c>
      <c r="L10" s="57">
        <f>IFERROR(INDEX(U$2:AY$2,MATCH(TRUE,U10:AY10&lt;&gt;"",0)),"")</f>
        <v/>
      </c>
      <c r="M10" s="58">
        <f>IFERROR(LOOKUP(2,1/(U10:AY10&lt;&gt;""),U$2:AY$2),"")</f>
        <v/>
      </c>
      <c r="N10" s="59">
        <f>IF(OR(G10="",M10=""),"",G10-M10)</f>
        <v/>
      </c>
      <c r="O10" s="60" t="n"/>
      <c r="P10" s="61" t="n"/>
      <c r="U10" s="62" t="n"/>
      <c r="V10" s="62" t="n"/>
      <c r="W10" s="62" t="n"/>
      <c r="X10" s="62" t="n"/>
      <c r="Y10" s="62" t="n"/>
      <c r="Z10" s="62" t="n"/>
      <c r="AA10" s="62" t="n"/>
      <c r="AB10" s="62" t="n"/>
      <c r="AC10" s="62" t="n"/>
      <c r="AD10" s="62" t="n"/>
      <c r="AE10" s="62" t="n"/>
      <c r="AF10" s="62" t="n"/>
      <c r="AG10" s="62" t="n"/>
      <c r="AH10" s="62" t="n"/>
      <c r="AI10" s="62" t="n"/>
      <c r="AJ10" s="62" t="n"/>
      <c r="AK10" s="62" t="n"/>
      <c r="AL10" s="62" t="n"/>
      <c r="AM10" s="62" t="n"/>
      <c r="AN10" s="62" t="n"/>
      <c r="AO10" s="62" t="n"/>
      <c r="AP10" s="62" t="n"/>
      <c r="AQ10" s="62" t="n"/>
      <c r="AR10" s="62" t="n"/>
      <c r="AS10" s="62" t="n"/>
      <c r="AT10" s="62" t="n"/>
      <c r="AU10" s="62" t="n"/>
      <c r="AV10" s="62" t="n"/>
      <c r="AW10" s="62" t="n"/>
      <c r="AX10" s="62" t="n"/>
      <c r="AY10" s="62" t="n"/>
    </row>
    <row r="11">
      <c r="A11" s="38">
        <f>IF(D11="","",COUNTA($D$9:D11))</f>
        <v/>
      </c>
      <c r="B11" s="52" t="n"/>
      <c r="C11" s="53" t="inlineStr">
        <is>
          <t>마케팅1팀</t>
        </is>
      </c>
      <c r="D11" s="52" t="n"/>
      <c r="E11" s="54" t="n"/>
      <c r="F11" s="52" t="n"/>
      <c r="G11" s="55" t="n"/>
      <c r="H11" s="54" t="n"/>
      <c r="I11" s="54" t="n"/>
      <c r="J11" s="54" t="n"/>
      <c r="K11" s="56">
        <f>IF(SUM(U11:AY11)=0,"",SUM(U11:AY11))</f>
        <v/>
      </c>
      <c r="L11" s="57">
        <f>IFERROR(INDEX(U$2:AY$2,MATCH(TRUE,U11:AY11&lt;&gt;"",0)),"")</f>
        <v/>
      </c>
      <c r="M11" s="58">
        <f>IFERROR(LOOKUP(2,1/(U11:AY11&lt;&gt;""),U$2:AY$2),"")</f>
        <v/>
      </c>
      <c r="N11" s="59">
        <f>IF(OR(G11="",M11=""),"",G11-M11)</f>
        <v/>
      </c>
      <c r="O11" s="60" t="n"/>
      <c r="P11" s="61" t="n"/>
      <c r="U11" s="62" t="n"/>
      <c r="V11" s="62" t="n"/>
      <c r="W11" s="62" t="n"/>
      <c r="X11" s="62" t="n"/>
      <c r="Y11" s="62" t="n"/>
      <c r="Z11" s="62" t="n"/>
      <c r="AA11" s="62" t="n"/>
      <c r="AB11" s="62" t="n"/>
      <c r="AC11" s="62" t="n"/>
      <c r="AD11" s="62" t="n"/>
      <c r="AE11" s="62" t="n"/>
      <c r="AF11" s="62" t="n"/>
      <c r="AG11" s="62" t="n"/>
      <c r="AH11" s="62" t="n"/>
      <c r="AI11" s="62" t="n"/>
      <c r="AJ11" s="62" t="n"/>
      <c r="AK11" s="62" t="n"/>
      <c r="AL11" s="62" t="n"/>
      <c r="AM11" s="62" t="n"/>
      <c r="AN11" s="62" t="n"/>
      <c r="AO11" s="62" t="n"/>
      <c r="AP11" s="62" t="n"/>
      <c r="AQ11" s="62" t="n"/>
      <c r="AR11" s="62" t="n"/>
      <c r="AS11" s="62" t="n"/>
      <c r="AT11" s="62" t="n"/>
      <c r="AU11" s="62" t="n"/>
      <c r="AV11" s="62" t="n"/>
      <c r="AW11" s="62" t="n"/>
      <c r="AX11" s="62" t="n"/>
      <c r="AY11" s="62" t="n"/>
    </row>
    <row r="12">
      <c r="A12" s="38">
        <f>IF(D12="","",COUNTA($D$9:D12))</f>
        <v/>
      </c>
      <c r="B12" s="52" t="n"/>
      <c r="C12" s="53" t="inlineStr">
        <is>
          <t>마케팅1팀</t>
        </is>
      </c>
      <c r="D12" s="52" t="n"/>
      <c r="E12" s="54" t="n"/>
      <c r="F12" s="52" t="n"/>
      <c r="G12" s="55" t="n"/>
      <c r="H12" s="54" t="n"/>
      <c r="I12" s="54" t="n"/>
      <c r="J12" s="54" t="n"/>
      <c r="K12" s="56">
        <f>IF(SUM(U12:AY12)=0,"",SUM(U12:AY12))</f>
        <v/>
      </c>
      <c r="L12" s="57">
        <f>IFERROR(INDEX(U$2:AY$2,MATCH(TRUE,U12:AY12&lt;&gt;"",0)),"")</f>
        <v/>
      </c>
      <c r="M12" s="58">
        <f>IFERROR(LOOKUP(2,1/(U12:AY12&lt;&gt;""),U$2:AY$2),"")</f>
        <v/>
      </c>
      <c r="N12" s="59">
        <f>IF(OR(G12="",M12=""),"",G12-M12)</f>
        <v/>
      </c>
      <c r="O12" s="60" t="n"/>
      <c r="P12" s="61" t="n"/>
      <c r="U12" s="62" t="n"/>
      <c r="V12" s="62" t="n"/>
      <c r="W12" s="62" t="n"/>
      <c r="X12" s="62" t="n"/>
      <c r="Y12" s="62" t="n"/>
      <c r="Z12" s="62" t="n"/>
      <c r="AA12" s="62" t="n"/>
      <c r="AB12" s="62" t="n"/>
      <c r="AC12" s="62" t="n"/>
      <c r="AD12" s="62" t="n"/>
      <c r="AE12" s="62" t="n"/>
      <c r="AF12" s="62" t="n"/>
      <c r="AG12" s="62" t="n"/>
      <c r="AH12" s="62" t="n"/>
      <c r="AI12" s="62" t="n"/>
      <c r="AJ12" s="62" t="n"/>
      <c r="AK12" s="62" t="n"/>
      <c r="AL12" s="62" t="n"/>
      <c r="AM12" s="62" t="n"/>
      <c r="AN12" s="62" t="n"/>
      <c r="AO12" s="62" t="n"/>
      <c r="AP12" s="62" t="n"/>
      <c r="AQ12" s="62" t="n"/>
      <c r="AR12" s="62" t="n"/>
      <c r="AS12" s="62" t="n"/>
      <c r="AT12" s="62" t="n"/>
      <c r="AU12" s="62" t="n"/>
      <c r="AV12" s="62" t="n"/>
      <c r="AW12" s="62" t="n"/>
      <c r="AX12" s="62" t="n"/>
      <c r="AY12" s="62" t="n"/>
    </row>
    <row r="13">
      <c r="A13" s="38">
        <f>IF(D13="","",COUNTA($D$9:D13))</f>
        <v/>
      </c>
      <c r="B13" s="52" t="n"/>
      <c r="C13" s="53" t="inlineStr">
        <is>
          <t>마케팅1팀</t>
        </is>
      </c>
      <c r="D13" s="52" t="n"/>
      <c r="E13" s="54" t="n"/>
      <c r="F13" s="52" t="n"/>
      <c r="G13" s="55" t="n"/>
      <c r="H13" s="54" t="n"/>
      <c r="I13" s="54" t="n"/>
      <c r="J13" s="54" t="n"/>
      <c r="K13" s="56">
        <f>IF(SUM(U13:AY13)=0,"",SUM(U13:AY13))</f>
        <v/>
      </c>
      <c r="L13" s="57">
        <f>IFERROR(INDEX(U$2:AY$2,MATCH(TRUE,U13:AY13&lt;&gt;"",0)),"")</f>
        <v/>
      </c>
      <c r="M13" s="58">
        <f>IFERROR(LOOKUP(2,1/(U13:AY13&lt;&gt;""),U$2:AY$2),"")</f>
        <v/>
      </c>
      <c r="N13" s="59">
        <f>IF(OR(G13="",M13=""),"",G13-M13)</f>
        <v/>
      </c>
      <c r="O13" s="60" t="n"/>
      <c r="P13" s="61" t="n"/>
      <c r="U13" s="62" t="n"/>
      <c r="V13" s="62" t="n"/>
      <c r="W13" s="62" t="n"/>
      <c r="X13" s="62" t="n"/>
      <c r="Y13" s="62" t="n"/>
      <c r="Z13" s="62" t="n"/>
      <c r="AA13" s="62" t="n"/>
      <c r="AB13" s="62" t="n"/>
      <c r="AC13" s="62" t="n"/>
      <c r="AD13" s="62" t="n"/>
      <c r="AE13" s="62" t="n"/>
      <c r="AF13" s="62" t="n"/>
      <c r="AG13" s="62" t="n"/>
      <c r="AH13" s="62" t="n"/>
      <c r="AI13" s="62" t="n"/>
      <c r="AJ13" s="62" t="n"/>
      <c r="AK13" s="62" t="n"/>
      <c r="AL13" s="62" t="n"/>
      <c r="AM13" s="62" t="n"/>
      <c r="AN13" s="62" t="n"/>
      <c r="AO13" s="62" t="n"/>
      <c r="AP13" s="62" t="n"/>
      <c r="AQ13" s="62" t="n"/>
      <c r="AR13" s="62" t="n"/>
      <c r="AS13" s="62" t="n"/>
      <c r="AT13" s="62" t="n"/>
      <c r="AU13" s="62" t="n"/>
      <c r="AV13" s="62" t="n"/>
      <c r="AW13" s="62" t="n"/>
      <c r="AX13" s="62" t="n"/>
      <c r="AY13" s="62" t="n"/>
    </row>
    <row r="14">
      <c r="A14" s="38">
        <f>IF(D14="","",COUNTA($D$9:D14))</f>
        <v/>
      </c>
      <c r="B14" s="52" t="n"/>
      <c r="C14" s="53" t="inlineStr">
        <is>
          <t>마케팅1팀</t>
        </is>
      </c>
      <c r="D14" s="52" t="n"/>
      <c r="E14" s="54" t="n"/>
      <c r="F14" s="52" t="n"/>
      <c r="G14" s="55" t="n"/>
      <c r="H14" s="54" t="n"/>
      <c r="I14" s="54" t="n"/>
      <c r="J14" s="54" t="n"/>
      <c r="K14" s="56">
        <f>IF(SUM(U14:AY14)=0,"",SUM(U14:AY14))</f>
        <v/>
      </c>
      <c r="L14" s="57">
        <f>IFERROR(INDEX(U$2:AY$2,MATCH(TRUE,U14:AY14&lt;&gt;"",0)),"")</f>
        <v/>
      </c>
      <c r="M14" s="58">
        <f>IFERROR(LOOKUP(2,1/(U14:AY14&lt;&gt;""),U$2:AY$2),"")</f>
        <v/>
      </c>
      <c r="N14" s="59">
        <f>IF(OR(G14="",M14=""),"",G14-M14)</f>
        <v/>
      </c>
      <c r="O14" s="60" t="n"/>
      <c r="P14" s="61" t="n"/>
      <c r="U14" s="62" t="n"/>
      <c r="V14" s="62" t="n"/>
      <c r="W14" s="62" t="n"/>
      <c r="X14" s="62" t="n"/>
      <c r="Y14" s="62" t="n"/>
      <c r="Z14" s="62" t="n"/>
      <c r="AA14" s="62" t="n"/>
      <c r="AB14" s="62" t="n"/>
      <c r="AC14" s="62" t="n"/>
      <c r="AD14" s="62" t="n"/>
      <c r="AE14" s="62" t="n"/>
      <c r="AF14" s="62" t="n"/>
      <c r="AG14" s="62" t="n"/>
      <c r="AH14" s="62" t="n"/>
      <c r="AI14" s="62" t="n"/>
      <c r="AJ14" s="62" t="n"/>
      <c r="AK14" s="62" t="n"/>
      <c r="AL14" s="62" t="n"/>
      <c r="AM14" s="62" t="n"/>
      <c r="AN14" s="62" t="n"/>
      <c r="AO14" s="62" t="n"/>
      <c r="AP14" s="62" t="n"/>
      <c r="AQ14" s="62" t="n"/>
      <c r="AR14" s="62" t="n"/>
      <c r="AS14" s="62" t="n"/>
      <c r="AT14" s="62" t="n"/>
      <c r="AU14" s="62" t="n"/>
      <c r="AV14" s="62" t="n"/>
      <c r="AW14" s="62" t="n"/>
      <c r="AX14" s="62" t="n"/>
      <c r="AY14" s="62" t="n"/>
    </row>
    <row r="15">
      <c r="A15" s="38">
        <f>IF(D15="","",COUNTA($D$9:D15))</f>
        <v/>
      </c>
      <c r="B15" s="52" t="n"/>
      <c r="C15" s="53" t="inlineStr">
        <is>
          <t>마케팅1팀</t>
        </is>
      </c>
      <c r="D15" s="52" t="n"/>
      <c r="E15" s="54" t="n"/>
      <c r="F15" s="52" t="n"/>
      <c r="G15" s="55" t="n"/>
      <c r="H15" s="54" t="n"/>
      <c r="I15" s="54" t="n"/>
      <c r="J15" s="54" t="n"/>
      <c r="K15" s="56">
        <f>IF(SUM(U15:AY15)=0,"",SUM(U15:AY15))</f>
        <v/>
      </c>
      <c r="L15" s="57">
        <f>IFERROR(INDEX(U$2:AY$2,MATCH(TRUE,U15:AY15&lt;&gt;"",0)),"")</f>
        <v/>
      </c>
      <c r="M15" s="58">
        <f>IFERROR(LOOKUP(2,1/(U15:AY15&lt;&gt;""),U$2:AY$2),"")</f>
        <v/>
      </c>
      <c r="N15" s="59">
        <f>IF(OR(G15="",M15=""),"",G15-M15)</f>
        <v/>
      </c>
      <c r="O15" s="60" t="n"/>
      <c r="P15" s="61" t="n"/>
      <c r="U15" s="62" t="n"/>
      <c r="V15" s="62" t="n"/>
      <c r="W15" s="62" t="n"/>
      <c r="X15" s="62" t="n"/>
      <c r="Y15" s="62" t="n"/>
      <c r="Z15" s="62" t="n"/>
      <c r="AA15" s="62" t="n"/>
      <c r="AB15" s="62" t="n"/>
      <c r="AC15" s="62" t="n"/>
      <c r="AD15" s="62" t="n"/>
      <c r="AE15" s="62" t="n"/>
      <c r="AF15" s="62" t="n"/>
      <c r="AG15" s="62" t="n"/>
      <c r="AH15" s="62" t="n"/>
      <c r="AI15" s="62" t="n"/>
      <c r="AJ15" s="62" t="n"/>
      <c r="AK15" s="62" t="n"/>
      <c r="AL15" s="62" t="n"/>
      <c r="AM15" s="62" t="n"/>
      <c r="AN15" s="62" t="n"/>
      <c r="AO15" s="62" t="n"/>
      <c r="AP15" s="62" t="n"/>
      <c r="AQ15" s="62" t="n"/>
      <c r="AR15" s="62" t="n"/>
      <c r="AS15" s="62" t="n"/>
      <c r="AT15" s="62" t="n"/>
      <c r="AU15" s="62" t="n"/>
      <c r="AV15" s="62" t="n"/>
      <c r="AW15" s="62" t="n"/>
      <c r="AX15" s="62" t="n"/>
      <c r="AY15" s="62" t="n"/>
    </row>
    <row r="16">
      <c r="A16" s="38">
        <f>IF(D16="","",COUNTA($D$9:D16))</f>
        <v/>
      </c>
      <c r="B16" s="52" t="n"/>
      <c r="C16" s="53" t="inlineStr">
        <is>
          <t>마케팅1팀</t>
        </is>
      </c>
      <c r="D16" s="52" t="n"/>
      <c r="E16" s="54" t="n"/>
      <c r="F16" s="52" t="n"/>
      <c r="G16" s="55" t="n"/>
      <c r="H16" s="54" t="n"/>
      <c r="I16" s="54" t="n"/>
      <c r="J16" s="54" t="n"/>
      <c r="K16" s="56">
        <f>IF(SUM(U16:AY16)=0,"",SUM(U16:AY16))</f>
        <v/>
      </c>
      <c r="L16" s="57">
        <f>IFERROR(INDEX(U$2:AY$2,MATCH(TRUE,U16:AY16&lt;&gt;"",0)),"")</f>
        <v/>
      </c>
      <c r="M16" s="58">
        <f>IFERROR(LOOKUP(2,1/(U16:AY16&lt;&gt;""),U$2:AY$2),"")</f>
        <v/>
      </c>
      <c r="N16" s="59">
        <f>IF(OR(G16="",M16=""),"",G16-M16)</f>
        <v/>
      </c>
      <c r="O16" s="60" t="n"/>
      <c r="P16" s="61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  <c r="AG16" s="62" t="n"/>
      <c r="AH16" s="62" t="n"/>
      <c r="AI16" s="62" t="n"/>
      <c r="AJ16" s="62" t="n"/>
      <c r="AK16" s="62" t="n"/>
      <c r="AL16" s="62" t="n"/>
      <c r="AM16" s="62" t="n"/>
      <c r="AN16" s="62" t="n"/>
      <c r="AO16" s="62" t="n"/>
      <c r="AP16" s="62" t="n"/>
      <c r="AQ16" s="62" t="n"/>
      <c r="AR16" s="62" t="n"/>
      <c r="AS16" s="62" t="n"/>
      <c r="AT16" s="62" t="n"/>
      <c r="AU16" s="62" t="n"/>
      <c r="AV16" s="62" t="n"/>
      <c r="AW16" s="62" t="n"/>
      <c r="AX16" s="62" t="n"/>
      <c r="AY16" s="62" t="n"/>
    </row>
    <row r="17">
      <c r="A17" s="38">
        <f>IF(D17="","",COUNTA($D$9:D17))</f>
        <v/>
      </c>
      <c r="B17" s="52" t="n"/>
      <c r="C17" s="53" t="inlineStr">
        <is>
          <t>마케팅1팀</t>
        </is>
      </c>
      <c r="D17" s="52" t="n"/>
      <c r="E17" s="54" t="n"/>
      <c r="F17" s="52" t="n"/>
      <c r="G17" s="55" t="n"/>
      <c r="H17" s="54" t="n"/>
      <c r="I17" s="54" t="n"/>
      <c r="J17" s="54" t="n"/>
      <c r="K17" s="56">
        <f>IF(SUM(U17:AY17)=0,"",SUM(U17:AY17))</f>
        <v/>
      </c>
      <c r="L17" s="57">
        <f>IFERROR(INDEX(U$2:AY$2,MATCH(TRUE,U17:AY17&lt;&gt;"",0)),"")</f>
        <v/>
      </c>
      <c r="M17" s="58">
        <f>IFERROR(LOOKUP(2,1/(U17:AY17&lt;&gt;""),U$2:AY$2),"")</f>
        <v/>
      </c>
      <c r="N17" s="59">
        <f>IF(OR(G17="",M17=""),"",G17-M17)</f>
        <v/>
      </c>
      <c r="O17" s="60" t="n"/>
      <c r="P17" s="61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  <c r="AG17" s="62" t="n"/>
      <c r="AH17" s="62" t="n"/>
      <c r="AI17" s="62" t="n"/>
      <c r="AJ17" s="62" t="n"/>
      <c r="AK17" s="62" t="n"/>
      <c r="AL17" s="62" t="n"/>
      <c r="AM17" s="62" t="n"/>
      <c r="AN17" s="62" t="n"/>
      <c r="AO17" s="62" t="n"/>
      <c r="AP17" s="62" t="n"/>
      <c r="AQ17" s="62" t="n"/>
      <c r="AR17" s="62" t="n"/>
      <c r="AS17" s="62" t="n"/>
      <c r="AT17" s="62" t="n"/>
      <c r="AU17" s="62" t="n"/>
      <c r="AV17" s="62" t="n"/>
      <c r="AW17" s="62" t="n"/>
      <c r="AX17" s="62" t="n"/>
      <c r="AY17" s="62" t="n"/>
    </row>
    <row r="18">
      <c r="A18" s="38">
        <f>IF(D18="","",COUNTA($D$9:D18))</f>
        <v/>
      </c>
      <c r="B18" s="52" t="n"/>
      <c r="C18" s="53" t="inlineStr">
        <is>
          <t>마케팅1팀</t>
        </is>
      </c>
      <c r="D18" s="52" t="n"/>
      <c r="E18" s="54" t="n"/>
      <c r="F18" s="52" t="n"/>
      <c r="G18" s="55" t="n"/>
      <c r="H18" s="54" t="n"/>
      <c r="I18" s="54" t="n"/>
      <c r="J18" s="54" t="n"/>
      <c r="K18" s="56">
        <f>IF(SUM(U18:AY18)=0,"",SUM(U18:AY18))</f>
        <v/>
      </c>
      <c r="L18" s="57">
        <f>IFERROR(INDEX(U$2:AY$2,MATCH(TRUE,U18:AY18&lt;&gt;"",0)),"")</f>
        <v/>
      </c>
      <c r="M18" s="58">
        <f>IFERROR(LOOKUP(2,1/(U18:AY18&lt;&gt;""),U$2:AY$2),"")</f>
        <v/>
      </c>
      <c r="N18" s="59">
        <f>IF(OR(G18="",M18=""),"",G18-M18)</f>
        <v/>
      </c>
      <c r="O18" s="60" t="n"/>
      <c r="P18" s="61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  <c r="AG18" s="62" t="n"/>
      <c r="AH18" s="62" t="n"/>
      <c r="AI18" s="62" t="n"/>
      <c r="AJ18" s="62" t="n"/>
      <c r="AK18" s="62" t="n"/>
      <c r="AL18" s="62" t="n"/>
      <c r="AM18" s="62" t="n"/>
      <c r="AN18" s="62" t="n"/>
      <c r="AO18" s="62" t="n"/>
      <c r="AP18" s="62" t="n"/>
      <c r="AQ18" s="62" t="n"/>
      <c r="AR18" s="62" t="n"/>
      <c r="AS18" s="62" t="n"/>
      <c r="AT18" s="62" t="n"/>
      <c r="AU18" s="62" t="n"/>
      <c r="AV18" s="62" t="n"/>
      <c r="AW18" s="62" t="n"/>
      <c r="AX18" s="62" t="n"/>
      <c r="AY18" s="62" t="n"/>
    </row>
    <row r="19">
      <c r="A19" s="38">
        <f>IF(D19="","",COUNTA($D$9:D19))</f>
        <v/>
      </c>
      <c r="B19" s="52" t="n"/>
      <c r="C19" s="53" t="inlineStr">
        <is>
          <t>마케팅1팀</t>
        </is>
      </c>
      <c r="D19" s="52" t="n"/>
      <c r="E19" s="54" t="n"/>
      <c r="F19" s="52" t="n"/>
      <c r="G19" s="55" t="n"/>
      <c r="H19" s="54" t="n"/>
      <c r="I19" s="54" t="n"/>
      <c r="J19" s="54" t="n"/>
      <c r="K19" s="56">
        <f>IF(SUM(U19:AY19)=0,"",SUM(U19:AY19))</f>
        <v/>
      </c>
      <c r="L19" s="57">
        <f>IFERROR(INDEX(U$2:AY$2,MATCH(TRUE,U19:AY19&lt;&gt;"",0)),"")</f>
        <v/>
      </c>
      <c r="M19" s="58">
        <f>IFERROR(LOOKUP(2,1/(U19:AY19&lt;&gt;""),U$2:AY$2),"")</f>
        <v/>
      </c>
      <c r="N19" s="59">
        <f>IF(OR(G19="",M19=""),"",G19-M19)</f>
        <v/>
      </c>
      <c r="O19" s="60" t="n"/>
      <c r="P19" s="61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  <c r="AG19" s="62" t="n"/>
      <c r="AH19" s="62" t="n"/>
      <c r="AI19" s="62" t="n"/>
      <c r="AJ19" s="62" t="n"/>
      <c r="AK19" s="62" t="n"/>
      <c r="AL19" s="62" t="n"/>
      <c r="AM19" s="62" t="n"/>
      <c r="AN19" s="62" t="n"/>
      <c r="AO19" s="62" t="n"/>
      <c r="AP19" s="62" t="n"/>
      <c r="AQ19" s="62" t="n"/>
      <c r="AR19" s="62" t="n"/>
      <c r="AS19" s="62" t="n"/>
      <c r="AT19" s="62" t="n"/>
      <c r="AU19" s="62" t="n"/>
      <c r="AV19" s="62" t="n"/>
      <c r="AW19" s="62" t="n"/>
      <c r="AX19" s="62" t="n"/>
      <c r="AY19" s="62" t="n"/>
    </row>
    <row r="20">
      <c r="A20" s="38">
        <f>IF(D20="","",COUNTA($D$9:D20))</f>
        <v/>
      </c>
      <c r="B20" s="52" t="n"/>
      <c r="C20" s="53" t="inlineStr">
        <is>
          <t>마케팅1팀</t>
        </is>
      </c>
      <c r="D20" s="52" t="n"/>
      <c r="E20" s="54" t="n"/>
      <c r="F20" s="52" t="n"/>
      <c r="G20" s="55" t="n"/>
      <c r="H20" s="54" t="n"/>
      <c r="I20" s="54" t="n"/>
      <c r="J20" s="54" t="n"/>
      <c r="K20" s="56">
        <f>IF(SUM(U20:AY20)=0,"",SUM(U20:AY20))</f>
        <v/>
      </c>
      <c r="L20" s="57">
        <f>IFERROR(INDEX(U$2:AY$2,MATCH(TRUE,U20:AY20&lt;&gt;"",0)),"")</f>
        <v/>
      </c>
      <c r="M20" s="58">
        <f>IFERROR(LOOKUP(2,1/(U20:AY20&lt;&gt;""),U$2:AY$2),"")</f>
        <v/>
      </c>
      <c r="N20" s="59">
        <f>IF(OR(G20="",M20=""),"",G20-M20)</f>
        <v/>
      </c>
      <c r="O20" s="60" t="n"/>
      <c r="P20" s="61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  <c r="AG20" s="62" t="n"/>
      <c r="AH20" s="62" t="n"/>
      <c r="AI20" s="62" t="n"/>
      <c r="AJ20" s="62" t="n"/>
      <c r="AK20" s="62" t="n"/>
      <c r="AL20" s="62" t="n"/>
      <c r="AM20" s="62" t="n"/>
      <c r="AN20" s="62" t="n"/>
      <c r="AO20" s="62" t="n"/>
      <c r="AP20" s="62" t="n"/>
      <c r="AQ20" s="62" t="n"/>
      <c r="AR20" s="62" t="n"/>
      <c r="AS20" s="62" t="n"/>
      <c r="AT20" s="62" t="n"/>
      <c r="AU20" s="62" t="n"/>
      <c r="AV20" s="62" t="n"/>
      <c r="AW20" s="62" t="n"/>
      <c r="AX20" s="62" t="n"/>
      <c r="AY20" s="62" t="n"/>
    </row>
    <row r="21">
      <c r="A21" s="38">
        <f>IF(D21="","",COUNTA($D$9:D21))</f>
        <v/>
      </c>
      <c r="B21" s="52" t="n"/>
      <c r="C21" s="53" t="inlineStr">
        <is>
          <t>마케팅1팀</t>
        </is>
      </c>
      <c r="D21" s="52" t="n"/>
      <c r="E21" s="54" t="n"/>
      <c r="F21" s="52" t="n"/>
      <c r="G21" s="55" t="n"/>
      <c r="H21" s="54" t="n"/>
      <c r="I21" s="54" t="n"/>
      <c r="J21" s="54" t="n"/>
      <c r="K21" s="56">
        <f>IF(SUM(U21:AY21)=0,"",SUM(U21:AY21))</f>
        <v/>
      </c>
      <c r="L21" s="57">
        <f>IFERROR(INDEX(U$2:AY$2,MATCH(TRUE,U21:AY21&lt;&gt;"",0)),"")</f>
        <v/>
      </c>
      <c r="M21" s="58">
        <f>IFERROR(LOOKUP(2,1/(U21:AY21&lt;&gt;""),U$2:AY$2),"")</f>
        <v/>
      </c>
      <c r="N21" s="59">
        <f>IF(OR(G21="",M21=""),"",G21-M21)</f>
        <v/>
      </c>
      <c r="O21" s="60" t="n"/>
      <c r="P21" s="61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  <c r="AG21" s="62" t="n"/>
      <c r="AH21" s="62" t="n"/>
      <c r="AI21" s="62" t="n"/>
      <c r="AJ21" s="62" t="n"/>
      <c r="AK21" s="62" t="n"/>
      <c r="AL21" s="62" t="n"/>
      <c r="AM21" s="62" t="n"/>
      <c r="AN21" s="62" t="n"/>
      <c r="AO21" s="62" t="n"/>
      <c r="AP21" s="62" t="n"/>
      <c r="AQ21" s="62" t="n"/>
      <c r="AR21" s="62" t="n"/>
      <c r="AS21" s="62" t="n"/>
      <c r="AT21" s="62" t="n"/>
      <c r="AU21" s="62" t="n"/>
      <c r="AV21" s="62" t="n"/>
      <c r="AW21" s="62" t="n"/>
      <c r="AX21" s="62" t="n"/>
      <c r="AY21" s="62" t="n"/>
    </row>
    <row r="22">
      <c r="A22" s="38">
        <f>IF(D22="","",COUNTA($D$9:D22))</f>
        <v/>
      </c>
      <c r="B22" s="52" t="n"/>
      <c r="C22" s="53" t="inlineStr">
        <is>
          <t>마케팅1팀</t>
        </is>
      </c>
      <c r="D22" s="52" t="n"/>
      <c r="E22" s="54" t="n"/>
      <c r="F22" s="52" t="n"/>
      <c r="G22" s="55" t="n"/>
      <c r="H22" s="54" t="n"/>
      <c r="I22" s="54" t="n"/>
      <c r="J22" s="54" t="n"/>
      <c r="K22" s="56">
        <f>IF(SUM(U22:AY22)=0,"",SUM(U22:AY22))</f>
        <v/>
      </c>
      <c r="L22" s="57">
        <f>IFERROR(INDEX(U$2:AY$2,MATCH(TRUE,U22:AY22&lt;&gt;"",0)),"")</f>
        <v/>
      </c>
      <c r="M22" s="58">
        <f>IFERROR(LOOKUP(2,1/(U22:AY22&lt;&gt;""),U$2:AY$2),"")</f>
        <v/>
      </c>
      <c r="N22" s="59">
        <f>IF(OR(G22="",M22=""),"",G22-M22)</f>
        <v/>
      </c>
      <c r="O22" s="60" t="n"/>
      <c r="P22" s="61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  <c r="AG22" s="62" t="n"/>
      <c r="AH22" s="62" t="n"/>
      <c r="AI22" s="62" t="n"/>
      <c r="AJ22" s="62" t="n"/>
      <c r="AK22" s="62" t="n"/>
      <c r="AL22" s="62" t="n"/>
      <c r="AM22" s="62" t="n"/>
      <c r="AN22" s="62" t="n"/>
      <c r="AO22" s="62" t="n"/>
      <c r="AP22" s="62" t="n"/>
      <c r="AQ22" s="62" t="n"/>
      <c r="AR22" s="62" t="n"/>
      <c r="AS22" s="62" t="n"/>
      <c r="AT22" s="62" t="n"/>
      <c r="AU22" s="62" t="n"/>
      <c r="AV22" s="62" t="n"/>
      <c r="AW22" s="62" t="n"/>
      <c r="AX22" s="62" t="n"/>
      <c r="AY22" s="62" t="n"/>
    </row>
    <row r="23">
      <c r="A23" s="38">
        <f>IF(D23="","",COUNTA($D$9:D23))</f>
        <v/>
      </c>
      <c r="B23" s="52" t="n"/>
      <c r="C23" s="53" t="inlineStr">
        <is>
          <t>마케팅1팀</t>
        </is>
      </c>
      <c r="D23" s="52" t="n"/>
      <c r="E23" s="54" t="n"/>
      <c r="F23" s="52" t="n"/>
      <c r="G23" s="55" t="n"/>
      <c r="H23" s="54" t="n"/>
      <c r="I23" s="54" t="n"/>
      <c r="J23" s="54" t="n"/>
      <c r="K23" s="56">
        <f>IF(SUM(U23:AY23)=0,"",SUM(U23:AY23))</f>
        <v/>
      </c>
      <c r="L23" s="57">
        <f>IFERROR(INDEX(U$2:AY$2,MATCH(TRUE,U23:AY23&lt;&gt;"",0)),"")</f>
        <v/>
      </c>
      <c r="M23" s="58">
        <f>IFERROR(LOOKUP(2,1/(U23:AY23&lt;&gt;""),U$2:AY$2),"")</f>
        <v/>
      </c>
      <c r="N23" s="59">
        <f>IF(OR(G23="",M23=""),"",G23-M23)</f>
        <v/>
      </c>
      <c r="O23" s="60" t="n"/>
      <c r="P23" s="61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  <c r="AG23" s="62" t="n"/>
      <c r="AH23" s="62" t="n"/>
      <c r="AI23" s="62" t="n"/>
      <c r="AJ23" s="62" t="n"/>
      <c r="AK23" s="62" t="n"/>
      <c r="AL23" s="62" t="n"/>
      <c r="AM23" s="62" t="n"/>
      <c r="AN23" s="62" t="n"/>
      <c r="AO23" s="62" t="n"/>
      <c r="AP23" s="62" t="n"/>
      <c r="AQ23" s="62" t="n"/>
      <c r="AR23" s="62" t="n"/>
      <c r="AS23" s="62" t="n"/>
      <c r="AT23" s="62" t="n"/>
      <c r="AU23" s="62" t="n"/>
      <c r="AV23" s="62" t="n"/>
      <c r="AW23" s="62" t="n"/>
      <c r="AX23" s="62" t="n"/>
      <c r="AY23" s="62" t="n"/>
    </row>
    <row r="24">
      <c r="A24" s="38">
        <f>IF(D24="","",COUNTA($D$9:D24))</f>
        <v/>
      </c>
      <c r="B24" s="52" t="n"/>
      <c r="C24" s="53" t="inlineStr">
        <is>
          <t>마케팅1팀</t>
        </is>
      </c>
      <c r="D24" s="52" t="n"/>
      <c r="E24" s="54" t="n"/>
      <c r="F24" s="52" t="n"/>
      <c r="G24" s="55" t="n"/>
      <c r="H24" s="54" t="n"/>
      <c r="I24" s="54" t="n"/>
      <c r="J24" s="54" t="n"/>
      <c r="K24" s="56">
        <f>IF(SUM(U24:AY24)=0,"",SUM(U24:AY24))</f>
        <v/>
      </c>
      <c r="L24" s="57">
        <f>IFERROR(INDEX(U$2:AY$2,MATCH(TRUE,U24:AY24&lt;&gt;"",0)),"")</f>
        <v/>
      </c>
      <c r="M24" s="58">
        <f>IFERROR(LOOKUP(2,1/(U24:AY24&lt;&gt;""),U$2:AY$2),"")</f>
        <v/>
      </c>
      <c r="N24" s="59">
        <f>IF(OR(G24="",M24=""),"",G24-M24)</f>
        <v/>
      </c>
      <c r="O24" s="60" t="n"/>
      <c r="P24" s="61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  <c r="AG24" s="62" t="n"/>
      <c r="AH24" s="62" t="n"/>
      <c r="AI24" s="62" t="n"/>
      <c r="AJ24" s="62" t="n"/>
      <c r="AK24" s="62" t="n"/>
      <c r="AL24" s="62" t="n"/>
      <c r="AM24" s="62" t="n"/>
      <c r="AN24" s="62" t="n"/>
      <c r="AO24" s="62" t="n"/>
      <c r="AP24" s="62" t="n"/>
      <c r="AQ24" s="62" t="n"/>
      <c r="AR24" s="62" t="n"/>
      <c r="AS24" s="62" t="n"/>
      <c r="AT24" s="62" t="n"/>
      <c r="AU24" s="62" t="n"/>
      <c r="AV24" s="62" t="n"/>
      <c r="AW24" s="62" t="n"/>
      <c r="AX24" s="62" t="n"/>
      <c r="AY24" s="62" t="n"/>
    </row>
    <row r="25">
      <c r="A25" s="38">
        <f>IF(D25="","",COUNTA($D$9:D25))</f>
        <v/>
      </c>
      <c r="B25" s="52" t="n"/>
      <c r="C25" s="53" t="inlineStr">
        <is>
          <t>마케팅1팀</t>
        </is>
      </c>
      <c r="D25" s="52" t="n"/>
      <c r="E25" s="54" t="n"/>
      <c r="F25" s="52" t="n"/>
      <c r="G25" s="55" t="n"/>
      <c r="H25" s="54" t="n"/>
      <c r="I25" s="54" t="n"/>
      <c r="J25" s="54" t="n"/>
      <c r="K25" s="56">
        <f>IF(SUM(U25:AY25)=0,"",SUM(U25:AY25))</f>
        <v/>
      </c>
      <c r="L25" s="57">
        <f>IFERROR(INDEX(U$2:AY$2,MATCH(TRUE,U25:AY25&lt;&gt;"",0)),"")</f>
        <v/>
      </c>
      <c r="M25" s="58">
        <f>IFERROR(LOOKUP(2,1/(U25:AY25&lt;&gt;""),U$2:AY$2),"")</f>
        <v/>
      </c>
      <c r="N25" s="59">
        <f>IF(OR(G25="",M25=""),"",G25-M25)</f>
        <v/>
      </c>
      <c r="O25" s="60" t="n"/>
      <c r="P25" s="61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  <c r="AG25" s="62" t="n"/>
      <c r="AH25" s="62" t="n"/>
      <c r="AI25" s="62" t="n"/>
      <c r="AJ25" s="62" t="n"/>
      <c r="AK25" s="62" t="n"/>
      <c r="AL25" s="62" t="n"/>
      <c r="AM25" s="62" t="n"/>
      <c r="AN25" s="62" t="n"/>
      <c r="AO25" s="62" t="n"/>
      <c r="AP25" s="62" t="n"/>
      <c r="AQ25" s="62" t="n"/>
      <c r="AR25" s="62" t="n"/>
      <c r="AS25" s="62" t="n"/>
      <c r="AT25" s="62" t="n"/>
      <c r="AU25" s="62" t="n"/>
      <c r="AV25" s="62" t="n"/>
      <c r="AW25" s="62" t="n"/>
      <c r="AX25" s="62" t="n"/>
      <c r="AY25" s="62" t="n"/>
    </row>
    <row r="26">
      <c r="A26" s="38">
        <f>IF(D26="","",COUNTA($D$9:D26))</f>
        <v/>
      </c>
      <c r="B26" s="52" t="n"/>
      <c r="C26" s="53" t="inlineStr">
        <is>
          <t>마케팅1팀</t>
        </is>
      </c>
      <c r="D26" s="52" t="n"/>
      <c r="E26" s="54" t="n"/>
      <c r="F26" s="52" t="n"/>
      <c r="G26" s="55" t="n"/>
      <c r="H26" s="54" t="n"/>
      <c r="I26" s="54" t="n"/>
      <c r="J26" s="54" t="n"/>
      <c r="K26" s="56">
        <f>IF(SUM(U26:AY26)=0,"",SUM(U26:AY26))</f>
        <v/>
      </c>
      <c r="L26" s="57">
        <f>IFERROR(INDEX(U$2:AY$2,MATCH(TRUE,U26:AY26&lt;&gt;"",0)),"")</f>
        <v/>
      </c>
      <c r="M26" s="58">
        <f>IFERROR(LOOKUP(2,1/(U26:AY26&lt;&gt;""),U$2:AY$2),"")</f>
        <v/>
      </c>
      <c r="N26" s="59">
        <f>IF(OR(G26="",M26=""),"",G26-M26)</f>
        <v/>
      </c>
      <c r="O26" s="60" t="n"/>
      <c r="P26" s="61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  <c r="AG26" s="62" t="n"/>
      <c r="AH26" s="62" t="n"/>
      <c r="AI26" s="62" t="n"/>
      <c r="AJ26" s="62" t="n"/>
      <c r="AK26" s="62" t="n"/>
      <c r="AL26" s="62" t="n"/>
      <c r="AM26" s="62" t="n"/>
      <c r="AN26" s="62" t="n"/>
      <c r="AO26" s="62" t="n"/>
      <c r="AP26" s="62" t="n"/>
      <c r="AQ26" s="62" t="n"/>
      <c r="AR26" s="62" t="n"/>
      <c r="AS26" s="62" t="n"/>
      <c r="AT26" s="62" t="n"/>
      <c r="AU26" s="62" t="n"/>
      <c r="AV26" s="62" t="n"/>
      <c r="AW26" s="62" t="n"/>
      <c r="AX26" s="62" t="n"/>
      <c r="AY26" s="62" t="n"/>
    </row>
    <row r="27">
      <c r="A27" s="38">
        <f>IF(D27="","",COUNTA($D$9:D27))</f>
        <v/>
      </c>
      <c r="B27" s="52" t="n"/>
      <c r="C27" s="53" t="inlineStr">
        <is>
          <t>마케팅1팀</t>
        </is>
      </c>
      <c r="D27" s="52" t="n"/>
      <c r="E27" s="54" t="n"/>
      <c r="F27" s="52" t="n"/>
      <c r="G27" s="55" t="n"/>
      <c r="H27" s="54" t="n"/>
      <c r="I27" s="54" t="n"/>
      <c r="J27" s="54" t="n"/>
      <c r="K27" s="56">
        <f>IF(SUM(U27:AY27)=0,"",SUM(U27:AY27))</f>
        <v/>
      </c>
      <c r="L27" s="57">
        <f>IFERROR(INDEX(U$2:AY$2,MATCH(TRUE,U27:AY27&lt;&gt;"",0)),"")</f>
        <v/>
      </c>
      <c r="M27" s="58">
        <f>IFERROR(LOOKUP(2,1/(U27:AY27&lt;&gt;""),U$2:AY$2),"")</f>
        <v/>
      </c>
      <c r="N27" s="59">
        <f>IF(OR(G27="",M27=""),"",G27-M27)</f>
        <v/>
      </c>
      <c r="O27" s="60" t="n"/>
      <c r="P27" s="61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  <c r="AG27" s="62" t="n"/>
      <c r="AH27" s="62" t="n"/>
      <c r="AI27" s="62" t="n"/>
      <c r="AJ27" s="62" t="n"/>
      <c r="AK27" s="62" t="n"/>
      <c r="AL27" s="62" t="n"/>
      <c r="AM27" s="62" t="n"/>
      <c r="AN27" s="62" t="n"/>
      <c r="AO27" s="62" t="n"/>
      <c r="AP27" s="62" t="n"/>
      <c r="AQ27" s="62" t="n"/>
      <c r="AR27" s="62" t="n"/>
      <c r="AS27" s="62" t="n"/>
      <c r="AT27" s="62" t="n"/>
      <c r="AU27" s="62" t="n"/>
      <c r="AV27" s="62" t="n"/>
      <c r="AW27" s="62" t="n"/>
      <c r="AX27" s="62" t="n"/>
      <c r="AY27" s="62" t="n"/>
    </row>
    <row r="28">
      <c r="A28" s="38">
        <f>IF(D28="","",COUNTA($D$9:D28))</f>
        <v/>
      </c>
      <c r="B28" s="52" t="n"/>
      <c r="C28" s="53" t="inlineStr">
        <is>
          <t>마케팅1팀</t>
        </is>
      </c>
      <c r="D28" s="52" t="n"/>
      <c r="E28" s="54" t="n"/>
      <c r="F28" s="52" t="n"/>
      <c r="G28" s="55" t="n"/>
      <c r="H28" s="54" t="n"/>
      <c r="I28" s="54" t="n"/>
      <c r="J28" s="54" t="n"/>
      <c r="K28" s="56">
        <f>IF(SUM(U28:AY28)=0,"",SUM(U28:AY28))</f>
        <v/>
      </c>
      <c r="L28" s="57">
        <f>IFERROR(INDEX(U$2:AY$2,MATCH(TRUE,U28:AY28&lt;&gt;"",0)),"")</f>
        <v/>
      </c>
      <c r="M28" s="58">
        <f>IFERROR(LOOKUP(2,1/(U28:AY28&lt;&gt;""),U$2:AY$2),"")</f>
        <v/>
      </c>
      <c r="N28" s="59">
        <f>IF(OR(G28="",M28=""),"",G28-M28)</f>
        <v/>
      </c>
      <c r="O28" s="60" t="n"/>
      <c r="P28" s="61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  <c r="AG28" s="62" t="n"/>
      <c r="AH28" s="62" t="n"/>
      <c r="AI28" s="62" t="n"/>
      <c r="AJ28" s="62" t="n"/>
      <c r="AK28" s="62" t="n"/>
      <c r="AL28" s="62" t="n"/>
      <c r="AM28" s="62" t="n"/>
      <c r="AN28" s="62" t="n"/>
      <c r="AO28" s="62" t="n"/>
      <c r="AP28" s="62" t="n"/>
      <c r="AQ28" s="62" t="n"/>
      <c r="AR28" s="62" t="n"/>
      <c r="AS28" s="62" t="n"/>
      <c r="AT28" s="62" t="n"/>
      <c r="AU28" s="62" t="n"/>
      <c r="AV28" s="62" t="n"/>
      <c r="AW28" s="62" t="n"/>
      <c r="AX28" s="62" t="n"/>
      <c r="AY28" s="62" t="n"/>
    </row>
    <row r="29">
      <c r="A29" s="38">
        <f>IF(D29="","",COUNTA($D$9:D29))</f>
        <v/>
      </c>
      <c r="B29" s="52" t="n"/>
      <c r="C29" s="53" t="inlineStr">
        <is>
          <t>마케팅1팀</t>
        </is>
      </c>
      <c r="D29" s="52" t="n"/>
      <c r="E29" s="54" t="n"/>
      <c r="F29" s="52" t="n"/>
      <c r="G29" s="55" t="n"/>
      <c r="H29" s="54" t="n"/>
      <c r="I29" s="54" t="n"/>
      <c r="J29" s="54" t="n"/>
      <c r="K29" s="56">
        <f>IF(SUM(U29:AY29)=0,"",SUM(U29:AY29))</f>
        <v/>
      </c>
      <c r="L29" s="57">
        <f>IFERROR(INDEX(U$2:AY$2,MATCH(TRUE,U29:AY29&lt;&gt;"",0)),"")</f>
        <v/>
      </c>
      <c r="M29" s="58">
        <f>IFERROR(LOOKUP(2,1/(U29:AY29&lt;&gt;""),U$2:AY$2),"")</f>
        <v/>
      </c>
      <c r="N29" s="59">
        <f>IF(OR(G29="",M29=""),"",G29-M29)</f>
        <v/>
      </c>
      <c r="O29" s="60" t="n"/>
      <c r="P29" s="61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  <c r="AG29" s="62" t="n"/>
      <c r="AH29" s="62" t="n"/>
      <c r="AI29" s="62" t="n"/>
      <c r="AJ29" s="62" t="n"/>
      <c r="AK29" s="62" t="n"/>
      <c r="AL29" s="62" t="n"/>
      <c r="AM29" s="62" t="n"/>
      <c r="AN29" s="62" t="n"/>
      <c r="AO29" s="62" t="n"/>
      <c r="AP29" s="62" t="n"/>
      <c r="AQ29" s="62" t="n"/>
      <c r="AR29" s="62" t="n"/>
      <c r="AS29" s="62" t="n"/>
      <c r="AT29" s="62" t="n"/>
      <c r="AU29" s="62" t="n"/>
      <c r="AV29" s="62" t="n"/>
      <c r="AW29" s="62" t="n"/>
      <c r="AX29" s="62" t="n"/>
      <c r="AY29" s="62" t="n"/>
    </row>
    <row r="30">
      <c r="A30" s="38">
        <f>IF(D30="","",COUNTA($D$9:D30))</f>
        <v/>
      </c>
      <c r="B30" s="52" t="n"/>
      <c r="C30" s="53" t="inlineStr">
        <is>
          <t>마케팅1팀</t>
        </is>
      </c>
      <c r="D30" s="52" t="n"/>
      <c r="E30" s="54" t="n"/>
      <c r="F30" s="52" t="n"/>
      <c r="G30" s="55" t="n"/>
      <c r="H30" s="54" t="n"/>
      <c r="I30" s="54" t="n"/>
      <c r="J30" s="54" t="n"/>
      <c r="K30" s="56">
        <f>IF(SUM(U30:AY30)=0,"",SUM(U30:AY30))</f>
        <v/>
      </c>
      <c r="L30" s="57">
        <f>IFERROR(INDEX(U$2:AY$2,MATCH(TRUE,U30:AY30&lt;&gt;"",0)),"")</f>
        <v/>
      </c>
      <c r="M30" s="58">
        <f>IFERROR(LOOKUP(2,1/(U30:AY30&lt;&gt;""),U$2:AY$2),"")</f>
        <v/>
      </c>
      <c r="N30" s="59">
        <f>IF(OR(G30="",M30=""),"",G30-M30)</f>
        <v/>
      </c>
      <c r="O30" s="60" t="n"/>
      <c r="P30" s="61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  <c r="AG30" s="62" t="n"/>
      <c r="AH30" s="62" t="n"/>
      <c r="AI30" s="62" t="n"/>
      <c r="AJ30" s="62" t="n"/>
      <c r="AK30" s="62" t="n"/>
      <c r="AL30" s="62" t="n"/>
      <c r="AM30" s="62" t="n"/>
      <c r="AN30" s="62" t="n"/>
      <c r="AO30" s="62" t="n"/>
      <c r="AP30" s="62" t="n"/>
      <c r="AQ30" s="62" t="n"/>
      <c r="AR30" s="62" t="n"/>
      <c r="AS30" s="62" t="n"/>
      <c r="AT30" s="62" t="n"/>
      <c r="AU30" s="62" t="n"/>
      <c r="AV30" s="62" t="n"/>
      <c r="AW30" s="62" t="n"/>
      <c r="AX30" s="62" t="n"/>
      <c r="AY30" s="62" t="n"/>
    </row>
    <row r="31">
      <c r="A31" s="38">
        <f>IF(D31="","",COUNTA($D$9:D31))</f>
        <v/>
      </c>
      <c r="B31" s="52" t="n"/>
      <c r="C31" s="53" t="inlineStr">
        <is>
          <t>마케팅1팀</t>
        </is>
      </c>
      <c r="D31" s="52" t="n"/>
      <c r="E31" s="54" t="n"/>
      <c r="F31" s="52" t="n"/>
      <c r="G31" s="55" t="n"/>
      <c r="H31" s="54" t="n"/>
      <c r="I31" s="54" t="n"/>
      <c r="J31" s="54" t="n"/>
      <c r="K31" s="56">
        <f>IF(SUM(U31:AY31)=0,"",SUM(U31:AY31))</f>
        <v/>
      </c>
      <c r="L31" s="57">
        <f>IFERROR(INDEX(U$2:AY$2,MATCH(TRUE,U31:AY31&lt;&gt;"",0)),"")</f>
        <v/>
      </c>
      <c r="M31" s="58">
        <f>IFERROR(LOOKUP(2,1/(U31:AY31&lt;&gt;""),U$2:AY$2),"")</f>
        <v/>
      </c>
      <c r="N31" s="59">
        <f>IF(OR(G31="",M31=""),"",G31-M31)</f>
        <v/>
      </c>
      <c r="O31" s="60" t="n"/>
      <c r="P31" s="61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  <c r="AG31" s="62" t="n"/>
      <c r="AH31" s="62" t="n"/>
      <c r="AI31" s="62" t="n"/>
      <c r="AJ31" s="62" t="n"/>
      <c r="AK31" s="62" t="n"/>
      <c r="AL31" s="62" t="n"/>
      <c r="AM31" s="62" t="n"/>
      <c r="AN31" s="62" t="n"/>
      <c r="AO31" s="62" t="n"/>
      <c r="AP31" s="62" t="n"/>
      <c r="AQ31" s="62" t="n"/>
      <c r="AR31" s="62" t="n"/>
      <c r="AS31" s="62" t="n"/>
      <c r="AT31" s="62" t="n"/>
      <c r="AU31" s="62" t="n"/>
      <c r="AV31" s="62" t="n"/>
      <c r="AW31" s="62" t="n"/>
      <c r="AX31" s="62" t="n"/>
      <c r="AY31" s="62" t="n"/>
    </row>
    <row r="32">
      <c r="A32" s="38">
        <f>IF(D32="","",COUNTA($D$9:D32))</f>
        <v/>
      </c>
      <c r="B32" s="52" t="n"/>
      <c r="C32" s="53" t="inlineStr">
        <is>
          <t>마케팅1팀</t>
        </is>
      </c>
      <c r="D32" s="52" t="n"/>
      <c r="E32" s="54" t="n"/>
      <c r="F32" s="52" t="n"/>
      <c r="G32" s="55" t="n"/>
      <c r="H32" s="54" t="n"/>
      <c r="I32" s="54" t="n"/>
      <c r="J32" s="54" t="n"/>
      <c r="K32" s="56">
        <f>IF(SUM(U32:AY32)=0,"",SUM(U32:AY32))</f>
        <v/>
      </c>
      <c r="L32" s="57">
        <f>IFERROR(INDEX(U$2:AY$2,MATCH(TRUE,U32:AY32&lt;&gt;"",0)),"")</f>
        <v/>
      </c>
      <c r="M32" s="58">
        <f>IFERROR(LOOKUP(2,1/(U32:AY32&lt;&gt;""),U$2:AY$2),"")</f>
        <v/>
      </c>
      <c r="N32" s="59">
        <f>IF(OR(G32="",M32=""),"",G32-M32)</f>
        <v/>
      </c>
      <c r="O32" s="60" t="n"/>
      <c r="P32" s="61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  <c r="AG32" s="62" t="n"/>
      <c r="AH32" s="62" t="n"/>
      <c r="AI32" s="62" t="n"/>
      <c r="AJ32" s="62" t="n"/>
      <c r="AK32" s="62" t="n"/>
      <c r="AL32" s="62" t="n"/>
      <c r="AM32" s="62" t="n"/>
      <c r="AN32" s="62" t="n"/>
      <c r="AO32" s="62" t="n"/>
      <c r="AP32" s="62" t="n"/>
      <c r="AQ32" s="62" t="n"/>
      <c r="AR32" s="62" t="n"/>
      <c r="AS32" s="62" t="n"/>
      <c r="AT32" s="62" t="n"/>
      <c r="AU32" s="62" t="n"/>
      <c r="AV32" s="62" t="n"/>
      <c r="AW32" s="62" t="n"/>
      <c r="AX32" s="62" t="n"/>
      <c r="AY32" s="62" t="n"/>
    </row>
    <row r="33">
      <c r="A33" s="38">
        <f>IF(D33="","",COUNTA($D$9:D33))</f>
        <v/>
      </c>
      <c r="B33" s="52" t="n"/>
      <c r="C33" s="53" t="inlineStr">
        <is>
          <t>마케팅1팀</t>
        </is>
      </c>
      <c r="D33" s="52" t="n"/>
      <c r="E33" s="54" t="n"/>
      <c r="F33" s="52" t="n"/>
      <c r="G33" s="55" t="n"/>
      <c r="H33" s="54" t="n"/>
      <c r="I33" s="54" t="n"/>
      <c r="J33" s="54" t="n"/>
      <c r="K33" s="56">
        <f>IF(SUM(U33:AY33)=0,"",SUM(U33:AY33))</f>
        <v/>
      </c>
      <c r="L33" s="57">
        <f>IFERROR(INDEX(U$2:AY$2,MATCH(TRUE,U33:AY33&lt;&gt;"",0)),"")</f>
        <v/>
      </c>
      <c r="M33" s="58">
        <f>IFERROR(LOOKUP(2,1/(U33:AY33&lt;&gt;""),U$2:AY$2),"")</f>
        <v/>
      </c>
      <c r="N33" s="59">
        <f>IF(OR(G33="",M33=""),"",G33-M33)</f>
        <v/>
      </c>
      <c r="O33" s="60" t="n"/>
      <c r="P33" s="61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  <c r="AG33" s="62" t="n"/>
      <c r="AH33" s="62" t="n"/>
      <c r="AI33" s="62" t="n"/>
      <c r="AJ33" s="62" t="n"/>
      <c r="AK33" s="62" t="n"/>
      <c r="AL33" s="62" t="n"/>
      <c r="AM33" s="62" t="n"/>
      <c r="AN33" s="62" t="n"/>
      <c r="AO33" s="62" t="n"/>
      <c r="AP33" s="62" t="n"/>
      <c r="AQ33" s="62" t="n"/>
      <c r="AR33" s="62" t="n"/>
      <c r="AS33" s="62" t="n"/>
      <c r="AT33" s="62" t="n"/>
      <c r="AU33" s="62" t="n"/>
      <c r="AV33" s="62" t="n"/>
      <c r="AW33" s="62" t="n"/>
      <c r="AX33" s="62" t="n"/>
      <c r="AY33" s="62" t="n"/>
    </row>
    <row r="34">
      <c r="A34" s="38">
        <f>IF(D34="","",COUNTA($D$9:D34))</f>
        <v/>
      </c>
      <c r="B34" s="52" t="n"/>
      <c r="C34" s="53" t="inlineStr">
        <is>
          <t>마케팅1팀</t>
        </is>
      </c>
      <c r="D34" s="52" t="n"/>
      <c r="E34" s="54" t="n"/>
      <c r="F34" s="52" t="n"/>
      <c r="G34" s="55" t="n"/>
      <c r="H34" s="54" t="n"/>
      <c r="I34" s="54" t="n"/>
      <c r="J34" s="54" t="n"/>
      <c r="K34" s="56">
        <f>IF(SUM(U34:AY34)=0,"",SUM(U34:AY34))</f>
        <v/>
      </c>
      <c r="L34" s="57">
        <f>IFERROR(INDEX(U$2:AY$2,MATCH(TRUE,U34:AY34&lt;&gt;"",0)),"")</f>
        <v/>
      </c>
      <c r="M34" s="58">
        <f>IFERROR(LOOKUP(2,1/(U34:AY34&lt;&gt;""),U$2:AY$2),"")</f>
        <v/>
      </c>
      <c r="N34" s="59">
        <f>IF(OR(G34="",M34=""),"",G34-M34)</f>
        <v/>
      </c>
      <c r="O34" s="60" t="n"/>
      <c r="P34" s="61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  <c r="AG34" s="62" t="n"/>
      <c r="AH34" s="62" t="n"/>
      <c r="AI34" s="62" t="n"/>
      <c r="AJ34" s="62" t="n"/>
      <c r="AK34" s="62" t="n"/>
      <c r="AL34" s="62" t="n"/>
      <c r="AM34" s="62" t="n"/>
      <c r="AN34" s="62" t="n"/>
      <c r="AO34" s="62" t="n"/>
      <c r="AP34" s="62" t="n"/>
      <c r="AQ34" s="62" t="n"/>
      <c r="AR34" s="62" t="n"/>
      <c r="AS34" s="62" t="n"/>
      <c r="AT34" s="62" t="n"/>
      <c r="AU34" s="62" t="n"/>
      <c r="AV34" s="62" t="n"/>
      <c r="AW34" s="62" t="n"/>
      <c r="AX34" s="62" t="n"/>
      <c r="AY34" s="62" t="n"/>
    </row>
    <row r="35">
      <c r="A35" s="38">
        <f>IF(D35="","",COUNTA($D$9:D35))</f>
        <v/>
      </c>
      <c r="B35" s="52" t="n"/>
      <c r="C35" s="53" t="inlineStr">
        <is>
          <t>마케팅1팀</t>
        </is>
      </c>
      <c r="D35" s="52" t="n"/>
      <c r="E35" s="54" t="n"/>
      <c r="F35" s="52" t="n"/>
      <c r="G35" s="55" t="n"/>
      <c r="H35" s="54" t="n"/>
      <c r="I35" s="54" t="n"/>
      <c r="J35" s="54" t="n"/>
      <c r="K35" s="56">
        <f>IF(SUM(U35:AY35)=0,"",SUM(U35:AY35))</f>
        <v/>
      </c>
      <c r="L35" s="57">
        <f>IFERROR(INDEX(U$2:AY$2,MATCH(TRUE,U35:AY35&lt;&gt;"",0)),"")</f>
        <v/>
      </c>
      <c r="M35" s="58">
        <f>IFERROR(LOOKUP(2,1/(U35:AY35&lt;&gt;""),U$2:AY$2),"")</f>
        <v/>
      </c>
      <c r="N35" s="59">
        <f>IF(OR(G35="",M35=""),"",G35-M35)</f>
        <v/>
      </c>
      <c r="O35" s="60" t="n"/>
      <c r="P35" s="61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  <c r="AG35" s="62" t="n"/>
      <c r="AH35" s="62" t="n"/>
      <c r="AI35" s="62" t="n"/>
      <c r="AJ35" s="62" t="n"/>
      <c r="AK35" s="62" t="n"/>
      <c r="AL35" s="62" t="n"/>
      <c r="AM35" s="62" t="n"/>
      <c r="AN35" s="62" t="n"/>
      <c r="AO35" s="62" t="n"/>
      <c r="AP35" s="62" t="n"/>
      <c r="AQ35" s="62" t="n"/>
      <c r="AR35" s="62" t="n"/>
      <c r="AS35" s="62" t="n"/>
      <c r="AT35" s="62" t="n"/>
      <c r="AU35" s="62" t="n"/>
      <c r="AV35" s="62" t="n"/>
      <c r="AW35" s="62" t="n"/>
      <c r="AX35" s="62" t="n"/>
      <c r="AY35" s="62" t="n"/>
    </row>
    <row r="36">
      <c r="A36" s="38">
        <f>IF(D36="","",COUNTA($D$9:D36))</f>
        <v/>
      </c>
      <c r="B36" s="52" t="n"/>
      <c r="C36" s="53" t="inlineStr">
        <is>
          <t>마케팅1팀</t>
        </is>
      </c>
      <c r="D36" s="52" t="n"/>
      <c r="E36" s="54" t="n"/>
      <c r="F36" s="52" t="n"/>
      <c r="G36" s="55" t="n"/>
      <c r="H36" s="54" t="n"/>
      <c r="I36" s="54" t="n"/>
      <c r="J36" s="54" t="n"/>
      <c r="K36" s="56">
        <f>IF(SUM(U36:AY36)=0,"",SUM(U36:AY36))</f>
        <v/>
      </c>
      <c r="L36" s="57">
        <f>IFERROR(INDEX(U$2:AY$2,MATCH(TRUE,U36:AY36&lt;&gt;"",0)),"")</f>
        <v/>
      </c>
      <c r="M36" s="58">
        <f>IFERROR(LOOKUP(2,1/(U36:AY36&lt;&gt;""),U$2:AY$2),"")</f>
        <v/>
      </c>
      <c r="N36" s="59">
        <f>IF(OR(G36="",M36=""),"",G36-M36)</f>
        <v/>
      </c>
      <c r="O36" s="60" t="n"/>
      <c r="P36" s="61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  <c r="AG36" s="62" t="n"/>
      <c r="AH36" s="62" t="n"/>
      <c r="AI36" s="62" t="n"/>
      <c r="AJ36" s="62" t="n"/>
      <c r="AK36" s="62" t="n"/>
      <c r="AL36" s="62" t="n"/>
      <c r="AM36" s="62" t="n"/>
      <c r="AN36" s="62" t="n"/>
      <c r="AO36" s="62" t="n"/>
      <c r="AP36" s="62" t="n"/>
      <c r="AQ36" s="62" t="n"/>
      <c r="AR36" s="62" t="n"/>
      <c r="AS36" s="62" t="n"/>
      <c r="AT36" s="62" t="n"/>
      <c r="AU36" s="62" t="n"/>
      <c r="AV36" s="62" t="n"/>
      <c r="AW36" s="62" t="n"/>
      <c r="AX36" s="62" t="n"/>
      <c r="AY36" s="62" t="n"/>
    </row>
    <row r="37">
      <c r="A37" s="38">
        <f>IF(D37="","",COUNTA($D$9:D37))</f>
        <v/>
      </c>
      <c r="B37" s="52" t="n"/>
      <c r="C37" s="53" t="inlineStr">
        <is>
          <t>마케팅1팀</t>
        </is>
      </c>
      <c r="D37" s="52" t="n"/>
      <c r="E37" s="54" t="n"/>
      <c r="F37" s="52" t="n"/>
      <c r="G37" s="55" t="n"/>
      <c r="H37" s="54" t="n"/>
      <c r="I37" s="54" t="n"/>
      <c r="J37" s="54" t="n"/>
      <c r="K37" s="56">
        <f>IF(SUM(U37:AY37)=0,"",SUM(U37:AY37))</f>
        <v/>
      </c>
      <c r="L37" s="57">
        <f>IFERROR(INDEX(U$2:AY$2,MATCH(TRUE,U37:AY37&lt;&gt;"",0)),"")</f>
        <v/>
      </c>
      <c r="M37" s="58">
        <f>IFERROR(LOOKUP(2,1/(U37:AY37&lt;&gt;""),U$2:AY$2),"")</f>
        <v/>
      </c>
      <c r="N37" s="59">
        <f>IF(OR(G37="",M37=""),"",G37-M37)</f>
        <v/>
      </c>
      <c r="O37" s="60" t="n"/>
      <c r="P37" s="61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  <c r="AG37" s="62" t="n"/>
      <c r="AH37" s="62" t="n"/>
      <c r="AI37" s="62" t="n"/>
      <c r="AJ37" s="62" t="n"/>
      <c r="AK37" s="62" t="n"/>
      <c r="AL37" s="62" t="n"/>
      <c r="AM37" s="62" t="n"/>
      <c r="AN37" s="62" t="n"/>
      <c r="AO37" s="62" t="n"/>
      <c r="AP37" s="62" t="n"/>
      <c r="AQ37" s="62" t="n"/>
      <c r="AR37" s="62" t="n"/>
      <c r="AS37" s="62" t="n"/>
      <c r="AT37" s="62" t="n"/>
      <c r="AU37" s="62" t="n"/>
      <c r="AV37" s="62" t="n"/>
      <c r="AW37" s="62" t="n"/>
      <c r="AX37" s="62" t="n"/>
      <c r="AY37" s="62" t="n"/>
    </row>
    <row r="38">
      <c r="A38" s="38">
        <f>IF(D38="","",COUNTA($D$9:D38))</f>
        <v/>
      </c>
      <c r="B38" s="52" t="n"/>
      <c r="C38" s="53" t="inlineStr">
        <is>
          <t>마케팅1팀</t>
        </is>
      </c>
      <c r="D38" s="52" t="n"/>
      <c r="E38" s="54" t="n"/>
      <c r="F38" s="52" t="n"/>
      <c r="G38" s="55" t="n"/>
      <c r="H38" s="54" t="n"/>
      <c r="I38" s="54" t="n"/>
      <c r="J38" s="54" t="n"/>
      <c r="K38" s="56">
        <f>IF(SUM(U38:AY38)=0,"",SUM(U38:AY38))</f>
        <v/>
      </c>
      <c r="L38" s="57">
        <f>IFERROR(INDEX(U$2:AY$2,MATCH(TRUE,U38:AY38&lt;&gt;"",0)),"")</f>
        <v/>
      </c>
      <c r="M38" s="58">
        <f>IFERROR(LOOKUP(2,1/(U38:AY38&lt;&gt;""),U$2:AY$2),"")</f>
        <v/>
      </c>
      <c r="N38" s="59">
        <f>IF(OR(G38="",M38=""),"",G38-M38)</f>
        <v/>
      </c>
      <c r="O38" s="60" t="n"/>
      <c r="P38" s="61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  <c r="AG38" s="62" t="n"/>
      <c r="AH38" s="62" t="n"/>
      <c r="AI38" s="62" t="n"/>
      <c r="AJ38" s="62" t="n"/>
      <c r="AK38" s="62" t="n"/>
      <c r="AL38" s="62" t="n"/>
      <c r="AM38" s="62" t="n"/>
      <c r="AN38" s="62" t="n"/>
      <c r="AO38" s="62" t="n"/>
      <c r="AP38" s="62" t="n"/>
      <c r="AQ38" s="62" t="n"/>
      <c r="AR38" s="62" t="n"/>
      <c r="AS38" s="62" t="n"/>
      <c r="AT38" s="62" t="n"/>
      <c r="AU38" s="62" t="n"/>
      <c r="AV38" s="62" t="n"/>
      <c r="AW38" s="62" t="n"/>
      <c r="AX38" s="62" t="n"/>
      <c r="AY38" s="62" t="n"/>
    </row>
    <row r="39">
      <c r="A39" s="63" t="inlineStr">
        <is>
          <t>마케팅2팀  (40~69행)</t>
        </is>
      </c>
      <c r="U39" s="64" t="n"/>
      <c r="V39" s="64" t="n"/>
      <c r="W39" s="64" t="n"/>
      <c r="X39" s="64" t="n"/>
      <c r="Y39" s="64" t="n"/>
      <c r="Z39" s="64" t="n"/>
      <c r="AA39" s="64" t="n"/>
      <c r="AB39" s="64" t="n"/>
      <c r="AC39" s="64" t="n"/>
      <c r="AD39" s="64" t="n"/>
      <c r="AE39" s="64" t="n"/>
      <c r="AF39" s="64" t="n"/>
      <c r="AG39" s="64" t="n"/>
      <c r="AH39" s="64" t="n"/>
      <c r="AI39" s="64" t="n"/>
      <c r="AJ39" s="64" t="n"/>
      <c r="AK39" s="64" t="n"/>
      <c r="AL39" s="64" t="n"/>
      <c r="AM39" s="64" t="n"/>
      <c r="AN39" s="64" t="n"/>
      <c r="AO39" s="64" t="n"/>
      <c r="AP39" s="64" t="n"/>
      <c r="AQ39" s="64" t="n"/>
      <c r="AR39" s="64" t="n"/>
      <c r="AS39" s="64" t="n"/>
      <c r="AT39" s="64" t="n"/>
      <c r="AU39" s="64" t="n"/>
      <c r="AV39" s="64" t="n"/>
      <c r="AW39" s="64" t="n"/>
      <c r="AX39" s="64" t="n"/>
      <c r="AY39" s="64" t="n"/>
    </row>
    <row r="40">
      <c r="A40" s="38">
        <f>IF(D40="","",COUNTA($D$40:D40))</f>
        <v/>
      </c>
      <c r="B40" s="52" t="n"/>
      <c r="C40" s="65" t="inlineStr">
        <is>
          <t>마케팅2팀</t>
        </is>
      </c>
      <c r="D40" s="52" t="n"/>
      <c r="E40" s="54" t="n"/>
      <c r="F40" s="52" t="n"/>
      <c r="G40" s="55" t="n"/>
      <c r="H40" s="54" t="n"/>
      <c r="I40" s="54" t="n"/>
      <c r="J40" s="54" t="n"/>
      <c r="K40" s="56">
        <f>IF(SUM(U40:AY40)=0,"",SUM(U40:AY40))</f>
        <v/>
      </c>
      <c r="L40" s="57">
        <f>IFERROR(INDEX(U$2:AY$2,MATCH(TRUE,U40:AY40&lt;&gt;"",0)),"")</f>
        <v/>
      </c>
      <c r="M40" s="58">
        <f>IFERROR(LOOKUP(2,1/(U40:AY40&lt;&gt;""),U$2:AY$2),"")</f>
        <v/>
      </c>
      <c r="N40" s="59">
        <f>IF(OR(G40="",M40=""),"",G40-M40)</f>
        <v/>
      </c>
      <c r="O40" s="60" t="n"/>
      <c r="P40" s="61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  <c r="AG40" s="62" t="n"/>
      <c r="AH40" s="62" t="n"/>
      <c r="AI40" s="62" t="n"/>
      <c r="AJ40" s="62" t="n"/>
      <c r="AK40" s="62" t="n"/>
      <c r="AL40" s="62" t="n"/>
      <c r="AM40" s="62" t="n"/>
      <c r="AN40" s="62" t="n"/>
      <c r="AO40" s="62" t="n"/>
      <c r="AP40" s="62" t="n"/>
      <c r="AQ40" s="62" t="n"/>
      <c r="AR40" s="62" t="n"/>
      <c r="AS40" s="62" t="n"/>
      <c r="AT40" s="62" t="n"/>
      <c r="AU40" s="62" t="n"/>
      <c r="AV40" s="62" t="n"/>
      <c r="AW40" s="62" t="n"/>
      <c r="AX40" s="62" t="n"/>
      <c r="AY40" s="62" t="n"/>
    </row>
    <row r="41">
      <c r="A41" s="38">
        <f>IF(D41="","",COUNTA($D$40:D41))</f>
        <v/>
      </c>
      <c r="B41" s="52" t="n"/>
      <c r="C41" s="65" t="inlineStr">
        <is>
          <t>마케팅2팀</t>
        </is>
      </c>
      <c r="D41" s="52" t="n"/>
      <c r="E41" s="54" t="n"/>
      <c r="F41" s="52" t="n"/>
      <c r="G41" s="55" t="n"/>
      <c r="H41" s="54" t="n"/>
      <c r="I41" s="54" t="n"/>
      <c r="J41" s="54" t="n"/>
      <c r="K41" s="56">
        <f>IF(SUM(U41:AY41)=0,"",SUM(U41:AY41))</f>
        <v/>
      </c>
      <c r="L41" s="57">
        <f>IFERROR(INDEX(U$2:AY$2,MATCH(TRUE,U41:AY41&lt;&gt;"",0)),"")</f>
        <v/>
      </c>
      <c r="M41" s="58">
        <f>IFERROR(LOOKUP(2,1/(U41:AY41&lt;&gt;""),U$2:AY$2),"")</f>
        <v/>
      </c>
      <c r="N41" s="59">
        <f>IF(OR(G41="",M41=""),"",G41-M41)</f>
        <v/>
      </c>
      <c r="O41" s="60" t="n"/>
      <c r="P41" s="61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  <c r="AG41" s="62" t="n"/>
      <c r="AH41" s="62" t="n"/>
      <c r="AI41" s="62" t="n"/>
      <c r="AJ41" s="62" t="n"/>
      <c r="AK41" s="62" t="n"/>
      <c r="AL41" s="62" t="n"/>
      <c r="AM41" s="62" t="n"/>
      <c r="AN41" s="62" t="n"/>
      <c r="AO41" s="62" t="n"/>
      <c r="AP41" s="62" t="n"/>
      <c r="AQ41" s="62" t="n"/>
      <c r="AR41" s="62" t="n"/>
      <c r="AS41" s="62" t="n"/>
      <c r="AT41" s="62" t="n"/>
      <c r="AU41" s="62" t="n"/>
      <c r="AV41" s="62" t="n"/>
      <c r="AW41" s="62" t="n"/>
      <c r="AX41" s="62" t="n"/>
      <c r="AY41" s="62" t="n"/>
    </row>
    <row r="42">
      <c r="A42" s="38">
        <f>IF(D42="","",COUNTA($D$40:D42))</f>
        <v/>
      </c>
      <c r="B42" s="52" t="n"/>
      <c r="C42" s="65" t="inlineStr">
        <is>
          <t>마케팅2팀</t>
        </is>
      </c>
      <c r="D42" s="52" t="n"/>
      <c r="E42" s="54" t="n"/>
      <c r="F42" s="52" t="n"/>
      <c r="G42" s="55" t="n"/>
      <c r="H42" s="54" t="n"/>
      <c r="I42" s="54" t="n"/>
      <c r="J42" s="54" t="n"/>
      <c r="K42" s="56">
        <f>IF(SUM(U42:AY42)=0,"",SUM(U42:AY42))</f>
        <v/>
      </c>
      <c r="L42" s="57">
        <f>IFERROR(INDEX(U$2:AY$2,MATCH(TRUE,U42:AY42&lt;&gt;"",0)),"")</f>
        <v/>
      </c>
      <c r="M42" s="58">
        <f>IFERROR(LOOKUP(2,1/(U42:AY42&lt;&gt;""),U$2:AY$2),"")</f>
        <v/>
      </c>
      <c r="N42" s="59">
        <f>IF(OR(G42="",M42=""),"",G42-M42)</f>
        <v/>
      </c>
      <c r="O42" s="60" t="n"/>
      <c r="P42" s="61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  <c r="AG42" s="62" t="n"/>
      <c r="AH42" s="62" t="n"/>
      <c r="AI42" s="62" t="n"/>
      <c r="AJ42" s="62" t="n"/>
      <c r="AK42" s="62" t="n"/>
      <c r="AL42" s="62" t="n"/>
      <c r="AM42" s="62" t="n"/>
      <c r="AN42" s="62" t="n"/>
      <c r="AO42" s="62" t="n"/>
      <c r="AP42" s="62" t="n"/>
      <c r="AQ42" s="62" t="n"/>
      <c r="AR42" s="62" t="n"/>
      <c r="AS42" s="62" t="n"/>
      <c r="AT42" s="62" t="n"/>
      <c r="AU42" s="62" t="n"/>
      <c r="AV42" s="62" t="n"/>
      <c r="AW42" s="62" t="n"/>
      <c r="AX42" s="62" t="n"/>
      <c r="AY42" s="62" t="n"/>
    </row>
    <row r="43">
      <c r="A43" s="38">
        <f>IF(D43="","",COUNTA($D$40:D43))</f>
        <v/>
      </c>
      <c r="B43" s="52" t="n"/>
      <c r="C43" s="65" t="inlineStr">
        <is>
          <t>마케팅2팀</t>
        </is>
      </c>
      <c r="D43" s="52" t="n"/>
      <c r="E43" s="54" t="n"/>
      <c r="F43" s="52" t="n"/>
      <c r="G43" s="55" t="n"/>
      <c r="H43" s="54" t="n"/>
      <c r="I43" s="54" t="n"/>
      <c r="J43" s="54" t="n"/>
      <c r="K43" s="56">
        <f>IF(SUM(U43:AY43)=0,"",SUM(U43:AY43))</f>
        <v/>
      </c>
      <c r="L43" s="57">
        <f>IFERROR(INDEX(U$2:AY$2,MATCH(TRUE,U43:AY43&lt;&gt;"",0)),"")</f>
        <v/>
      </c>
      <c r="M43" s="58">
        <f>IFERROR(LOOKUP(2,1/(U43:AY43&lt;&gt;""),U$2:AY$2),"")</f>
        <v/>
      </c>
      <c r="N43" s="59">
        <f>IF(OR(G43="",M43=""),"",G43-M43)</f>
        <v/>
      </c>
      <c r="O43" s="60" t="n"/>
      <c r="P43" s="61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  <c r="AG43" s="62" t="n"/>
      <c r="AH43" s="62" t="n"/>
      <c r="AI43" s="62" t="n"/>
      <c r="AJ43" s="62" t="n"/>
      <c r="AK43" s="62" t="n"/>
      <c r="AL43" s="62" t="n"/>
      <c r="AM43" s="62" t="n"/>
      <c r="AN43" s="62" t="n"/>
      <c r="AO43" s="62" t="n"/>
      <c r="AP43" s="62" t="n"/>
      <c r="AQ43" s="62" t="n"/>
      <c r="AR43" s="62" t="n"/>
      <c r="AS43" s="62" t="n"/>
      <c r="AT43" s="62" t="n"/>
      <c r="AU43" s="62" t="n"/>
      <c r="AV43" s="62" t="n"/>
      <c r="AW43" s="62" t="n"/>
      <c r="AX43" s="62" t="n"/>
      <c r="AY43" s="62" t="n"/>
    </row>
    <row r="44">
      <c r="A44" s="38">
        <f>IF(D44="","",COUNTA($D$40:D44))</f>
        <v/>
      </c>
      <c r="B44" s="52" t="n"/>
      <c r="C44" s="65" t="inlineStr">
        <is>
          <t>마케팅2팀</t>
        </is>
      </c>
      <c r="D44" s="52" t="n"/>
      <c r="E44" s="54" t="n"/>
      <c r="F44" s="52" t="n"/>
      <c r="G44" s="55" t="n"/>
      <c r="H44" s="54" t="n"/>
      <c r="I44" s="54" t="n"/>
      <c r="J44" s="54" t="n"/>
      <c r="K44" s="56">
        <f>IF(SUM(U44:AY44)=0,"",SUM(U44:AY44))</f>
        <v/>
      </c>
      <c r="L44" s="57">
        <f>IFERROR(INDEX(U$2:AY$2,MATCH(TRUE,U44:AY44&lt;&gt;"",0)),"")</f>
        <v/>
      </c>
      <c r="M44" s="58">
        <f>IFERROR(LOOKUP(2,1/(U44:AY44&lt;&gt;""),U$2:AY$2),"")</f>
        <v/>
      </c>
      <c r="N44" s="59">
        <f>IF(OR(G44="",M44=""),"",G44-M44)</f>
        <v/>
      </c>
      <c r="O44" s="60" t="n"/>
      <c r="P44" s="61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  <c r="AG44" s="62" t="n"/>
      <c r="AH44" s="62" t="n"/>
      <c r="AI44" s="62" t="n"/>
      <c r="AJ44" s="62" t="n"/>
      <c r="AK44" s="62" t="n"/>
      <c r="AL44" s="62" t="n"/>
      <c r="AM44" s="62" t="n"/>
      <c r="AN44" s="62" t="n"/>
      <c r="AO44" s="62" t="n"/>
      <c r="AP44" s="62" t="n"/>
      <c r="AQ44" s="62" t="n"/>
      <c r="AR44" s="62" t="n"/>
      <c r="AS44" s="62" t="n"/>
      <c r="AT44" s="62" t="n"/>
      <c r="AU44" s="62" t="n"/>
      <c r="AV44" s="62" t="n"/>
      <c r="AW44" s="62" t="n"/>
      <c r="AX44" s="62" t="n"/>
      <c r="AY44" s="62" t="n"/>
    </row>
    <row r="45">
      <c r="A45" s="38">
        <f>IF(D45="","",COUNTA($D$40:D45))</f>
        <v/>
      </c>
      <c r="B45" s="52" t="n"/>
      <c r="C45" s="65" t="inlineStr">
        <is>
          <t>마케팅2팀</t>
        </is>
      </c>
      <c r="D45" s="52" t="n"/>
      <c r="E45" s="54" t="n"/>
      <c r="F45" s="52" t="n"/>
      <c r="G45" s="55" t="n"/>
      <c r="H45" s="54" t="n"/>
      <c r="I45" s="54" t="n"/>
      <c r="J45" s="54" t="n"/>
      <c r="K45" s="56">
        <f>IF(SUM(U45:AY45)=0,"",SUM(U45:AY45))</f>
        <v/>
      </c>
      <c r="L45" s="57">
        <f>IFERROR(INDEX(U$2:AY$2,MATCH(TRUE,U45:AY45&lt;&gt;"",0)),"")</f>
        <v/>
      </c>
      <c r="M45" s="58">
        <f>IFERROR(LOOKUP(2,1/(U45:AY45&lt;&gt;""),U$2:AY$2),"")</f>
        <v/>
      </c>
      <c r="N45" s="59">
        <f>IF(OR(G45="",M45=""),"",G45-M45)</f>
        <v/>
      </c>
      <c r="O45" s="60" t="n"/>
      <c r="P45" s="61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  <c r="AG45" s="62" t="n"/>
      <c r="AH45" s="62" t="n"/>
      <c r="AI45" s="62" t="n"/>
      <c r="AJ45" s="62" t="n"/>
      <c r="AK45" s="62" t="n"/>
      <c r="AL45" s="62" t="n"/>
      <c r="AM45" s="62" t="n"/>
      <c r="AN45" s="62" t="n"/>
      <c r="AO45" s="62" t="n"/>
      <c r="AP45" s="62" t="n"/>
      <c r="AQ45" s="62" t="n"/>
      <c r="AR45" s="62" t="n"/>
      <c r="AS45" s="62" t="n"/>
      <c r="AT45" s="62" t="n"/>
      <c r="AU45" s="62" t="n"/>
      <c r="AV45" s="62" t="n"/>
      <c r="AW45" s="62" t="n"/>
      <c r="AX45" s="62" t="n"/>
      <c r="AY45" s="62" t="n"/>
    </row>
    <row r="46">
      <c r="A46" s="38">
        <f>IF(D46="","",COUNTA($D$40:D46))</f>
        <v/>
      </c>
      <c r="B46" s="52" t="n"/>
      <c r="C46" s="65" t="inlineStr">
        <is>
          <t>마케팅2팀</t>
        </is>
      </c>
      <c r="D46" s="52" t="n"/>
      <c r="E46" s="54" t="n"/>
      <c r="F46" s="52" t="n"/>
      <c r="G46" s="55" t="n"/>
      <c r="H46" s="54" t="n"/>
      <c r="I46" s="54" t="n"/>
      <c r="J46" s="54" t="n"/>
      <c r="K46" s="56">
        <f>IF(SUM(U46:AY46)=0,"",SUM(U46:AY46))</f>
        <v/>
      </c>
      <c r="L46" s="57">
        <f>IFERROR(INDEX(U$2:AY$2,MATCH(TRUE,U46:AY46&lt;&gt;"",0)),"")</f>
        <v/>
      </c>
      <c r="M46" s="58">
        <f>IFERROR(LOOKUP(2,1/(U46:AY46&lt;&gt;""),U$2:AY$2),"")</f>
        <v/>
      </c>
      <c r="N46" s="59">
        <f>IF(OR(G46="",M46=""),"",G46-M46)</f>
        <v/>
      </c>
      <c r="O46" s="60" t="n"/>
      <c r="P46" s="61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  <c r="AG46" s="62" t="n"/>
      <c r="AH46" s="62" t="n"/>
      <c r="AI46" s="62" t="n"/>
      <c r="AJ46" s="62" t="n"/>
      <c r="AK46" s="62" t="n"/>
      <c r="AL46" s="62" t="n"/>
      <c r="AM46" s="62" t="n"/>
      <c r="AN46" s="62" t="n"/>
      <c r="AO46" s="62" t="n"/>
      <c r="AP46" s="62" t="n"/>
      <c r="AQ46" s="62" t="n"/>
      <c r="AR46" s="62" t="n"/>
      <c r="AS46" s="62" t="n"/>
      <c r="AT46" s="62" t="n"/>
      <c r="AU46" s="62" t="n"/>
      <c r="AV46" s="62" t="n"/>
      <c r="AW46" s="62" t="n"/>
      <c r="AX46" s="62" t="n"/>
      <c r="AY46" s="62" t="n"/>
    </row>
    <row r="47">
      <c r="A47" s="38">
        <f>IF(D47="","",COUNTA($D$40:D47))</f>
        <v/>
      </c>
      <c r="B47" s="52" t="n"/>
      <c r="C47" s="65" t="inlineStr">
        <is>
          <t>마케팅2팀</t>
        </is>
      </c>
      <c r="D47" s="52" t="n"/>
      <c r="E47" s="54" t="n"/>
      <c r="F47" s="52" t="n"/>
      <c r="G47" s="55" t="n"/>
      <c r="H47" s="54" t="n"/>
      <c r="I47" s="54" t="n"/>
      <c r="J47" s="54" t="n"/>
      <c r="K47" s="56">
        <f>IF(SUM(U47:AY47)=0,"",SUM(U47:AY47))</f>
        <v/>
      </c>
      <c r="L47" s="57">
        <f>IFERROR(INDEX(U$2:AY$2,MATCH(TRUE,U47:AY47&lt;&gt;"",0)),"")</f>
        <v/>
      </c>
      <c r="M47" s="58">
        <f>IFERROR(LOOKUP(2,1/(U47:AY47&lt;&gt;""),U$2:AY$2),"")</f>
        <v/>
      </c>
      <c r="N47" s="59">
        <f>IF(OR(G47="",M47=""),"",G47-M47)</f>
        <v/>
      </c>
      <c r="O47" s="60" t="n"/>
      <c r="P47" s="61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  <c r="AG47" s="62" t="n"/>
      <c r="AH47" s="62" t="n"/>
      <c r="AI47" s="62" t="n"/>
      <c r="AJ47" s="62" t="n"/>
      <c r="AK47" s="62" t="n"/>
      <c r="AL47" s="62" t="n"/>
      <c r="AM47" s="62" t="n"/>
      <c r="AN47" s="62" t="n"/>
      <c r="AO47" s="62" t="n"/>
      <c r="AP47" s="62" t="n"/>
      <c r="AQ47" s="62" t="n"/>
      <c r="AR47" s="62" t="n"/>
      <c r="AS47" s="62" t="n"/>
      <c r="AT47" s="62" t="n"/>
      <c r="AU47" s="62" t="n"/>
      <c r="AV47" s="62" t="n"/>
      <c r="AW47" s="62" t="n"/>
      <c r="AX47" s="62" t="n"/>
      <c r="AY47" s="62" t="n"/>
    </row>
    <row r="48">
      <c r="A48" s="38">
        <f>IF(D48="","",COUNTA($D$40:D48))</f>
        <v/>
      </c>
      <c r="B48" s="52" t="n"/>
      <c r="C48" s="65" t="inlineStr">
        <is>
          <t>마케팅2팀</t>
        </is>
      </c>
      <c r="D48" s="52" t="n"/>
      <c r="E48" s="54" t="n"/>
      <c r="F48" s="52" t="n"/>
      <c r="G48" s="55" t="n"/>
      <c r="H48" s="54" t="n"/>
      <c r="I48" s="54" t="n"/>
      <c r="J48" s="54" t="n"/>
      <c r="K48" s="56">
        <f>IF(SUM(U48:AY48)=0,"",SUM(U48:AY48))</f>
        <v/>
      </c>
      <c r="L48" s="57">
        <f>IFERROR(INDEX(U$2:AY$2,MATCH(TRUE,U48:AY48&lt;&gt;"",0)),"")</f>
        <v/>
      </c>
      <c r="M48" s="58">
        <f>IFERROR(LOOKUP(2,1/(U48:AY48&lt;&gt;""),U$2:AY$2),"")</f>
        <v/>
      </c>
      <c r="N48" s="59">
        <f>IF(OR(G48="",M48=""),"",G48-M48)</f>
        <v/>
      </c>
      <c r="O48" s="60" t="n"/>
      <c r="P48" s="61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  <c r="AG48" s="62" t="n"/>
      <c r="AH48" s="62" t="n"/>
      <c r="AI48" s="62" t="n"/>
      <c r="AJ48" s="62" t="n"/>
      <c r="AK48" s="62" t="n"/>
      <c r="AL48" s="62" t="n"/>
      <c r="AM48" s="62" t="n"/>
      <c r="AN48" s="62" t="n"/>
      <c r="AO48" s="62" t="n"/>
      <c r="AP48" s="62" t="n"/>
      <c r="AQ48" s="62" t="n"/>
      <c r="AR48" s="62" t="n"/>
      <c r="AS48" s="62" t="n"/>
      <c r="AT48" s="62" t="n"/>
      <c r="AU48" s="62" t="n"/>
      <c r="AV48" s="62" t="n"/>
      <c r="AW48" s="62" t="n"/>
      <c r="AX48" s="62" t="n"/>
      <c r="AY48" s="62" t="n"/>
    </row>
    <row r="49">
      <c r="A49" s="38">
        <f>IF(D49="","",COUNTA($D$40:D49))</f>
        <v/>
      </c>
      <c r="B49" s="52" t="n"/>
      <c r="C49" s="65" t="inlineStr">
        <is>
          <t>마케팅2팀</t>
        </is>
      </c>
      <c r="D49" s="52" t="n"/>
      <c r="E49" s="54" t="n"/>
      <c r="F49" s="52" t="n"/>
      <c r="G49" s="55" t="n"/>
      <c r="H49" s="54" t="n"/>
      <c r="I49" s="54" t="n"/>
      <c r="J49" s="54" t="n"/>
      <c r="K49" s="56">
        <f>IF(SUM(U49:AY49)=0,"",SUM(U49:AY49))</f>
        <v/>
      </c>
      <c r="L49" s="57">
        <f>IFERROR(INDEX(U$2:AY$2,MATCH(TRUE,U49:AY49&lt;&gt;"",0)),"")</f>
        <v/>
      </c>
      <c r="M49" s="58">
        <f>IFERROR(LOOKUP(2,1/(U49:AY49&lt;&gt;""),U$2:AY$2),"")</f>
        <v/>
      </c>
      <c r="N49" s="59">
        <f>IF(OR(G49="",M49=""),"",G49-M49)</f>
        <v/>
      </c>
      <c r="O49" s="60" t="n"/>
      <c r="P49" s="61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  <c r="AG49" s="62" t="n"/>
      <c r="AH49" s="62" t="n"/>
      <c r="AI49" s="62" t="n"/>
      <c r="AJ49" s="62" t="n"/>
      <c r="AK49" s="62" t="n"/>
      <c r="AL49" s="62" t="n"/>
      <c r="AM49" s="62" t="n"/>
      <c r="AN49" s="62" t="n"/>
      <c r="AO49" s="62" t="n"/>
      <c r="AP49" s="62" t="n"/>
      <c r="AQ49" s="62" t="n"/>
      <c r="AR49" s="62" t="n"/>
      <c r="AS49" s="62" t="n"/>
      <c r="AT49" s="62" t="n"/>
      <c r="AU49" s="62" t="n"/>
      <c r="AV49" s="62" t="n"/>
      <c r="AW49" s="62" t="n"/>
      <c r="AX49" s="62" t="n"/>
      <c r="AY49" s="62" t="n"/>
    </row>
    <row r="50">
      <c r="A50" s="38">
        <f>IF(D50="","",COUNTA($D$40:D50))</f>
        <v/>
      </c>
      <c r="B50" s="52" t="n"/>
      <c r="C50" s="65" t="inlineStr">
        <is>
          <t>마케팅2팀</t>
        </is>
      </c>
      <c r="D50" s="52" t="n"/>
      <c r="E50" s="54" t="n"/>
      <c r="F50" s="52" t="n"/>
      <c r="G50" s="55" t="n"/>
      <c r="H50" s="54" t="n"/>
      <c r="I50" s="54" t="n"/>
      <c r="J50" s="54" t="n"/>
      <c r="K50" s="56">
        <f>IF(SUM(U50:AY50)=0,"",SUM(U50:AY50))</f>
        <v/>
      </c>
      <c r="L50" s="57">
        <f>IFERROR(INDEX(U$2:AY$2,MATCH(TRUE,U50:AY50&lt;&gt;"",0)),"")</f>
        <v/>
      </c>
      <c r="M50" s="58">
        <f>IFERROR(LOOKUP(2,1/(U50:AY50&lt;&gt;""),U$2:AY$2),"")</f>
        <v/>
      </c>
      <c r="N50" s="59">
        <f>IF(OR(G50="",M50=""),"",G50-M50)</f>
        <v/>
      </c>
      <c r="O50" s="60" t="n"/>
      <c r="P50" s="61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  <c r="AG50" s="62" t="n"/>
      <c r="AH50" s="62" t="n"/>
      <c r="AI50" s="62" t="n"/>
      <c r="AJ50" s="62" t="n"/>
      <c r="AK50" s="62" t="n"/>
      <c r="AL50" s="62" t="n"/>
      <c r="AM50" s="62" t="n"/>
      <c r="AN50" s="62" t="n"/>
      <c r="AO50" s="62" t="n"/>
      <c r="AP50" s="62" t="n"/>
      <c r="AQ50" s="62" t="n"/>
      <c r="AR50" s="62" t="n"/>
      <c r="AS50" s="62" t="n"/>
      <c r="AT50" s="62" t="n"/>
      <c r="AU50" s="62" t="n"/>
      <c r="AV50" s="62" t="n"/>
      <c r="AW50" s="62" t="n"/>
      <c r="AX50" s="62" t="n"/>
      <c r="AY50" s="62" t="n"/>
    </row>
    <row r="51">
      <c r="A51" s="38">
        <f>IF(D51="","",COUNTA($D$40:D51))</f>
        <v/>
      </c>
      <c r="B51" s="52" t="n"/>
      <c r="C51" s="65" t="inlineStr">
        <is>
          <t>마케팅2팀</t>
        </is>
      </c>
      <c r="D51" s="52" t="n"/>
      <c r="E51" s="54" t="n"/>
      <c r="F51" s="52" t="n"/>
      <c r="G51" s="55" t="n"/>
      <c r="H51" s="54" t="n"/>
      <c r="I51" s="54" t="n"/>
      <c r="J51" s="54" t="n"/>
      <c r="K51" s="56">
        <f>IF(SUM(U51:AY51)=0,"",SUM(U51:AY51))</f>
        <v/>
      </c>
      <c r="L51" s="57">
        <f>IFERROR(INDEX(U$2:AY$2,MATCH(TRUE,U51:AY51&lt;&gt;"",0)),"")</f>
        <v/>
      </c>
      <c r="M51" s="58">
        <f>IFERROR(LOOKUP(2,1/(U51:AY51&lt;&gt;""),U$2:AY$2),"")</f>
        <v/>
      </c>
      <c r="N51" s="59">
        <f>IF(OR(G51="",M51=""),"",G51-M51)</f>
        <v/>
      </c>
      <c r="O51" s="60" t="n"/>
      <c r="P51" s="61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  <c r="AG51" s="62" t="n"/>
      <c r="AH51" s="62" t="n"/>
      <c r="AI51" s="62" t="n"/>
      <c r="AJ51" s="62" t="n"/>
      <c r="AK51" s="62" t="n"/>
      <c r="AL51" s="62" t="n"/>
      <c r="AM51" s="62" t="n"/>
      <c r="AN51" s="62" t="n"/>
      <c r="AO51" s="62" t="n"/>
      <c r="AP51" s="62" t="n"/>
      <c r="AQ51" s="62" t="n"/>
      <c r="AR51" s="62" t="n"/>
      <c r="AS51" s="62" t="n"/>
      <c r="AT51" s="62" t="n"/>
      <c r="AU51" s="62" t="n"/>
      <c r="AV51" s="62" t="n"/>
      <c r="AW51" s="62" t="n"/>
      <c r="AX51" s="62" t="n"/>
      <c r="AY51" s="62" t="n"/>
    </row>
    <row r="52">
      <c r="A52" s="38">
        <f>IF(D52="","",COUNTA($D$40:D52))</f>
        <v/>
      </c>
      <c r="B52" s="52" t="n"/>
      <c r="C52" s="65" t="inlineStr">
        <is>
          <t>마케팅2팀</t>
        </is>
      </c>
      <c r="D52" s="52" t="n"/>
      <c r="E52" s="54" t="n"/>
      <c r="F52" s="52" t="n"/>
      <c r="G52" s="55" t="n"/>
      <c r="H52" s="54" t="n"/>
      <c r="I52" s="54" t="n"/>
      <c r="J52" s="54" t="n"/>
      <c r="K52" s="56">
        <f>IF(SUM(U52:AY52)=0,"",SUM(U52:AY52))</f>
        <v/>
      </c>
      <c r="L52" s="57">
        <f>IFERROR(INDEX(U$2:AY$2,MATCH(TRUE,U52:AY52&lt;&gt;"",0)),"")</f>
        <v/>
      </c>
      <c r="M52" s="58">
        <f>IFERROR(LOOKUP(2,1/(U52:AY52&lt;&gt;""),U$2:AY$2),"")</f>
        <v/>
      </c>
      <c r="N52" s="59">
        <f>IF(OR(G52="",M52=""),"",G52-M52)</f>
        <v/>
      </c>
      <c r="O52" s="60" t="n"/>
      <c r="P52" s="61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  <c r="AG52" s="62" t="n"/>
      <c r="AH52" s="62" t="n"/>
      <c r="AI52" s="62" t="n"/>
      <c r="AJ52" s="62" t="n"/>
      <c r="AK52" s="62" t="n"/>
      <c r="AL52" s="62" t="n"/>
      <c r="AM52" s="62" t="n"/>
      <c r="AN52" s="62" t="n"/>
      <c r="AO52" s="62" t="n"/>
      <c r="AP52" s="62" t="n"/>
      <c r="AQ52" s="62" t="n"/>
      <c r="AR52" s="62" t="n"/>
      <c r="AS52" s="62" t="n"/>
      <c r="AT52" s="62" t="n"/>
      <c r="AU52" s="62" t="n"/>
      <c r="AV52" s="62" t="n"/>
      <c r="AW52" s="62" t="n"/>
      <c r="AX52" s="62" t="n"/>
      <c r="AY52" s="62" t="n"/>
    </row>
    <row r="53">
      <c r="A53" s="38">
        <f>IF(D53="","",COUNTA($D$40:D53))</f>
        <v/>
      </c>
      <c r="B53" s="52" t="n"/>
      <c r="C53" s="65" t="inlineStr">
        <is>
          <t>마케팅2팀</t>
        </is>
      </c>
      <c r="D53" s="52" t="n"/>
      <c r="E53" s="54" t="n"/>
      <c r="F53" s="52" t="n"/>
      <c r="G53" s="55" t="n"/>
      <c r="H53" s="54" t="n"/>
      <c r="I53" s="54" t="n"/>
      <c r="J53" s="54" t="n"/>
      <c r="K53" s="56">
        <f>IF(SUM(U53:AY53)=0,"",SUM(U53:AY53))</f>
        <v/>
      </c>
      <c r="L53" s="57">
        <f>IFERROR(INDEX(U$2:AY$2,MATCH(TRUE,U53:AY53&lt;&gt;"",0)),"")</f>
        <v/>
      </c>
      <c r="M53" s="58">
        <f>IFERROR(LOOKUP(2,1/(U53:AY53&lt;&gt;""),U$2:AY$2),"")</f>
        <v/>
      </c>
      <c r="N53" s="59">
        <f>IF(OR(G53="",M53=""),"",G53-M53)</f>
        <v/>
      </c>
      <c r="O53" s="60" t="n"/>
      <c r="P53" s="61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  <c r="AG53" s="62" t="n"/>
      <c r="AH53" s="62" t="n"/>
      <c r="AI53" s="62" t="n"/>
      <c r="AJ53" s="62" t="n"/>
      <c r="AK53" s="62" t="n"/>
      <c r="AL53" s="62" t="n"/>
      <c r="AM53" s="62" t="n"/>
      <c r="AN53" s="62" t="n"/>
      <c r="AO53" s="62" t="n"/>
      <c r="AP53" s="62" t="n"/>
      <c r="AQ53" s="62" t="n"/>
      <c r="AR53" s="62" t="n"/>
      <c r="AS53" s="62" t="n"/>
      <c r="AT53" s="62" t="n"/>
      <c r="AU53" s="62" t="n"/>
      <c r="AV53" s="62" t="n"/>
      <c r="AW53" s="62" t="n"/>
      <c r="AX53" s="62" t="n"/>
      <c r="AY53" s="62" t="n"/>
    </row>
    <row r="54">
      <c r="A54" s="38">
        <f>IF(D54="","",COUNTA($D$40:D54))</f>
        <v/>
      </c>
      <c r="B54" s="52" t="n"/>
      <c r="C54" s="65" t="inlineStr">
        <is>
          <t>마케팅2팀</t>
        </is>
      </c>
      <c r="D54" s="52" t="n"/>
      <c r="E54" s="54" t="n"/>
      <c r="F54" s="52" t="n"/>
      <c r="G54" s="55" t="n"/>
      <c r="H54" s="54" t="n"/>
      <c r="I54" s="54" t="n"/>
      <c r="J54" s="54" t="n"/>
      <c r="K54" s="56">
        <f>IF(SUM(U54:AY54)=0,"",SUM(U54:AY54))</f>
        <v/>
      </c>
      <c r="L54" s="57">
        <f>IFERROR(INDEX(U$2:AY$2,MATCH(TRUE,U54:AY54&lt;&gt;"",0)),"")</f>
        <v/>
      </c>
      <c r="M54" s="58">
        <f>IFERROR(LOOKUP(2,1/(U54:AY54&lt;&gt;""),U$2:AY$2),"")</f>
        <v/>
      </c>
      <c r="N54" s="59">
        <f>IF(OR(G54="",M54=""),"",G54-M54)</f>
        <v/>
      </c>
      <c r="O54" s="60" t="n"/>
      <c r="P54" s="61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  <c r="AG54" s="62" t="n"/>
      <c r="AH54" s="62" t="n"/>
      <c r="AI54" s="62" t="n"/>
      <c r="AJ54" s="62" t="n"/>
      <c r="AK54" s="62" t="n"/>
      <c r="AL54" s="62" t="n"/>
      <c r="AM54" s="62" t="n"/>
      <c r="AN54" s="62" t="n"/>
      <c r="AO54" s="62" t="n"/>
      <c r="AP54" s="62" t="n"/>
      <c r="AQ54" s="62" t="n"/>
      <c r="AR54" s="62" t="n"/>
      <c r="AS54" s="62" t="n"/>
      <c r="AT54" s="62" t="n"/>
      <c r="AU54" s="62" t="n"/>
      <c r="AV54" s="62" t="n"/>
      <c r="AW54" s="62" t="n"/>
      <c r="AX54" s="62" t="n"/>
      <c r="AY54" s="62" t="n"/>
    </row>
    <row r="55">
      <c r="A55" s="38">
        <f>IF(D55="","",COUNTA($D$40:D55))</f>
        <v/>
      </c>
      <c r="B55" s="52" t="n"/>
      <c r="C55" s="65" t="inlineStr">
        <is>
          <t>마케팅2팀</t>
        </is>
      </c>
      <c r="D55" s="52" t="n"/>
      <c r="E55" s="54" t="n"/>
      <c r="F55" s="52" t="n"/>
      <c r="G55" s="55" t="n"/>
      <c r="H55" s="54" t="n"/>
      <c r="I55" s="54" t="n"/>
      <c r="J55" s="54" t="n"/>
      <c r="K55" s="56">
        <f>IF(SUM(U55:AY55)=0,"",SUM(U55:AY55))</f>
        <v/>
      </c>
      <c r="L55" s="57">
        <f>IFERROR(INDEX(U$2:AY$2,MATCH(TRUE,U55:AY55&lt;&gt;"",0)),"")</f>
        <v/>
      </c>
      <c r="M55" s="58">
        <f>IFERROR(LOOKUP(2,1/(U55:AY55&lt;&gt;""),U$2:AY$2),"")</f>
        <v/>
      </c>
      <c r="N55" s="59">
        <f>IF(OR(G55="",M55=""),"",G55-M55)</f>
        <v/>
      </c>
      <c r="O55" s="60" t="n"/>
      <c r="P55" s="61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  <c r="AG55" s="62" t="n"/>
      <c r="AH55" s="62" t="n"/>
      <c r="AI55" s="62" t="n"/>
      <c r="AJ55" s="62" t="n"/>
      <c r="AK55" s="62" t="n"/>
      <c r="AL55" s="62" t="n"/>
      <c r="AM55" s="62" t="n"/>
      <c r="AN55" s="62" t="n"/>
      <c r="AO55" s="62" t="n"/>
      <c r="AP55" s="62" t="n"/>
      <c r="AQ55" s="62" t="n"/>
      <c r="AR55" s="62" t="n"/>
      <c r="AS55" s="62" t="n"/>
      <c r="AT55" s="62" t="n"/>
      <c r="AU55" s="62" t="n"/>
      <c r="AV55" s="62" t="n"/>
      <c r="AW55" s="62" t="n"/>
      <c r="AX55" s="62" t="n"/>
      <c r="AY55" s="62" t="n"/>
    </row>
    <row r="56">
      <c r="A56" s="38">
        <f>IF(D56="","",COUNTA($D$40:D56))</f>
        <v/>
      </c>
      <c r="B56" s="52" t="n"/>
      <c r="C56" s="65" t="inlineStr">
        <is>
          <t>마케팅2팀</t>
        </is>
      </c>
      <c r="D56" s="52" t="n"/>
      <c r="E56" s="54" t="n"/>
      <c r="F56" s="52" t="n"/>
      <c r="G56" s="55" t="n"/>
      <c r="H56" s="54" t="n"/>
      <c r="I56" s="54" t="n"/>
      <c r="J56" s="54" t="n"/>
      <c r="K56" s="56">
        <f>IF(SUM(U56:AY56)=0,"",SUM(U56:AY56))</f>
        <v/>
      </c>
      <c r="L56" s="57">
        <f>IFERROR(INDEX(U$2:AY$2,MATCH(TRUE,U56:AY56&lt;&gt;"",0)),"")</f>
        <v/>
      </c>
      <c r="M56" s="58">
        <f>IFERROR(LOOKUP(2,1/(U56:AY56&lt;&gt;""),U$2:AY$2),"")</f>
        <v/>
      </c>
      <c r="N56" s="59">
        <f>IF(OR(G56="",M56=""),"",G56-M56)</f>
        <v/>
      </c>
      <c r="O56" s="60" t="n"/>
      <c r="P56" s="61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  <c r="AG56" s="62" t="n"/>
      <c r="AH56" s="62" t="n"/>
      <c r="AI56" s="62" t="n"/>
      <c r="AJ56" s="62" t="n"/>
      <c r="AK56" s="62" t="n"/>
      <c r="AL56" s="62" t="n"/>
      <c r="AM56" s="62" t="n"/>
      <c r="AN56" s="62" t="n"/>
      <c r="AO56" s="62" t="n"/>
      <c r="AP56" s="62" t="n"/>
      <c r="AQ56" s="62" t="n"/>
      <c r="AR56" s="62" t="n"/>
      <c r="AS56" s="62" t="n"/>
      <c r="AT56" s="62" t="n"/>
      <c r="AU56" s="62" t="n"/>
      <c r="AV56" s="62" t="n"/>
      <c r="AW56" s="62" t="n"/>
      <c r="AX56" s="62" t="n"/>
      <c r="AY56" s="62" t="n"/>
    </row>
    <row r="57">
      <c r="A57" s="38">
        <f>IF(D57="","",COUNTA($D$40:D57))</f>
        <v/>
      </c>
      <c r="B57" s="52" t="n"/>
      <c r="C57" s="65" t="inlineStr">
        <is>
          <t>마케팅2팀</t>
        </is>
      </c>
      <c r="D57" s="52" t="n"/>
      <c r="E57" s="54" t="n"/>
      <c r="F57" s="52" t="n"/>
      <c r="G57" s="55" t="n"/>
      <c r="H57" s="54" t="n"/>
      <c r="I57" s="54" t="n"/>
      <c r="J57" s="54" t="n"/>
      <c r="K57" s="56">
        <f>IF(SUM(U57:AY57)=0,"",SUM(U57:AY57))</f>
        <v/>
      </c>
      <c r="L57" s="57">
        <f>IFERROR(INDEX(U$2:AY$2,MATCH(TRUE,U57:AY57&lt;&gt;"",0)),"")</f>
        <v/>
      </c>
      <c r="M57" s="58">
        <f>IFERROR(LOOKUP(2,1/(U57:AY57&lt;&gt;""),U$2:AY$2),"")</f>
        <v/>
      </c>
      <c r="N57" s="59">
        <f>IF(OR(G57="",M57=""),"",G57-M57)</f>
        <v/>
      </c>
      <c r="O57" s="60" t="n"/>
      <c r="P57" s="61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  <c r="AG57" s="62" t="n"/>
      <c r="AH57" s="62" t="n"/>
      <c r="AI57" s="62" t="n"/>
      <c r="AJ57" s="62" t="n"/>
      <c r="AK57" s="62" t="n"/>
      <c r="AL57" s="62" t="n"/>
      <c r="AM57" s="62" t="n"/>
      <c r="AN57" s="62" t="n"/>
      <c r="AO57" s="62" t="n"/>
      <c r="AP57" s="62" t="n"/>
      <c r="AQ57" s="62" t="n"/>
      <c r="AR57" s="62" t="n"/>
      <c r="AS57" s="62" t="n"/>
      <c r="AT57" s="62" t="n"/>
      <c r="AU57" s="62" t="n"/>
      <c r="AV57" s="62" t="n"/>
      <c r="AW57" s="62" t="n"/>
      <c r="AX57" s="62" t="n"/>
      <c r="AY57" s="62" t="n"/>
    </row>
    <row r="58">
      <c r="A58" s="38">
        <f>IF(D58="","",COUNTA($D$40:D58))</f>
        <v/>
      </c>
      <c r="B58" s="52" t="n"/>
      <c r="C58" s="65" t="inlineStr">
        <is>
          <t>마케팅2팀</t>
        </is>
      </c>
      <c r="D58" s="52" t="n"/>
      <c r="E58" s="54" t="n"/>
      <c r="F58" s="52" t="n"/>
      <c r="G58" s="55" t="n"/>
      <c r="H58" s="54" t="n"/>
      <c r="I58" s="54" t="n"/>
      <c r="J58" s="54" t="n"/>
      <c r="K58" s="56">
        <f>IF(SUM(U58:AY58)=0,"",SUM(U58:AY58))</f>
        <v/>
      </c>
      <c r="L58" s="57">
        <f>IFERROR(INDEX(U$2:AY$2,MATCH(TRUE,U58:AY58&lt;&gt;"",0)),"")</f>
        <v/>
      </c>
      <c r="M58" s="58">
        <f>IFERROR(LOOKUP(2,1/(U58:AY58&lt;&gt;""),U$2:AY$2),"")</f>
        <v/>
      </c>
      <c r="N58" s="59">
        <f>IF(OR(G58="",M58=""),"",G58-M58)</f>
        <v/>
      </c>
      <c r="O58" s="60" t="n"/>
      <c r="P58" s="61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  <c r="AG58" s="62" t="n"/>
      <c r="AH58" s="62" t="n"/>
      <c r="AI58" s="62" t="n"/>
      <c r="AJ58" s="62" t="n"/>
      <c r="AK58" s="62" t="n"/>
      <c r="AL58" s="62" t="n"/>
      <c r="AM58" s="62" t="n"/>
      <c r="AN58" s="62" t="n"/>
      <c r="AO58" s="62" t="n"/>
      <c r="AP58" s="62" t="n"/>
      <c r="AQ58" s="62" t="n"/>
      <c r="AR58" s="62" t="n"/>
      <c r="AS58" s="62" t="n"/>
      <c r="AT58" s="62" t="n"/>
      <c r="AU58" s="62" t="n"/>
      <c r="AV58" s="62" t="n"/>
      <c r="AW58" s="62" t="n"/>
      <c r="AX58" s="62" t="n"/>
      <c r="AY58" s="62" t="n"/>
    </row>
    <row r="59">
      <c r="A59" s="38">
        <f>IF(D59="","",COUNTA($D$40:D59))</f>
        <v/>
      </c>
      <c r="B59" s="52" t="n"/>
      <c r="C59" s="65" t="inlineStr">
        <is>
          <t>마케팅2팀</t>
        </is>
      </c>
      <c r="D59" s="52" t="n"/>
      <c r="E59" s="54" t="n"/>
      <c r="F59" s="52" t="n"/>
      <c r="G59" s="55" t="n"/>
      <c r="H59" s="54" t="n"/>
      <c r="I59" s="54" t="n"/>
      <c r="J59" s="54" t="n"/>
      <c r="K59" s="56">
        <f>IF(SUM(U59:AY59)=0,"",SUM(U59:AY59))</f>
        <v/>
      </c>
      <c r="L59" s="57">
        <f>IFERROR(INDEX(U$2:AY$2,MATCH(TRUE,U59:AY59&lt;&gt;"",0)),"")</f>
        <v/>
      </c>
      <c r="M59" s="58">
        <f>IFERROR(LOOKUP(2,1/(U59:AY59&lt;&gt;""),U$2:AY$2),"")</f>
        <v/>
      </c>
      <c r="N59" s="59">
        <f>IF(OR(G59="",M59=""),"",G59-M59)</f>
        <v/>
      </c>
      <c r="O59" s="60" t="n"/>
      <c r="P59" s="61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  <c r="AG59" s="62" t="n"/>
      <c r="AH59" s="62" t="n"/>
      <c r="AI59" s="62" t="n"/>
      <c r="AJ59" s="62" t="n"/>
      <c r="AK59" s="62" t="n"/>
      <c r="AL59" s="62" t="n"/>
      <c r="AM59" s="62" t="n"/>
      <c r="AN59" s="62" t="n"/>
      <c r="AO59" s="62" t="n"/>
      <c r="AP59" s="62" t="n"/>
      <c r="AQ59" s="62" t="n"/>
      <c r="AR59" s="62" t="n"/>
      <c r="AS59" s="62" t="n"/>
      <c r="AT59" s="62" t="n"/>
      <c r="AU59" s="62" t="n"/>
      <c r="AV59" s="62" t="n"/>
      <c r="AW59" s="62" t="n"/>
      <c r="AX59" s="62" t="n"/>
      <c r="AY59" s="62" t="n"/>
    </row>
    <row r="60">
      <c r="A60" s="38">
        <f>IF(D60="","",COUNTA($D$40:D60))</f>
        <v/>
      </c>
      <c r="B60" s="52" t="n"/>
      <c r="C60" s="65" t="inlineStr">
        <is>
          <t>마케팅2팀</t>
        </is>
      </c>
      <c r="D60" s="52" t="n"/>
      <c r="E60" s="54" t="n"/>
      <c r="F60" s="52" t="n"/>
      <c r="G60" s="55" t="n"/>
      <c r="H60" s="54" t="n"/>
      <c r="I60" s="54" t="n"/>
      <c r="J60" s="54" t="n"/>
      <c r="K60" s="56">
        <f>IF(SUM(U60:AY60)=0,"",SUM(U60:AY60))</f>
        <v/>
      </c>
      <c r="L60" s="57">
        <f>IFERROR(INDEX(U$2:AY$2,MATCH(TRUE,U60:AY60&lt;&gt;"",0)),"")</f>
        <v/>
      </c>
      <c r="M60" s="58">
        <f>IFERROR(LOOKUP(2,1/(U60:AY60&lt;&gt;""),U$2:AY$2),"")</f>
        <v/>
      </c>
      <c r="N60" s="59">
        <f>IF(OR(G60="",M60=""),"",G60-M60)</f>
        <v/>
      </c>
      <c r="O60" s="60" t="n"/>
      <c r="P60" s="61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  <c r="AG60" s="62" t="n"/>
      <c r="AH60" s="62" t="n"/>
      <c r="AI60" s="62" t="n"/>
      <c r="AJ60" s="62" t="n"/>
      <c r="AK60" s="62" t="n"/>
      <c r="AL60" s="62" t="n"/>
      <c r="AM60" s="62" t="n"/>
      <c r="AN60" s="62" t="n"/>
      <c r="AO60" s="62" t="n"/>
      <c r="AP60" s="62" t="n"/>
      <c r="AQ60" s="62" t="n"/>
      <c r="AR60" s="62" t="n"/>
      <c r="AS60" s="62" t="n"/>
      <c r="AT60" s="62" t="n"/>
      <c r="AU60" s="62" t="n"/>
      <c r="AV60" s="62" t="n"/>
      <c r="AW60" s="62" t="n"/>
      <c r="AX60" s="62" t="n"/>
      <c r="AY60" s="62" t="n"/>
    </row>
    <row r="61">
      <c r="A61" s="38">
        <f>IF(D61="","",COUNTA($D$40:D61))</f>
        <v/>
      </c>
      <c r="B61" s="52" t="n"/>
      <c r="C61" s="65" t="inlineStr">
        <is>
          <t>마케팅2팀</t>
        </is>
      </c>
      <c r="D61" s="52" t="n"/>
      <c r="E61" s="54" t="n"/>
      <c r="F61" s="52" t="n"/>
      <c r="G61" s="55" t="n"/>
      <c r="H61" s="54" t="n"/>
      <c r="I61" s="54" t="n"/>
      <c r="J61" s="54" t="n"/>
      <c r="K61" s="56">
        <f>IF(SUM(U61:AY61)=0,"",SUM(U61:AY61))</f>
        <v/>
      </c>
      <c r="L61" s="57">
        <f>IFERROR(INDEX(U$2:AY$2,MATCH(TRUE,U61:AY61&lt;&gt;"",0)),"")</f>
        <v/>
      </c>
      <c r="M61" s="58">
        <f>IFERROR(LOOKUP(2,1/(U61:AY61&lt;&gt;""),U$2:AY$2),"")</f>
        <v/>
      </c>
      <c r="N61" s="59">
        <f>IF(OR(G61="",M61=""),"",G61-M61)</f>
        <v/>
      </c>
      <c r="O61" s="60" t="n"/>
      <c r="P61" s="61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  <c r="AG61" s="62" t="n"/>
      <c r="AH61" s="62" t="n"/>
      <c r="AI61" s="62" t="n"/>
      <c r="AJ61" s="62" t="n"/>
      <c r="AK61" s="62" t="n"/>
      <c r="AL61" s="62" t="n"/>
      <c r="AM61" s="62" t="n"/>
      <c r="AN61" s="62" t="n"/>
      <c r="AO61" s="62" t="n"/>
      <c r="AP61" s="62" t="n"/>
      <c r="AQ61" s="62" t="n"/>
      <c r="AR61" s="62" t="n"/>
      <c r="AS61" s="62" t="n"/>
      <c r="AT61" s="62" t="n"/>
      <c r="AU61" s="62" t="n"/>
      <c r="AV61" s="62" t="n"/>
      <c r="AW61" s="62" t="n"/>
      <c r="AX61" s="62" t="n"/>
      <c r="AY61" s="62" t="n"/>
    </row>
    <row r="62">
      <c r="A62" s="38">
        <f>IF(D62="","",COUNTA($D$40:D62))</f>
        <v/>
      </c>
      <c r="B62" s="52" t="n"/>
      <c r="C62" s="65" t="inlineStr">
        <is>
          <t>마케팅2팀</t>
        </is>
      </c>
      <c r="D62" s="52" t="n"/>
      <c r="E62" s="54" t="n"/>
      <c r="F62" s="52" t="n"/>
      <c r="G62" s="55" t="n"/>
      <c r="H62" s="54" t="n"/>
      <c r="I62" s="54" t="n"/>
      <c r="J62" s="54" t="n"/>
      <c r="K62" s="56">
        <f>IF(SUM(U62:AY62)=0,"",SUM(U62:AY62))</f>
        <v/>
      </c>
      <c r="L62" s="57">
        <f>IFERROR(INDEX(U$2:AY$2,MATCH(TRUE,U62:AY62&lt;&gt;"",0)),"")</f>
        <v/>
      </c>
      <c r="M62" s="58">
        <f>IFERROR(LOOKUP(2,1/(U62:AY62&lt;&gt;""),U$2:AY$2),"")</f>
        <v/>
      </c>
      <c r="N62" s="59">
        <f>IF(OR(G62="",M62=""),"",G62-M62)</f>
        <v/>
      </c>
      <c r="O62" s="60" t="n"/>
      <c r="P62" s="61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  <c r="AG62" s="62" t="n"/>
      <c r="AH62" s="62" t="n"/>
      <c r="AI62" s="62" t="n"/>
      <c r="AJ62" s="62" t="n"/>
      <c r="AK62" s="62" t="n"/>
      <c r="AL62" s="62" t="n"/>
      <c r="AM62" s="62" t="n"/>
      <c r="AN62" s="62" t="n"/>
      <c r="AO62" s="62" t="n"/>
      <c r="AP62" s="62" t="n"/>
      <c r="AQ62" s="62" t="n"/>
      <c r="AR62" s="62" t="n"/>
      <c r="AS62" s="62" t="n"/>
      <c r="AT62" s="62" t="n"/>
      <c r="AU62" s="62" t="n"/>
      <c r="AV62" s="62" t="n"/>
      <c r="AW62" s="62" t="n"/>
      <c r="AX62" s="62" t="n"/>
      <c r="AY62" s="62" t="n"/>
    </row>
    <row r="63">
      <c r="A63" s="38">
        <f>IF(D63="","",COUNTA($D$40:D63))</f>
        <v/>
      </c>
      <c r="B63" s="52" t="n"/>
      <c r="C63" s="65" t="inlineStr">
        <is>
          <t>마케팅2팀</t>
        </is>
      </c>
      <c r="D63" s="52" t="n"/>
      <c r="E63" s="54" t="n"/>
      <c r="F63" s="52" t="n"/>
      <c r="G63" s="55" t="n"/>
      <c r="H63" s="54" t="n"/>
      <c r="I63" s="54" t="n"/>
      <c r="J63" s="54" t="n"/>
      <c r="K63" s="56">
        <f>IF(SUM(U63:AY63)=0,"",SUM(U63:AY63))</f>
        <v/>
      </c>
      <c r="L63" s="57">
        <f>IFERROR(INDEX(U$2:AY$2,MATCH(TRUE,U63:AY63&lt;&gt;"",0)),"")</f>
        <v/>
      </c>
      <c r="M63" s="58">
        <f>IFERROR(LOOKUP(2,1/(U63:AY63&lt;&gt;""),U$2:AY$2),"")</f>
        <v/>
      </c>
      <c r="N63" s="59">
        <f>IF(OR(G63="",M63=""),"",G63-M63)</f>
        <v/>
      </c>
      <c r="O63" s="60" t="n"/>
      <c r="P63" s="61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  <c r="AG63" s="62" t="n"/>
      <c r="AH63" s="62" t="n"/>
      <c r="AI63" s="62" t="n"/>
      <c r="AJ63" s="62" t="n"/>
      <c r="AK63" s="62" t="n"/>
      <c r="AL63" s="62" t="n"/>
      <c r="AM63" s="62" t="n"/>
      <c r="AN63" s="62" t="n"/>
      <c r="AO63" s="62" t="n"/>
      <c r="AP63" s="62" t="n"/>
      <c r="AQ63" s="62" t="n"/>
      <c r="AR63" s="62" t="n"/>
      <c r="AS63" s="62" t="n"/>
      <c r="AT63" s="62" t="n"/>
      <c r="AU63" s="62" t="n"/>
      <c r="AV63" s="62" t="n"/>
      <c r="AW63" s="62" t="n"/>
      <c r="AX63" s="62" t="n"/>
      <c r="AY63" s="62" t="n"/>
    </row>
    <row r="64">
      <c r="A64" s="38">
        <f>IF(D64="","",COUNTA($D$40:D64))</f>
        <v/>
      </c>
      <c r="B64" s="52" t="n"/>
      <c r="C64" s="65" t="inlineStr">
        <is>
          <t>마케팅2팀</t>
        </is>
      </c>
      <c r="D64" s="52" t="n"/>
      <c r="E64" s="54" t="n"/>
      <c r="F64" s="52" t="n"/>
      <c r="G64" s="55" t="n"/>
      <c r="H64" s="54" t="n"/>
      <c r="I64" s="54" t="n"/>
      <c r="J64" s="54" t="n"/>
      <c r="K64" s="56">
        <f>IF(SUM(U64:AY64)=0,"",SUM(U64:AY64))</f>
        <v/>
      </c>
      <c r="L64" s="57">
        <f>IFERROR(INDEX(U$2:AY$2,MATCH(TRUE,U64:AY64&lt;&gt;"",0)),"")</f>
        <v/>
      </c>
      <c r="M64" s="58">
        <f>IFERROR(LOOKUP(2,1/(U64:AY64&lt;&gt;""),U$2:AY$2),"")</f>
        <v/>
      </c>
      <c r="N64" s="59">
        <f>IF(OR(G64="",M64=""),"",G64-M64)</f>
        <v/>
      </c>
      <c r="O64" s="60" t="n"/>
      <c r="P64" s="61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  <c r="AG64" s="62" t="n"/>
      <c r="AH64" s="62" t="n"/>
      <c r="AI64" s="62" t="n"/>
      <c r="AJ64" s="62" t="n"/>
      <c r="AK64" s="62" t="n"/>
      <c r="AL64" s="62" t="n"/>
      <c r="AM64" s="62" t="n"/>
      <c r="AN64" s="62" t="n"/>
      <c r="AO64" s="62" t="n"/>
      <c r="AP64" s="62" t="n"/>
      <c r="AQ64" s="62" t="n"/>
      <c r="AR64" s="62" t="n"/>
      <c r="AS64" s="62" t="n"/>
      <c r="AT64" s="62" t="n"/>
      <c r="AU64" s="62" t="n"/>
      <c r="AV64" s="62" t="n"/>
      <c r="AW64" s="62" t="n"/>
      <c r="AX64" s="62" t="n"/>
      <c r="AY64" s="62" t="n"/>
    </row>
    <row r="65">
      <c r="A65" s="38">
        <f>IF(D65="","",COUNTA($D$40:D65))</f>
        <v/>
      </c>
      <c r="B65" s="52" t="n"/>
      <c r="C65" s="65" t="inlineStr">
        <is>
          <t>마케팅2팀</t>
        </is>
      </c>
      <c r="D65" s="52" t="n"/>
      <c r="E65" s="54" t="n"/>
      <c r="F65" s="52" t="n"/>
      <c r="G65" s="55" t="n"/>
      <c r="H65" s="54" t="n"/>
      <c r="I65" s="54" t="n"/>
      <c r="J65" s="54" t="n"/>
      <c r="K65" s="56">
        <f>IF(SUM(U65:AY65)=0,"",SUM(U65:AY65))</f>
        <v/>
      </c>
      <c r="L65" s="57">
        <f>IFERROR(INDEX(U$2:AY$2,MATCH(TRUE,U65:AY65&lt;&gt;"",0)),"")</f>
        <v/>
      </c>
      <c r="M65" s="58">
        <f>IFERROR(LOOKUP(2,1/(U65:AY65&lt;&gt;""),U$2:AY$2),"")</f>
        <v/>
      </c>
      <c r="N65" s="59">
        <f>IF(OR(G65="",M65=""),"",G65-M65)</f>
        <v/>
      </c>
      <c r="O65" s="60" t="n"/>
      <c r="P65" s="61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  <c r="AG65" s="62" t="n"/>
      <c r="AH65" s="62" t="n"/>
      <c r="AI65" s="62" t="n"/>
      <c r="AJ65" s="62" t="n"/>
      <c r="AK65" s="62" t="n"/>
      <c r="AL65" s="62" t="n"/>
      <c r="AM65" s="62" t="n"/>
      <c r="AN65" s="62" t="n"/>
      <c r="AO65" s="62" t="n"/>
      <c r="AP65" s="62" t="n"/>
      <c r="AQ65" s="62" t="n"/>
      <c r="AR65" s="62" t="n"/>
      <c r="AS65" s="62" t="n"/>
      <c r="AT65" s="62" t="n"/>
      <c r="AU65" s="62" t="n"/>
      <c r="AV65" s="62" t="n"/>
      <c r="AW65" s="62" t="n"/>
      <c r="AX65" s="62" t="n"/>
      <c r="AY65" s="62" t="n"/>
    </row>
    <row r="66">
      <c r="A66" s="38">
        <f>IF(D66="","",COUNTA($D$40:D66))</f>
        <v/>
      </c>
      <c r="B66" s="52" t="n"/>
      <c r="C66" s="65" t="inlineStr">
        <is>
          <t>마케팅2팀</t>
        </is>
      </c>
      <c r="D66" s="52" t="n"/>
      <c r="E66" s="54" t="n"/>
      <c r="F66" s="52" t="n"/>
      <c r="G66" s="55" t="n"/>
      <c r="H66" s="54" t="n"/>
      <c r="I66" s="54" t="n"/>
      <c r="J66" s="54" t="n"/>
      <c r="K66" s="56">
        <f>IF(SUM(U66:AY66)=0,"",SUM(U66:AY66))</f>
        <v/>
      </c>
      <c r="L66" s="57">
        <f>IFERROR(INDEX(U$2:AY$2,MATCH(TRUE,U66:AY66&lt;&gt;"",0)),"")</f>
        <v/>
      </c>
      <c r="M66" s="58">
        <f>IFERROR(LOOKUP(2,1/(U66:AY66&lt;&gt;""),U$2:AY$2),"")</f>
        <v/>
      </c>
      <c r="N66" s="59">
        <f>IF(OR(G66="",M66=""),"",G66-M66)</f>
        <v/>
      </c>
      <c r="O66" s="60" t="n"/>
      <c r="P66" s="61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  <c r="AG66" s="62" t="n"/>
      <c r="AH66" s="62" t="n"/>
      <c r="AI66" s="62" t="n"/>
      <c r="AJ66" s="62" t="n"/>
      <c r="AK66" s="62" t="n"/>
      <c r="AL66" s="62" t="n"/>
      <c r="AM66" s="62" t="n"/>
      <c r="AN66" s="62" t="n"/>
      <c r="AO66" s="62" t="n"/>
      <c r="AP66" s="62" t="n"/>
      <c r="AQ66" s="62" t="n"/>
      <c r="AR66" s="62" t="n"/>
      <c r="AS66" s="62" t="n"/>
      <c r="AT66" s="62" t="n"/>
      <c r="AU66" s="62" t="n"/>
      <c r="AV66" s="62" t="n"/>
      <c r="AW66" s="62" t="n"/>
      <c r="AX66" s="62" t="n"/>
      <c r="AY66" s="62" t="n"/>
    </row>
    <row r="67">
      <c r="A67" s="38">
        <f>IF(D67="","",COUNTA($D$40:D67))</f>
        <v/>
      </c>
      <c r="B67" s="52" t="n"/>
      <c r="C67" s="65" t="inlineStr">
        <is>
          <t>마케팅2팀</t>
        </is>
      </c>
      <c r="D67" s="52" t="n"/>
      <c r="E67" s="54" t="n"/>
      <c r="F67" s="52" t="n"/>
      <c r="G67" s="55" t="n"/>
      <c r="H67" s="54" t="n"/>
      <c r="I67" s="54" t="n"/>
      <c r="J67" s="54" t="n"/>
      <c r="K67" s="56">
        <f>IF(SUM(U67:AY67)=0,"",SUM(U67:AY67))</f>
        <v/>
      </c>
      <c r="L67" s="57">
        <f>IFERROR(INDEX(U$2:AY$2,MATCH(TRUE,U67:AY67&lt;&gt;"",0)),"")</f>
        <v/>
      </c>
      <c r="M67" s="58">
        <f>IFERROR(LOOKUP(2,1/(U67:AY67&lt;&gt;""),U$2:AY$2),"")</f>
        <v/>
      </c>
      <c r="N67" s="59">
        <f>IF(OR(G67="",M67=""),"",G67-M67)</f>
        <v/>
      </c>
      <c r="O67" s="60" t="n"/>
      <c r="P67" s="61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  <c r="AG67" s="62" t="n"/>
      <c r="AH67" s="62" t="n"/>
      <c r="AI67" s="62" t="n"/>
      <c r="AJ67" s="62" t="n"/>
      <c r="AK67" s="62" t="n"/>
      <c r="AL67" s="62" t="n"/>
      <c r="AM67" s="62" t="n"/>
      <c r="AN67" s="62" t="n"/>
      <c r="AO67" s="62" t="n"/>
      <c r="AP67" s="62" t="n"/>
      <c r="AQ67" s="62" t="n"/>
      <c r="AR67" s="62" t="n"/>
      <c r="AS67" s="62" t="n"/>
      <c r="AT67" s="62" t="n"/>
      <c r="AU67" s="62" t="n"/>
      <c r="AV67" s="62" t="n"/>
      <c r="AW67" s="62" t="n"/>
      <c r="AX67" s="62" t="n"/>
      <c r="AY67" s="62" t="n"/>
    </row>
    <row r="68">
      <c r="A68" s="38">
        <f>IF(D68="","",COUNTA($D$40:D68))</f>
        <v/>
      </c>
      <c r="B68" s="52" t="n"/>
      <c r="C68" s="65" t="inlineStr">
        <is>
          <t>마케팅2팀</t>
        </is>
      </c>
      <c r="D68" s="52" t="n"/>
      <c r="E68" s="54" t="n"/>
      <c r="F68" s="52" t="n"/>
      <c r="G68" s="55" t="n"/>
      <c r="H68" s="54" t="n"/>
      <c r="I68" s="54" t="n"/>
      <c r="J68" s="54" t="n"/>
      <c r="K68" s="56">
        <f>IF(SUM(U68:AY68)=0,"",SUM(U68:AY68))</f>
        <v/>
      </c>
      <c r="L68" s="57">
        <f>IFERROR(INDEX(U$2:AY$2,MATCH(TRUE,U68:AY68&lt;&gt;"",0)),"")</f>
        <v/>
      </c>
      <c r="M68" s="58">
        <f>IFERROR(LOOKUP(2,1/(U68:AY68&lt;&gt;""),U$2:AY$2),"")</f>
        <v/>
      </c>
      <c r="N68" s="59">
        <f>IF(OR(G68="",M68=""),"",G68-M68)</f>
        <v/>
      </c>
      <c r="O68" s="60" t="n"/>
      <c r="P68" s="61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  <c r="AG68" s="62" t="n"/>
      <c r="AH68" s="62" t="n"/>
      <c r="AI68" s="62" t="n"/>
      <c r="AJ68" s="62" t="n"/>
      <c r="AK68" s="62" t="n"/>
      <c r="AL68" s="62" t="n"/>
      <c r="AM68" s="62" t="n"/>
      <c r="AN68" s="62" t="n"/>
      <c r="AO68" s="62" t="n"/>
      <c r="AP68" s="62" t="n"/>
      <c r="AQ68" s="62" t="n"/>
      <c r="AR68" s="62" t="n"/>
      <c r="AS68" s="62" t="n"/>
      <c r="AT68" s="62" t="n"/>
      <c r="AU68" s="62" t="n"/>
      <c r="AV68" s="62" t="n"/>
      <c r="AW68" s="62" t="n"/>
      <c r="AX68" s="62" t="n"/>
      <c r="AY68" s="62" t="n"/>
    </row>
    <row r="69">
      <c r="A69" s="38">
        <f>IF(D69="","",COUNTA($D$40:D69))</f>
        <v/>
      </c>
      <c r="B69" s="52" t="n"/>
      <c r="C69" s="65" t="inlineStr">
        <is>
          <t>마케팅2팀</t>
        </is>
      </c>
      <c r="D69" s="52" t="n"/>
      <c r="E69" s="54" t="n"/>
      <c r="F69" s="52" t="n"/>
      <c r="G69" s="55" t="n"/>
      <c r="H69" s="54" t="n"/>
      <c r="I69" s="54" t="n"/>
      <c r="J69" s="54" t="n"/>
      <c r="K69" s="56">
        <f>IF(SUM(U69:AY69)=0,"",SUM(U69:AY69))</f>
        <v/>
      </c>
      <c r="L69" s="57">
        <f>IFERROR(INDEX(U$2:AY$2,MATCH(TRUE,U69:AY69&lt;&gt;"",0)),"")</f>
        <v/>
      </c>
      <c r="M69" s="58">
        <f>IFERROR(LOOKUP(2,1/(U69:AY69&lt;&gt;""),U$2:AY$2),"")</f>
        <v/>
      </c>
      <c r="N69" s="59">
        <f>IF(OR(G69="",M69=""),"",G69-M69)</f>
        <v/>
      </c>
      <c r="O69" s="60" t="n"/>
      <c r="P69" s="61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  <c r="AG69" s="62" t="n"/>
      <c r="AH69" s="62" t="n"/>
      <c r="AI69" s="62" t="n"/>
      <c r="AJ69" s="62" t="n"/>
      <c r="AK69" s="62" t="n"/>
      <c r="AL69" s="62" t="n"/>
      <c r="AM69" s="62" t="n"/>
      <c r="AN69" s="62" t="n"/>
      <c r="AO69" s="62" t="n"/>
      <c r="AP69" s="62" t="n"/>
      <c r="AQ69" s="62" t="n"/>
      <c r="AR69" s="62" t="n"/>
      <c r="AS69" s="62" t="n"/>
      <c r="AT69" s="62" t="n"/>
      <c r="AU69" s="62" t="n"/>
      <c r="AV69" s="62" t="n"/>
      <c r="AW69" s="62" t="n"/>
      <c r="AX69" s="62" t="n"/>
      <c r="AY69" s="62" t="n"/>
    </row>
    <row r="70">
      <c r="A70" s="66" t="inlineStr">
        <is>
          <t>마케팅3팀  (71~100행)</t>
        </is>
      </c>
      <c r="U70" s="67" t="n"/>
      <c r="V70" s="67" t="n"/>
      <c r="W70" s="67" t="n"/>
      <c r="X70" s="67" t="n"/>
      <c r="Y70" s="67" t="n"/>
      <c r="Z70" s="67" t="n"/>
      <c r="AA70" s="67" t="n"/>
      <c r="AB70" s="67" t="n"/>
      <c r="AC70" s="67" t="n"/>
      <c r="AD70" s="67" t="n"/>
      <c r="AE70" s="67" t="n"/>
      <c r="AF70" s="67" t="n"/>
      <c r="AG70" s="67" t="n"/>
      <c r="AH70" s="67" t="n"/>
      <c r="AI70" s="67" t="n"/>
      <c r="AJ70" s="67" t="n"/>
      <c r="AK70" s="67" t="n"/>
      <c r="AL70" s="67" t="n"/>
      <c r="AM70" s="67" t="n"/>
      <c r="AN70" s="67" t="n"/>
      <c r="AO70" s="67" t="n"/>
      <c r="AP70" s="67" t="n"/>
      <c r="AQ70" s="67" t="n"/>
      <c r="AR70" s="67" t="n"/>
      <c r="AS70" s="67" t="n"/>
      <c r="AT70" s="67" t="n"/>
      <c r="AU70" s="67" t="n"/>
      <c r="AV70" s="67" t="n"/>
      <c r="AW70" s="67" t="n"/>
      <c r="AX70" s="67" t="n"/>
      <c r="AY70" s="67" t="n"/>
    </row>
    <row r="71">
      <c r="A71" s="38">
        <f>IF(D71="","",COUNTA($D$71:D71))</f>
        <v/>
      </c>
      <c r="B71" s="52" t="n"/>
      <c r="C71" s="68" t="inlineStr">
        <is>
          <t>마케팅3팀</t>
        </is>
      </c>
      <c r="D71" s="52" t="n"/>
      <c r="E71" s="54" t="n"/>
      <c r="F71" s="52" t="n"/>
      <c r="G71" s="55" t="n"/>
      <c r="H71" s="54" t="n"/>
      <c r="I71" s="54" t="n"/>
      <c r="J71" s="54" t="n"/>
      <c r="K71" s="56">
        <f>IF(SUM(U71:AY71)=0,"",SUM(U71:AY71))</f>
        <v/>
      </c>
      <c r="L71" s="57">
        <f>IFERROR(INDEX(U$2:AY$2,MATCH(TRUE,U71:AY71&lt;&gt;"",0)),"")</f>
        <v/>
      </c>
      <c r="M71" s="58">
        <f>IFERROR(LOOKUP(2,1/(U71:AY71&lt;&gt;""),U$2:AY$2),"")</f>
        <v/>
      </c>
      <c r="N71" s="59">
        <f>IF(OR(G71="",M71=""),"",G71-M71)</f>
        <v/>
      </c>
      <c r="O71" s="60" t="n"/>
      <c r="P71" s="61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  <c r="AG71" s="62" t="n"/>
      <c r="AH71" s="62" t="n"/>
      <c r="AI71" s="62" t="n"/>
      <c r="AJ71" s="62" t="n"/>
      <c r="AK71" s="62" t="n"/>
      <c r="AL71" s="62" t="n"/>
      <c r="AM71" s="62" t="n"/>
      <c r="AN71" s="62" t="n"/>
      <c r="AO71" s="62" t="n"/>
      <c r="AP71" s="62" t="n"/>
      <c r="AQ71" s="62" t="n"/>
      <c r="AR71" s="62" t="n"/>
      <c r="AS71" s="62" t="n"/>
      <c r="AT71" s="62" t="n"/>
      <c r="AU71" s="62" t="n"/>
      <c r="AV71" s="62" t="n"/>
      <c r="AW71" s="62" t="n"/>
      <c r="AX71" s="62" t="n"/>
      <c r="AY71" s="62" t="n"/>
    </row>
    <row r="72">
      <c r="A72" s="38">
        <f>IF(D72="","",COUNTA($D$71:D72))</f>
        <v/>
      </c>
      <c r="B72" s="52" t="n"/>
      <c r="C72" s="68" t="inlineStr">
        <is>
          <t>마케팅3팀</t>
        </is>
      </c>
      <c r="D72" s="52" t="n"/>
      <c r="E72" s="54" t="n"/>
      <c r="F72" s="52" t="n"/>
      <c r="G72" s="55" t="n"/>
      <c r="H72" s="54" t="n"/>
      <c r="I72" s="54" t="n"/>
      <c r="J72" s="54" t="n"/>
      <c r="K72" s="56">
        <f>IF(SUM(U72:AY72)=0,"",SUM(U72:AY72))</f>
        <v/>
      </c>
      <c r="L72" s="57">
        <f>IFERROR(INDEX(U$2:AY$2,MATCH(TRUE,U72:AY72&lt;&gt;"",0)),"")</f>
        <v/>
      </c>
      <c r="M72" s="58">
        <f>IFERROR(LOOKUP(2,1/(U72:AY72&lt;&gt;""),U$2:AY$2),"")</f>
        <v/>
      </c>
      <c r="N72" s="59">
        <f>IF(OR(G72="",M72=""),"",G72-M72)</f>
        <v/>
      </c>
      <c r="O72" s="60" t="n"/>
      <c r="P72" s="61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  <c r="AG72" s="62" t="n"/>
      <c r="AH72" s="62" t="n"/>
      <c r="AI72" s="62" t="n"/>
      <c r="AJ72" s="62" t="n"/>
      <c r="AK72" s="62" t="n"/>
      <c r="AL72" s="62" t="n"/>
      <c r="AM72" s="62" t="n"/>
      <c r="AN72" s="62" t="n"/>
      <c r="AO72" s="62" t="n"/>
      <c r="AP72" s="62" t="n"/>
      <c r="AQ72" s="62" t="n"/>
      <c r="AR72" s="62" t="n"/>
      <c r="AS72" s="62" t="n"/>
      <c r="AT72" s="62" t="n"/>
      <c r="AU72" s="62" t="n"/>
      <c r="AV72" s="62" t="n"/>
      <c r="AW72" s="62" t="n"/>
      <c r="AX72" s="62" t="n"/>
      <c r="AY72" s="62" t="n"/>
    </row>
    <row r="73">
      <c r="A73" s="38">
        <f>IF(D73="","",COUNTA($D$71:D73))</f>
        <v/>
      </c>
      <c r="B73" s="52" t="n"/>
      <c r="C73" s="68" t="inlineStr">
        <is>
          <t>마케팅3팀</t>
        </is>
      </c>
      <c r="D73" s="52" t="n"/>
      <c r="E73" s="54" t="n"/>
      <c r="F73" s="52" t="n"/>
      <c r="G73" s="55" t="n"/>
      <c r="H73" s="54" t="n"/>
      <c r="I73" s="54" t="n"/>
      <c r="J73" s="54" t="n"/>
      <c r="K73" s="56">
        <f>IF(SUM(U73:AY73)=0,"",SUM(U73:AY73))</f>
        <v/>
      </c>
      <c r="L73" s="57">
        <f>IFERROR(INDEX(U$2:AY$2,MATCH(TRUE,U73:AY73&lt;&gt;"",0)),"")</f>
        <v/>
      </c>
      <c r="M73" s="58">
        <f>IFERROR(LOOKUP(2,1/(U73:AY73&lt;&gt;""),U$2:AY$2),"")</f>
        <v/>
      </c>
      <c r="N73" s="59">
        <f>IF(OR(G73="",M73=""),"",G73-M73)</f>
        <v/>
      </c>
      <c r="O73" s="60" t="n"/>
      <c r="P73" s="61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  <c r="AG73" s="62" t="n"/>
      <c r="AH73" s="62" t="n"/>
      <c r="AI73" s="62" t="n"/>
      <c r="AJ73" s="62" t="n"/>
      <c r="AK73" s="62" t="n"/>
      <c r="AL73" s="62" t="n"/>
      <c r="AM73" s="62" t="n"/>
      <c r="AN73" s="62" t="n"/>
      <c r="AO73" s="62" t="n"/>
      <c r="AP73" s="62" t="n"/>
      <c r="AQ73" s="62" t="n"/>
      <c r="AR73" s="62" t="n"/>
      <c r="AS73" s="62" t="n"/>
      <c r="AT73" s="62" t="n"/>
      <c r="AU73" s="62" t="n"/>
      <c r="AV73" s="62" t="n"/>
      <c r="AW73" s="62" t="n"/>
      <c r="AX73" s="62" t="n"/>
      <c r="AY73" s="62" t="n"/>
    </row>
    <row r="74">
      <c r="A74" s="38">
        <f>IF(D74="","",COUNTA($D$71:D74))</f>
        <v/>
      </c>
      <c r="B74" s="52" t="n"/>
      <c r="C74" s="68" t="inlineStr">
        <is>
          <t>마케팅3팀</t>
        </is>
      </c>
      <c r="D74" s="52" t="n"/>
      <c r="E74" s="54" t="n"/>
      <c r="F74" s="52" t="n"/>
      <c r="G74" s="55" t="n"/>
      <c r="H74" s="54" t="n"/>
      <c r="I74" s="54" t="n"/>
      <c r="J74" s="54" t="n"/>
      <c r="K74" s="56">
        <f>IF(SUM(U74:AY74)=0,"",SUM(U74:AY74))</f>
        <v/>
      </c>
      <c r="L74" s="57">
        <f>IFERROR(INDEX(U$2:AY$2,MATCH(TRUE,U74:AY74&lt;&gt;"",0)),"")</f>
        <v/>
      </c>
      <c r="M74" s="58">
        <f>IFERROR(LOOKUP(2,1/(U74:AY74&lt;&gt;""),U$2:AY$2),"")</f>
        <v/>
      </c>
      <c r="N74" s="59">
        <f>IF(OR(G74="",M74=""),"",G74-M74)</f>
        <v/>
      </c>
      <c r="O74" s="60" t="n"/>
      <c r="P74" s="61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  <c r="AG74" s="62" t="n"/>
      <c r="AH74" s="62" t="n"/>
      <c r="AI74" s="62" t="n"/>
      <c r="AJ74" s="62" t="n"/>
      <c r="AK74" s="62" t="n"/>
      <c r="AL74" s="62" t="n"/>
      <c r="AM74" s="62" t="n"/>
      <c r="AN74" s="62" t="n"/>
      <c r="AO74" s="62" t="n"/>
      <c r="AP74" s="62" t="n"/>
      <c r="AQ74" s="62" t="n"/>
      <c r="AR74" s="62" t="n"/>
      <c r="AS74" s="62" t="n"/>
      <c r="AT74" s="62" t="n"/>
      <c r="AU74" s="62" t="n"/>
      <c r="AV74" s="62" t="n"/>
      <c r="AW74" s="62" t="n"/>
      <c r="AX74" s="62" t="n"/>
      <c r="AY74" s="62" t="n"/>
    </row>
    <row r="75">
      <c r="A75" s="38">
        <f>IF(D75="","",COUNTA($D$71:D75))</f>
        <v/>
      </c>
      <c r="B75" s="52" t="n"/>
      <c r="C75" s="68" t="inlineStr">
        <is>
          <t>마케팅3팀</t>
        </is>
      </c>
      <c r="D75" s="52" t="n"/>
      <c r="E75" s="54" t="n"/>
      <c r="F75" s="52" t="n"/>
      <c r="G75" s="55" t="n"/>
      <c r="H75" s="54" t="n"/>
      <c r="I75" s="54" t="n"/>
      <c r="J75" s="54" t="n"/>
      <c r="K75" s="56">
        <f>IF(SUM(U75:AY75)=0,"",SUM(U75:AY75))</f>
        <v/>
      </c>
      <c r="L75" s="57">
        <f>IFERROR(INDEX(U$2:AY$2,MATCH(TRUE,U75:AY75&lt;&gt;"",0)),"")</f>
        <v/>
      </c>
      <c r="M75" s="58">
        <f>IFERROR(LOOKUP(2,1/(U75:AY75&lt;&gt;""),U$2:AY$2),"")</f>
        <v/>
      </c>
      <c r="N75" s="59">
        <f>IF(OR(G75="",M75=""),"",G75-M75)</f>
        <v/>
      </c>
      <c r="O75" s="60" t="n"/>
      <c r="P75" s="61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  <c r="AG75" s="62" t="n"/>
      <c r="AH75" s="62" t="n"/>
      <c r="AI75" s="62" t="n"/>
      <c r="AJ75" s="62" t="n"/>
      <c r="AK75" s="62" t="n"/>
      <c r="AL75" s="62" t="n"/>
      <c r="AM75" s="62" t="n"/>
      <c r="AN75" s="62" t="n"/>
      <c r="AO75" s="62" t="n"/>
      <c r="AP75" s="62" t="n"/>
      <c r="AQ75" s="62" t="n"/>
      <c r="AR75" s="62" t="n"/>
      <c r="AS75" s="62" t="n"/>
      <c r="AT75" s="62" t="n"/>
      <c r="AU75" s="62" t="n"/>
      <c r="AV75" s="62" t="n"/>
      <c r="AW75" s="62" t="n"/>
      <c r="AX75" s="62" t="n"/>
      <c r="AY75" s="62" t="n"/>
    </row>
    <row r="76">
      <c r="A76" s="38">
        <f>IF(D76="","",COUNTA($D$71:D76))</f>
        <v/>
      </c>
      <c r="B76" s="52" t="n"/>
      <c r="C76" s="68" t="inlineStr">
        <is>
          <t>마케팅3팀</t>
        </is>
      </c>
      <c r="D76" s="52" t="n"/>
      <c r="E76" s="54" t="n"/>
      <c r="F76" s="52" t="n"/>
      <c r="G76" s="55" t="n"/>
      <c r="H76" s="54" t="n"/>
      <c r="I76" s="54" t="n"/>
      <c r="J76" s="54" t="n"/>
      <c r="K76" s="56">
        <f>IF(SUM(U76:AY76)=0,"",SUM(U76:AY76))</f>
        <v/>
      </c>
      <c r="L76" s="57">
        <f>IFERROR(INDEX(U$2:AY$2,MATCH(TRUE,U76:AY76&lt;&gt;"",0)),"")</f>
        <v/>
      </c>
      <c r="M76" s="58">
        <f>IFERROR(LOOKUP(2,1/(U76:AY76&lt;&gt;""),U$2:AY$2),"")</f>
        <v/>
      </c>
      <c r="N76" s="59">
        <f>IF(OR(G76="",M76=""),"",G76-M76)</f>
        <v/>
      </c>
      <c r="O76" s="60" t="n"/>
      <c r="P76" s="61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  <c r="AG76" s="62" t="n"/>
      <c r="AH76" s="62" t="n"/>
      <c r="AI76" s="62" t="n"/>
      <c r="AJ76" s="62" t="n"/>
      <c r="AK76" s="62" t="n"/>
      <c r="AL76" s="62" t="n"/>
      <c r="AM76" s="62" t="n"/>
      <c r="AN76" s="62" t="n"/>
      <c r="AO76" s="62" t="n"/>
      <c r="AP76" s="62" t="n"/>
      <c r="AQ76" s="62" t="n"/>
      <c r="AR76" s="62" t="n"/>
      <c r="AS76" s="62" t="n"/>
      <c r="AT76" s="62" t="n"/>
      <c r="AU76" s="62" t="n"/>
      <c r="AV76" s="62" t="n"/>
      <c r="AW76" s="62" t="n"/>
      <c r="AX76" s="62" t="n"/>
      <c r="AY76" s="62" t="n"/>
    </row>
    <row r="77">
      <c r="A77" s="38">
        <f>IF(D77="","",COUNTA($D$71:D77))</f>
        <v/>
      </c>
      <c r="B77" s="52" t="n"/>
      <c r="C77" s="68" t="inlineStr">
        <is>
          <t>마케팅3팀</t>
        </is>
      </c>
      <c r="D77" s="52" t="n"/>
      <c r="E77" s="54" t="n"/>
      <c r="F77" s="52" t="n"/>
      <c r="G77" s="55" t="n"/>
      <c r="H77" s="54" t="n"/>
      <c r="I77" s="54" t="n"/>
      <c r="J77" s="54" t="n"/>
      <c r="K77" s="56">
        <f>IF(SUM(U77:AY77)=0,"",SUM(U77:AY77))</f>
        <v/>
      </c>
      <c r="L77" s="57">
        <f>IFERROR(INDEX(U$2:AY$2,MATCH(TRUE,U77:AY77&lt;&gt;"",0)),"")</f>
        <v/>
      </c>
      <c r="M77" s="58">
        <f>IFERROR(LOOKUP(2,1/(U77:AY77&lt;&gt;""),U$2:AY$2),"")</f>
        <v/>
      </c>
      <c r="N77" s="59">
        <f>IF(OR(G77="",M77=""),"",G77-M77)</f>
        <v/>
      </c>
      <c r="O77" s="60" t="n"/>
      <c r="P77" s="61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  <c r="AG77" s="62" t="n"/>
      <c r="AH77" s="62" t="n"/>
      <c r="AI77" s="62" t="n"/>
      <c r="AJ77" s="62" t="n"/>
      <c r="AK77" s="62" t="n"/>
      <c r="AL77" s="62" t="n"/>
      <c r="AM77" s="62" t="n"/>
      <c r="AN77" s="62" t="n"/>
      <c r="AO77" s="62" t="n"/>
      <c r="AP77" s="62" t="n"/>
      <c r="AQ77" s="62" t="n"/>
      <c r="AR77" s="62" t="n"/>
      <c r="AS77" s="62" t="n"/>
      <c r="AT77" s="62" t="n"/>
      <c r="AU77" s="62" t="n"/>
      <c r="AV77" s="62" t="n"/>
      <c r="AW77" s="62" t="n"/>
      <c r="AX77" s="62" t="n"/>
      <c r="AY77" s="62" t="n"/>
    </row>
    <row r="78">
      <c r="A78" s="38">
        <f>IF(D78="","",COUNTA($D$71:D78))</f>
        <v/>
      </c>
      <c r="B78" s="52" t="n"/>
      <c r="C78" s="68" t="inlineStr">
        <is>
          <t>마케팅3팀</t>
        </is>
      </c>
      <c r="D78" s="52" t="n"/>
      <c r="E78" s="54" t="n"/>
      <c r="F78" s="52" t="n"/>
      <c r="G78" s="55" t="n"/>
      <c r="H78" s="54" t="n"/>
      <c r="I78" s="54" t="n"/>
      <c r="J78" s="54" t="n"/>
      <c r="K78" s="56">
        <f>IF(SUM(U78:AY78)=0,"",SUM(U78:AY78))</f>
        <v/>
      </c>
      <c r="L78" s="57">
        <f>IFERROR(INDEX(U$2:AY$2,MATCH(TRUE,U78:AY78&lt;&gt;"",0)),"")</f>
        <v/>
      </c>
      <c r="M78" s="58">
        <f>IFERROR(LOOKUP(2,1/(U78:AY78&lt;&gt;""),U$2:AY$2),"")</f>
        <v/>
      </c>
      <c r="N78" s="59">
        <f>IF(OR(G78="",M78=""),"",G78-M78)</f>
        <v/>
      </c>
      <c r="O78" s="60" t="n"/>
      <c r="P78" s="61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  <c r="AG78" s="62" t="n"/>
      <c r="AH78" s="62" t="n"/>
      <c r="AI78" s="62" t="n"/>
      <c r="AJ78" s="62" t="n"/>
      <c r="AK78" s="62" t="n"/>
      <c r="AL78" s="62" t="n"/>
      <c r="AM78" s="62" t="n"/>
      <c r="AN78" s="62" t="n"/>
      <c r="AO78" s="62" t="n"/>
      <c r="AP78" s="62" t="n"/>
      <c r="AQ78" s="62" t="n"/>
      <c r="AR78" s="62" t="n"/>
      <c r="AS78" s="62" t="n"/>
      <c r="AT78" s="62" t="n"/>
      <c r="AU78" s="62" t="n"/>
      <c r="AV78" s="62" t="n"/>
      <c r="AW78" s="62" t="n"/>
      <c r="AX78" s="62" t="n"/>
      <c r="AY78" s="62" t="n"/>
    </row>
    <row r="79">
      <c r="A79" s="38">
        <f>IF(D79="","",COUNTA($D$71:D79))</f>
        <v/>
      </c>
      <c r="B79" s="52" t="n"/>
      <c r="C79" s="68" t="inlineStr">
        <is>
          <t>마케팅3팀</t>
        </is>
      </c>
      <c r="D79" s="52" t="n"/>
      <c r="E79" s="54" t="n"/>
      <c r="F79" s="52" t="n"/>
      <c r="G79" s="55" t="n"/>
      <c r="H79" s="54" t="n"/>
      <c r="I79" s="54" t="n"/>
      <c r="J79" s="54" t="n"/>
      <c r="K79" s="56">
        <f>IF(SUM(U79:AY79)=0,"",SUM(U79:AY79))</f>
        <v/>
      </c>
      <c r="L79" s="57">
        <f>IFERROR(INDEX(U$2:AY$2,MATCH(TRUE,U79:AY79&lt;&gt;"",0)),"")</f>
        <v/>
      </c>
      <c r="M79" s="58">
        <f>IFERROR(LOOKUP(2,1/(U79:AY79&lt;&gt;""),U$2:AY$2),"")</f>
        <v/>
      </c>
      <c r="N79" s="59">
        <f>IF(OR(G79="",M79=""),"",G79-M79)</f>
        <v/>
      </c>
      <c r="O79" s="60" t="n"/>
      <c r="P79" s="61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  <c r="AG79" s="62" t="n"/>
      <c r="AH79" s="62" t="n"/>
      <c r="AI79" s="62" t="n"/>
      <c r="AJ79" s="62" t="n"/>
      <c r="AK79" s="62" t="n"/>
      <c r="AL79" s="62" t="n"/>
      <c r="AM79" s="62" t="n"/>
      <c r="AN79" s="62" t="n"/>
      <c r="AO79" s="62" t="n"/>
      <c r="AP79" s="62" t="n"/>
      <c r="AQ79" s="62" t="n"/>
      <c r="AR79" s="62" t="n"/>
      <c r="AS79" s="62" t="n"/>
      <c r="AT79" s="62" t="n"/>
      <c r="AU79" s="62" t="n"/>
      <c r="AV79" s="62" t="n"/>
      <c r="AW79" s="62" t="n"/>
      <c r="AX79" s="62" t="n"/>
      <c r="AY79" s="62" t="n"/>
    </row>
    <row r="80">
      <c r="A80" s="38">
        <f>IF(D80="","",COUNTA($D$71:D80))</f>
        <v/>
      </c>
      <c r="B80" s="52" t="n"/>
      <c r="C80" s="68" t="inlineStr">
        <is>
          <t>마케팅3팀</t>
        </is>
      </c>
      <c r="D80" s="52" t="n"/>
      <c r="E80" s="54" t="n"/>
      <c r="F80" s="52" t="n"/>
      <c r="G80" s="55" t="n"/>
      <c r="H80" s="54" t="n"/>
      <c r="I80" s="54" t="n"/>
      <c r="J80" s="54" t="n"/>
      <c r="K80" s="56">
        <f>IF(SUM(U80:AY80)=0,"",SUM(U80:AY80))</f>
        <v/>
      </c>
      <c r="L80" s="57">
        <f>IFERROR(INDEX(U$2:AY$2,MATCH(TRUE,U80:AY80&lt;&gt;"",0)),"")</f>
        <v/>
      </c>
      <c r="M80" s="58">
        <f>IFERROR(LOOKUP(2,1/(U80:AY80&lt;&gt;""),U$2:AY$2),"")</f>
        <v/>
      </c>
      <c r="N80" s="59">
        <f>IF(OR(G80="",M80=""),"",G80-M80)</f>
        <v/>
      </c>
      <c r="O80" s="60" t="n"/>
      <c r="P80" s="61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  <c r="AG80" s="62" t="n"/>
      <c r="AH80" s="62" t="n"/>
      <c r="AI80" s="62" t="n"/>
      <c r="AJ80" s="62" t="n"/>
      <c r="AK80" s="62" t="n"/>
      <c r="AL80" s="62" t="n"/>
      <c r="AM80" s="62" t="n"/>
      <c r="AN80" s="62" t="n"/>
      <c r="AO80" s="62" t="n"/>
      <c r="AP80" s="62" t="n"/>
      <c r="AQ80" s="62" t="n"/>
      <c r="AR80" s="62" t="n"/>
      <c r="AS80" s="62" t="n"/>
      <c r="AT80" s="62" t="n"/>
      <c r="AU80" s="62" t="n"/>
      <c r="AV80" s="62" t="n"/>
      <c r="AW80" s="62" t="n"/>
      <c r="AX80" s="62" t="n"/>
      <c r="AY80" s="62" t="n"/>
    </row>
    <row r="81">
      <c r="A81" s="38">
        <f>IF(D81="","",COUNTA($D$71:D81))</f>
        <v/>
      </c>
      <c r="B81" s="52" t="n"/>
      <c r="C81" s="68" t="inlineStr">
        <is>
          <t>마케팅3팀</t>
        </is>
      </c>
      <c r="D81" s="52" t="n"/>
      <c r="E81" s="54" t="n"/>
      <c r="F81" s="52" t="n"/>
      <c r="G81" s="55" t="n"/>
      <c r="H81" s="54" t="n"/>
      <c r="I81" s="54" t="n"/>
      <c r="J81" s="54" t="n"/>
      <c r="K81" s="56">
        <f>IF(SUM(U81:AY81)=0,"",SUM(U81:AY81))</f>
        <v/>
      </c>
      <c r="L81" s="57">
        <f>IFERROR(INDEX(U$2:AY$2,MATCH(TRUE,U81:AY81&lt;&gt;"",0)),"")</f>
        <v/>
      </c>
      <c r="M81" s="58">
        <f>IFERROR(LOOKUP(2,1/(U81:AY81&lt;&gt;""),U$2:AY$2),"")</f>
        <v/>
      </c>
      <c r="N81" s="59">
        <f>IF(OR(G81="",M81=""),"",G81-M81)</f>
        <v/>
      </c>
      <c r="O81" s="60" t="n"/>
      <c r="P81" s="61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  <c r="AG81" s="62" t="n"/>
      <c r="AH81" s="62" t="n"/>
      <c r="AI81" s="62" t="n"/>
      <c r="AJ81" s="62" t="n"/>
      <c r="AK81" s="62" t="n"/>
      <c r="AL81" s="62" t="n"/>
      <c r="AM81" s="62" t="n"/>
      <c r="AN81" s="62" t="n"/>
      <c r="AO81" s="62" t="n"/>
      <c r="AP81" s="62" t="n"/>
      <c r="AQ81" s="62" t="n"/>
      <c r="AR81" s="62" t="n"/>
      <c r="AS81" s="62" t="n"/>
      <c r="AT81" s="62" t="n"/>
      <c r="AU81" s="62" t="n"/>
      <c r="AV81" s="62" t="n"/>
      <c r="AW81" s="62" t="n"/>
      <c r="AX81" s="62" t="n"/>
      <c r="AY81" s="62" t="n"/>
    </row>
    <row r="82">
      <c r="A82" s="38">
        <f>IF(D82="","",COUNTA($D$71:D82))</f>
        <v/>
      </c>
      <c r="B82" s="52" t="n"/>
      <c r="C82" s="68" t="inlineStr">
        <is>
          <t>마케팅3팀</t>
        </is>
      </c>
      <c r="D82" s="52" t="n"/>
      <c r="E82" s="54" t="n"/>
      <c r="F82" s="52" t="n"/>
      <c r="G82" s="55" t="n"/>
      <c r="H82" s="54" t="n"/>
      <c r="I82" s="54" t="n"/>
      <c r="J82" s="54" t="n"/>
      <c r="K82" s="56">
        <f>IF(SUM(U82:AY82)=0,"",SUM(U82:AY82))</f>
        <v/>
      </c>
      <c r="L82" s="57">
        <f>IFERROR(INDEX(U$2:AY$2,MATCH(TRUE,U82:AY82&lt;&gt;"",0)),"")</f>
        <v/>
      </c>
      <c r="M82" s="58">
        <f>IFERROR(LOOKUP(2,1/(U82:AY82&lt;&gt;""),U$2:AY$2),"")</f>
        <v/>
      </c>
      <c r="N82" s="59">
        <f>IF(OR(G82="",M82=""),"",G82-M82)</f>
        <v/>
      </c>
      <c r="O82" s="60" t="n"/>
      <c r="P82" s="61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  <c r="AG82" s="62" t="n"/>
      <c r="AH82" s="62" t="n"/>
      <c r="AI82" s="62" t="n"/>
      <c r="AJ82" s="62" t="n"/>
      <c r="AK82" s="62" t="n"/>
      <c r="AL82" s="62" t="n"/>
      <c r="AM82" s="62" t="n"/>
      <c r="AN82" s="62" t="n"/>
      <c r="AO82" s="62" t="n"/>
      <c r="AP82" s="62" t="n"/>
      <c r="AQ82" s="62" t="n"/>
      <c r="AR82" s="62" t="n"/>
      <c r="AS82" s="62" t="n"/>
      <c r="AT82" s="62" t="n"/>
      <c r="AU82" s="62" t="n"/>
      <c r="AV82" s="62" t="n"/>
      <c r="AW82" s="62" t="n"/>
      <c r="AX82" s="62" t="n"/>
      <c r="AY82" s="62" t="n"/>
    </row>
    <row r="83">
      <c r="A83" s="38">
        <f>IF(D83="","",COUNTA($D$71:D83))</f>
        <v/>
      </c>
      <c r="B83" s="52" t="n"/>
      <c r="C83" s="68" t="inlineStr">
        <is>
          <t>마케팅3팀</t>
        </is>
      </c>
      <c r="D83" s="52" t="n"/>
      <c r="E83" s="54" t="n"/>
      <c r="F83" s="52" t="n"/>
      <c r="G83" s="55" t="n"/>
      <c r="H83" s="54" t="n"/>
      <c r="I83" s="54" t="n"/>
      <c r="J83" s="54" t="n"/>
      <c r="K83" s="56">
        <f>IF(SUM(U83:AY83)=0,"",SUM(U83:AY83))</f>
        <v/>
      </c>
      <c r="L83" s="57">
        <f>IFERROR(INDEX(U$2:AY$2,MATCH(TRUE,U83:AY83&lt;&gt;"",0)),"")</f>
        <v/>
      </c>
      <c r="M83" s="58">
        <f>IFERROR(LOOKUP(2,1/(U83:AY83&lt;&gt;""),U$2:AY$2),"")</f>
        <v/>
      </c>
      <c r="N83" s="59">
        <f>IF(OR(G83="",M83=""),"",G83-M83)</f>
        <v/>
      </c>
      <c r="O83" s="60" t="n"/>
      <c r="P83" s="61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  <c r="AG83" s="62" t="n"/>
      <c r="AH83" s="62" t="n"/>
      <c r="AI83" s="62" t="n"/>
      <c r="AJ83" s="62" t="n"/>
      <c r="AK83" s="62" t="n"/>
      <c r="AL83" s="62" t="n"/>
      <c r="AM83" s="62" t="n"/>
      <c r="AN83" s="62" t="n"/>
      <c r="AO83" s="62" t="n"/>
      <c r="AP83" s="62" t="n"/>
      <c r="AQ83" s="62" t="n"/>
      <c r="AR83" s="62" t="n"/>
      <c r="AS83" s="62" t="n"/>
      <c r="AT83" s="62" t="n"/>
      <c r="AU83" s="62" t="n"/>
      <c r="AV83" s="62" t="n"/>
      <c r="AW83" s="62" t="n"/>
      <c r="AX83" s="62" t="n"/>
      <c r="AY83" s="62" t="n"/>
    </row>
    <row r="84">
      <c r="A84" s="38">
        <f>IF(D84="","",COUNTA($D$71:D84))</f>
        <v/>
      </c>
      <c r="B84" s="52" t="n"/>
      <c r="C84" s="68" t="inlineStr">
        <is>
          <t>마케팅3팀</t>
        </is>
      </c>
      <c r="D84" s="52" t="n"/>
      <c r="E84" s="54" t="n"/>
      <c r="F84" s="52" t="n"/>
      <c r="G84" s="55" t="n"/>
      <c r="H84" s="54" t="n"/>
      <c r="I84" s="54" t="n"/>
      <c r="J84" s="54" t="n"/>
      <c r="K84" s="56">
        <f>IF(SUM(U84:AY84)=0,"",SUM(U84:AY84))</f>
        <v/>
      </c>
      <c r="L84" s="57">
        <f>IFERROR(INDEX(U$2:AY$2,MATCH(TRUE,U84:AY84&lt;&gt;"",0)),"")</f>
        <v/>
      </c>
      <c r="M84" s="58">
        <f>IFERROR(LOOKUP(2,1/(U84:AY84&lt;&gt;""),U$2:AY$2),"")</f>
        <v/>
      </c>
      <c r="N84" s="59">
        <f>IF(OR(G84="",M84=""),"",G84-M84)</f>
        <v/>
      </c>
      <c r="O84" s="60" t="n"/>
      <c r="P84" s="61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  <c r="AG84" s="62" t="n"/>
      <c r="AH84" s="62" t="n"/>
      <c r="AI84" s="62" t="n"/>
      <c r="AJ84" s="62" t="n"/>
      <c r="AK84" s="62" t="n"/>
      <c r="AL84" s="62" t="n"/>
      <c r="AM84" s="62" t="n"/>
      <c r="AN84" s="62" t="n"/>
      <c r="AO84" s="62" t="n"/>
      <c r="AP84" s="62" t="n"/>
      <c r="AQ84" s="62" t="n"/>
      <c r="AR84" s="62" t="n"/>
      <c r="AS84" s="62" t="n"/>
      <c r="AT84" s="62" t="n"/>
      <c r="AU84" s="62" t="n"/>
      <c r="AV84" s="62" t="n"/>
      <c r="AW84" s="62" t="n"/>
      <c r="AX84" s="62" t="n"/>
      <c r="AY84" s="62" t="n"/>
    </row>
    <row r="85">
      <c r="A85" s="38">
        <f>IF(D85="","",COUNTA($D$71:D85))</f>
        <v/>
      </c>
      <c r="B85" s="52" t="n"/>
      <c r="C85" s="68" t="inlineStr">
        <is>
          <t>마케팅3팀</t>
        </is>
      </c>
      <c r="D85" s="52" t="n"/>
      <c r="E85" s="54" t="n"/>
      <c r="F85" s="52" t="n"/>
      <c r="G85" s="55" t="n"/>
      <c r="H85" s="54" t="n"/>
      <c r="I85" s="54" t="n"/>
      <c r="J85" s="54" t="n"/>
      <c r="K85" s="56">
        <f>IF(SUM(U85:AY85)=0,"",SUM(U85:AY85))</f>
        <v/>
      </c>
      <c r="L85" s="57">
        <f>IFERROR(INDEX(U$2:AY$2,MATCH(TRUE,U85:AY85&lt;&gt;"",0)),"")</f>
        <v/>
      </c>
      <c r="M85" s="58">
        <f>IFERROR(LOOKUP(2,1/(U85:AY85&lt;&gt;""),U$2:AY$2),"")</f>
        <v/>
      </c>
      <c r="N85" s="59">
        <f>IF(OR(G85="",M85=""),"",G85-M85)</f>
        <v/>
      </c>
      <c r="O85" s="60" t="n"/>
      <c r="P85" s="61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  <c r="AG85" s="62" t="n"/>
      <c r="AH85" s="62" t="n"/>
      <c r="AI85" s="62" t="n"/>
      <c r="AJ85" s="62" t="n"/>
      <c r="AK85" s="62" t="n"/>
      <c r="AL85" s="62" t="n"/>
      <c r="AM85" s="62" t="n"/>
      <c r="AN85" s="62" t="n"/>
      <c r="AO85" s="62" t="n"/>
      <c r="AP85" s="62" t="n"/>
      <c r="AQ85" s="62" t="n"/>
      <c r="AR85" s="62" t="n"/>
      <c r="AS85" s="62" t="n"/>
      <c r="AT85" s="62" t="n"/>
      <c r="AU85" s="62" t="n"/>
      <c r="AV85" s="62" t="n"/>
      <c r="AW85" s="62" t="n"/>
      <c r="AX85" s="62" t="n"/>
      <c r="AY85" s="62" t="n"/>
    </row>
    <row r="86">
      <c r="A86" s="38">
        <f>IF(D86="","",COUNTA($D$71:D86))</f>
        <v/>
      </c>
      <c r="B86" s="52" t="n"/>
      <c r="C86" s="68" t="inlineStr">
        <is>
          <t>마케팅3팀</t>
        </is>
      </c>
      <c r="D86" s="52" t="n"/>
      <c r="E86" s="54" t="n"/>
      <c r="F86" s="52" t="n"/>
      <c r="G86" s="55" t="n"/>
      <c r="H86" s="54" t="n"/>
      <c r="I86" s="54" t="n"/>
      <c r="J86" s="54" t="n"/>
      <c r="K86" s="56">
        <f>IF(SUM(U86:AY86)=0,"",SUM(U86:AY86))</f>
        <v/>
      </c>
      <c r="L86" s="57">
        <f>IFERROR(INDEX(U$2:AY$2,MATCH(TRUE,U86:AY86&lt;&gt;"",0)),"")</f>
        <v/>
      </c>
      <c r="M86" s="58">
        <f>IFERROR(LOOKUP(2,1/(U86:AY86&lt;&gt;""),U$2:AY$2),"")</f>
        <v/>
      </c>
      <c r="N86" s="59">
        <f>IF(OR(G86="",M86=""),"",G86-M86)</f>
        <v/>
      </c>
      <c r="O86" s="60" t="n"/>
      <c r="P86" s="61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  <c r="AG86" s="62" t="n"/>
      <c r="AH86" s="62" t="n"/>
      <c r="AI86" s="62" t="n"/>
      <c r="AJ86" s="62" t="n"/>
      <c r="AK86" s="62" t="n"/>
      <c r="AL86" s="62" t="n"/>
      <c r="AM86" s="62" t="n"/>
      <c r="AN86" s="62" t="n"/>
      <c r="AO86" s="62" t="n"/>
      <c r="AP86" s="62" t="n"/>
      <c r="AQ86" s="62" t="n"/>
      <c r="AR86" s="62" t="n"/>
      <c r="AS86" s="62" t="n"/>
      <c r="AT86" s="62" t="n"/>
      <c r="AU86" s="62" t="n"/>
      <c r="AV86" s="62" t="n"/>
      <c r="AW86" s="62" t="n"/>
      <c r="AX86" s="62" t="n"/>
      <c r="AY86" s="62" t="n"/>
    </row>
    <row r="87">
      <c r="A87" s="38">
        <f>IF(D87="","",COUNTA($D$71:D87))</f>
        <v/>
      </c>
      <c r="B87" s="52" t="n"/>
      <c r="C87" s="68" t="inlineStr">
        <is>
          <t>마케팅3팀</t>
        </is>
      </c>
      <c r="D87" s="52" t="n"/>
      <c r="E87" s="54" t="n"/>
      <c r="F87" s="52" t="n"/>
      <c r="G87" s="55" t="n"/>
      <c r="H87" s="54" t="n"/>
      <c r="I87" s="54" t="n"/>
      <c r="J87" s="54" t="n"/>
      <c r="K87" s="56">
        <f>IF(SUM(U87:AY87)=0,"",SUM(U87:AY87))</f>
        <v/>
      </c>
      <c r="L87" s="57">
        <f>IFERROR(INDEX(U$2:AY$2,MATCH(TRUE,U87:AY87&lt;&gt;"",0)),"")</f>
        <v/>
      </c>
      <c r="M87" s="58">
        <f>IFERROR(LOOKUP(2,1/(U87:AY87&lt;&gt;""),U$2:AY$2),"")</f>
        <v/>
      </c>
      <c r="N87" s="59">
        <f>IF(OR(G87="",M87=""),"",G87-M87)</f>
        <v/>
      </c>
      <c r="O87" s="60" t="n"/>
      <c r="P87" s="61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  <c r="AG87" s="62" t="n"/>
      <c r="AH87" s="62" t="n"/>
      <c r="AI87" s="62" t="n"/>
      <c r="AJ87" s="62" t="n"/>
      <c r="AK87" s="62" t="n"/>
      <c r="AL87" s="62" t="n"/>
      <c r="AM87" s="62" t="n"/>
      <c r="AN87" s="62" t="n"/>
      <c r="AO87" s="62" t="n"/>
      <c r="AP87" s="62" t="n"/>
      <c r="AQ87" s="62" t="n"/>
      <c r="AR87" s="62" t="n"/>
      <c r="AS87" s="62" t="n"/>
      <c r="AT87" s="62" t="n"/>
      <c r="AU87" s="62" t="n"/>
      <c r="AV87" s="62" t="n"/>
      <c r="AW87" s="62" t="n"/>
      <c r="AX87" s="62" t="n"/>
      <c r="AY87" s="62" t="n"/>
    </row>
    <row r="88">
      <c r="A88" s="38">
        <f>IF(D88="","",COUNTA($D$71:D88))</f>
        <v/>
      </c>
      <c r="B88" s="52" t="n"/>
      <c r="C88" s="68" t="inlineStr">
        <is>
          <t>마케팅3팀</t>
        </is>
      </c>
      <c r="D88" s="52" t="n"/>
      <c r="E88" s="54" t="n"/>
      <c r="F88" s="52" t="n"/>
      <c r="G88" s="55" t="n"/>
      <c r="H88" s="54" t="n"/>
      <c r="I88" s="54" t="n"/>
      <c r="J88" s="54" t="n"/>
      <c r="K88" s="56">
        <f>IF(SUM(U88:AY88)=0,"",SUM(U88:AY88))</f>
        <v/>
      </c>
      <c r="L88" s="57">
        <f>IFERROR(INDEX(U$2:AY$2,MATCH(TRUE,U88:AY88&lt;&gt;"",0)),"")</f>
        <v/>
      </c>
      <c r="M88" s="58">
        <f>IFERROR(LOOKUP(2,1/(U88:AY88&lt;&gt;""),U$2:AY$2),"")</f>
        <v/>
      </c>
      <c r="N88" s="59">
        <f>IF(OR(G88="",M88=""),"",G88-M88)</f>
        <v/>
      </c>
      <c r="O88" s="60" t="n"/>
      <c r="P88" s="61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  <c r="AG88" s="62" t="n"/>
      <c r="AH88" s="62" t="n"/>
      <c r="AI88" s="62" t="n"/>
      <c r="AJ88" s="62" t="n"/>
      <c r="AK88" s="62" t="n"/>
      <c r="AL88" s="62" t="n"/>
      <c r="AM88" s="62" t="n"/>
      <c r="AN88" s="62" t="n"/>
      <c r="AO88" s="62" t="n"/>
      <c r="AP88" s="62" t="n"/>
      <c r="AQ88" s="62" t="n"/>
      <c r="AR88" s="62" t="n"/>
      <c r="AS88" s="62" t="n"/>
      <c r="AT88" s="62" t="n"/>
      <c r="AU88" s="62" t="n"/>
      <c r="AV88" s="62" t="n"/>
      <c r="AW88" s="62" t="n"/>
      <c r="AX88" s="62" t="n"/>
      <c r="AY88" s="62" t="n"/>
    </row>
    <row r="89">
      <c r="A89" s="38">
        <f>IF(D89="","",COUNTA($D$71:D89))</f>
        <v/>
      </c>
      <c r="B89" s="52" t="n"/>
      <c r="C89" s="68" t="inlineStr">
        <is>
          <t>마케팅3팀</t>
        </is>
      </c>
      <c r="D89" s="52" t="n"/>
      <c r="E89" s="54" t="n"/>
      <c r="F89" s="52" t="n"/>
      <c r="G89" s="55" t="n"/>
      <c r="H89" s="54" t="n"/>
      <c r="I89" s="54" t="n"/>
      <c r="J89" s="54" t="n"/>
      <c r="K89" s="56">
        <f>IF(SUM(U89:AY89)=0,"",SUM(U89:AY89))</f>
        <v/>
      </c>
      <c r="L89" s="57">
        <f>IFERROR(INDEX(U$2:AY$2,MATCH(TRUE,U89:AY89&lt;&gt;"",0)),"")</f>
        <v/>
      </c>
      <c r="M89" s="58">
        <f>IFERROR(LOOKUP(2,1/(U89:AY89&lt;&gt;""),U$2:AY$2),"")</f>
        <v/>
      </c>
      <c r="N89" s="59">
        <f>IF(OR(G89="",M89=""),"",G89-M89)</f>
        <v/>
      </c>
      <c r="O89" s="60" t="n"/>
      <c r="P89" s="61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  <c r="AG89" s="62" t="n"/>
      <c r="AH89" s="62" t="n"/>
      <c r="AI89" s="62" t="n"/>
      <c r="AJ89" s="62" t="n"/>
      <c r="AK89" s="62" t="n"/>
      <c r="AL89" s="62" t="n"/>
      <c r="AM89" s="62" t="n"/>
      <c r="AN89" s="62" t="n"/>
      <c r="AO89" s="62" t="n"/>
      <c r="AP89" s="62" t="n"/>
      <c r="AQ89" s="62" t="n"/>
      <c r="AR89" s="62" t="n"/>
      <c r="AS89" s="62" t="n"/>
      <c r="AT89" s="62" t="n"/>
      <c r="AU89" s="62" t="n"/>
      <c r="AV89" s="62" t="n"/>
      <c r="AW89" s="62" t="n"/>
      <c r="AX89" s="62" t="n"/>
      <c r="AY89" s="62" t="n"/>
    </row>
    <row r="90">
      <c r="A90" s="38">
        <f>IF(D90="","",COUNTA($D$71:D90))</f>
        <v/>
      </c>
      <c r="B90" s="52" t="n"/>
      <c r="C90" s="68" t="inlineStr">
        <is>
          <t>마케팅3팀</t>
        </is>
      </c>
      <c r="D90" s="52" t="n"/>
      <c r="E90" s="54" t="n"/>
      <c r="F90" s="52" t="n"/>
      <c r="G90" s="55" t="n"/>
      <c r="H90" s="54" t="n"/>
      <c r="I90" s="54" t="n"/>
      <c r="J90" s="54" t="n"/>
      <c r="K90" s="56">
        <f>IF(SUM(U90:AY90)=0,"",SUM(U90:AY90))</f>
        <v/>
      </c>
      <c r="L90" s="57">
        <f>IFERROR(INDEX(U$2:AY$2,MATCH(TRUE,U90:AY90&lt;&gt;"",0)),"")</f>
        <v/>
      </c>
      <c r="M90" s="58">
        <f>IFERROR(LOOKUP(2,1/(U90:AY90&lt;&gt;""),U$2:AY$2),"")</f>
        <v/>
      </c>
      <c r="N90" s="59">
        <f>IF(OR(G90="",M90=""),"",G90-M90)</f>
        <v/>
      </c>
      <c r="O90" s="60" t="n"/>
      <c r="P90" s="61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  <c r="AG90" s="62" t="n"/>
      <c r="AH90" s="62" t="n"/>
      <c r="AI90" s="62" t="n"/>
      <c r="AJ90" s="62" t="n"/>
      <c r="AK90" s="62" t="n"/>
      <c r="AL90" s="62" t="n"/>
      <c r="AM90" s="62" t="n"/>
      <c r="AN90" s="62" t="n"/>
      <c r="AO90" s="62" t="n"/>
      <c r="AP90" s="62" t="n"/>
      <c r="AQ90" s="62" t="n"/>
      <c r="AR90" s="62" t="n"/>
      <c r="AS90" s="62" t="n"/>
      <c r="AT90" s="62" t="n"/>
      <c r="AU90" s="62" t="n"/>
      <c r="AV90" s="62" t="n"/>
      <c r="AW90" s="62" t="n"/>
      <c r="AX90" s="62" t="n"/>
      <c r="AY90" s="62" t="n"/>
    </row>
    <row r="91">
      <c r="A91" s="38">
        <f>IF(D91="","",COUNTA($D$71:D91))</f>
        <v/>
      </c>
      <c r="B91" s="52" t="n"/>
      <c r="C91" s="68" t="inlineStr">
        <is>
          <t>마케팅3팀</t>
        </is>
      </c>
      <c r="D91" s="52" t="n"/>
      <c r="E91" s="54" t="n"/>
      <c r="F91" s="52" t="n"/>
      <c r="G91" s="55" t="n"/>
      <c r="H91" s="54" t="n"/>
      <c r="I91" s="54" t="n"/>
      <c r="J91" s="54" t="n"/>
      <c r="K91" s="56">
        <f>IF(SUM(U91:AY91)=0,"",SUM(U91:AY91))</f>
        <v/>
      </c>
      <c r="L91" s="57">
        <f>IFERROR(INDEX(U$2:AY$2,MATCH(TRUE,U91:AY91&lt;&gt;"",0)),"")</f>
        <v/>
      </c>
      <c r="M91" s="58">
        <f>IFERROR(LOOKUP(2,1/(U91:AY91&lt;&gt;""),U$2:AY$2),"")</f>
        <v/>
      </c>
      <c r="N91" s="59">
        <f>IF(OR(G91="",M91=""),"",G91-M91)</f>
        <v/>
      </c>
      <c r="O91" s="60" t="n"/>
      <c r="P91" s="61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  <c r="AG91" s="62" t="n"/>
      <c r="AH91" s="62" t="n"/>
      <c r="AI91" s="62" t="n"/>
      <c r="AJ91" s="62" t="n"/>
      <c r="AK91" s="62" t="n"/>
      <c r="AL91" s="62" t="n"/>
      <c r="AM91" s="62" t="n"/>
      <c r="AN91" s="62" t="n"/>
      <c r="AO91" s="62" t="n"/>
      <c r="AP91" s="62" t="n"/>
      <c r="AQ91" s="62" t="n"/>
      <c r="AR91" s="62" t="n"/>
      <c r="AS91" s="62" t="n"/>
      <c r="AT91" s="62" t="n"/>
      <c r="AU91" s="62" t="n"/>
      <c r="AV91" s="62" t="n"/>
      <c r="AW91" s="62" t="n"/>
      <c r="AX91" s="62" t="n"/>
      <c r="AY91" s="62" t="n"/>
    </row>
    <row r="92">
      <c r="A92" s="38">
        <f>IF(D92="","",COUNTA($D$71:D92))</f>
        <v/>
      </c>
      <c r="B92" s="52" t="n"/>
      <c r="C92" s="68" t="inlineStr">
        <is>
          <t>마케팅3팀</t>
        </is>
      </c>
      <c r="D92" s="52" t="n"/>
      <c r="E92" s="54" t="n"/>
      <c r="F92" s="52" t="n"/>
      <c r="G92" s="55" t="n"/>
      <c r="H92" s="54" t="n"/>
      <c r="I92" s="54" t="n"/>
      <c r="J92" s="54" t="n"/>
      <c r="K92" s="56">
        <f>IF(SUM(U92:AY92)=0,"",SUM(U92:AY92))</f>
        <v/>
      </c>
      <c r="L92" s="57">
        <f>IFERROR(INDEX(U$2:AY$2,MATCH(TRUE,U92:AY92&lt;&gt;"",0)),"")</f>
        <v/>
      </c>
      <c r="M92" s="58">
        <f>IFERROR(LOOKUP(2,1/(U92:AY92&lt;&gt;""),U$2:AY$2),"")</f>
        <v/>
      </c>
      <c r="N92" s="59">
        <f>IF(OR(G92="",M92=""),"",G92-M92)</f>
        <v/>
      </c>
      <c r="O92" s="60" t="n"/>
      <c r="P92" s="61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  <c r="AG92" s="62" t="n"/>
      <c r="AH92" s="62" t="n"/>
      <c r="AI92" s="62" t="n"/>
      <c r="AJ92" s="62" t="n"/>
      <c r="AK92" s="62" t="n"/>
      <c r="AL92" s="62" t="n"/>
      <c r="AM92" s="62" t="n"/>
      <c r="AN92" s="62" t="n"/>
      <c r="AO92" s="62" t="n"/>
      <c r="AP92" s="62" t="n"/>
      <c r="AQ92" s="62" t="n"/>
      <c r="AR92" s="62" t="n"/>
      <c r="AS92" s="62" t="n"/>
      <c r="AT92" s="62" t="n"/>
      <c r="AU92" s="62" t="n"/>
      <c r="AV92" s="62" t="n"/>
      <c r="AW92" s="62" t="n"/>
      <c r="AX92" s="62" t="n"/>
      <c r="AY92" s="62" t="n"/>
    </row>
    <row r="93">
      <c r="A93" s="38">
        <f>IF(D93="","",COUNTA($D$71:D93))</f>
        <v/>
      </c>
      <c r="B93" s="52" t="n"/>
      <c r="C93" s="68" t="inlineStr">
        <is>
          <t>마케팅3팀</t>
        </is>
      </c>
      <c r="D93" s="52" t="n"/>
      <c r="E93" s="54" t="n"/>
      <c r="F93" s="52" t="n"/>
      <c r="G93" s="55" t="n"/>
      <c r="H93" s="54" t="n"/>
      <c r="I93" s="54" t="n"/>
      <c r="J93" s="54" t="n"/>
      <c r="K93" s="56">
        <f>IF(SUM(U93:AY93)=0,"",SUM(U93:AY93))</f>
        <v/>
      </c>
      <c r="L93" s="57">
        <f>IFERROR(INDEX(U$2:AY$2,MATCH(TRUE,U93:AY93&lt;&gt;"",0)),"")</f>
        <v/>
      </c>
      <c r="M93" s="58">
        <f>IFERROR(LOOKUP(2,1/(U93:AY93&lt;&gt;""),U$2:AY$2),"")</f>
        <v/>
      </c>
      <c r="N93" s="59">
        <f>IF(OR(G93="",M93=""),"",G93-M93)</f>
        <v/>
      </c>
      <c r="O93" s="60" t="n"/>
      <c r="P93" s="61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  <c r="AG93" s="62" t="n"/>
      <c r="AH93" s="62" t="n"/>
      <c r="AI93" s="62" t="n"/>
      <c r="AJ93" s="62" t="n"/>
      <c r="AK93" s="62" t="n"/>
      <c r="AL93" s="62" t="n"/>
      <c r="AM93" s="62" t="n"/>
      <c r="AN93" s="62" t="n"/>
      <c r="AO93" s="62" t="n"/>
      <c r="AP93" s="62" t="n"/>
      <c r="AQ93" s="62" t="n"/>
      <c r="AR93" s="62" t="n"/>
      <c r="AS93" s="62" t="n"/>
      <c r="AT93" s="62" t="n"/>
      <c r="AU93" s="62" t="n"/>
      <c r="AV93" s="62" t="n"/>
      <c r="AW93" s="62" t="n"/>
      <c r="AX93" s="62" t="n"/>
      <c r="AY93" s="62" t="n"/>
    </row>
    <row r="94">
      <c r="A94" s="38">
        <f>IF(D94="","",COUNTA($D$71:D94))</f>
        <v/>
      </c>
      <c r="B94" s="52" t="n"/>
      <c r="C94" s="68" t="inlineStr">
        <is>
          <t>마케팅3팀</t>
        </is>
      </c>
      <c r="D94" s="52" t="n"/>
      <c r="E94" s="54" t="n"/>
      <c r="F94" s="52" t="n"/>
      <c r="G94" s="55" t="n"/>
      <c r="H94" s="54" t="n"/>
      <c r="I94" s="54" t="n"/>
      <c r="J94" s="54" t="n"/>
      <c r="K94" s="56">
        <f>IF(SUM(U94:AY94)=0,"",SUM(U94:AY94))</f>
        <v/>
      </c>
      <c r="L94" s="57">
        <f>IFERROR(INDEX(U$2:AY$2,MATCH(TRUE,U94:AY94&lt;&gt;"",0)),"")</f>
        <v/>
      </c>
      <c r="M94" s="58">
        <f>IFERROR(LOOKUP(2,1/(U94:AY94&lt;&gt;""),U$2:AY$2),"")</f>
        <v/>
      </c>
      <c r="N94" s="59">
        <f>IF(OR(G94="",M94=""),"",G94-M94)</f>
        <v/>
      </c>
      <c r="O94" s="60" t="n"/>
      <c r="P94" s="61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  <c r="AG94" s="62" t="n"/>
      <c r="AH94" s="62" t="n"/>
      <c r="AI94" s="62" t="n"/>
      <c r="AJ94" s="62" t="n"/>
      <c r="AK94" s="62" t="n"/>
      <c r="AL94" s="62" t="n"/>
      <c r="AM94" s="62" t="n"/>
      <c r="AN94" s="62" t="n"/>
      <c r="AO94" s="62" t="n"/>
      <c r="AP94" s="62" t="n"/>
      <c r="AQ94" s="62" t="n"/>
      <c r="AR94" s="62" t="n"/>
      <c r="AS94" s="62" t="n"/>
      <c r="AT94" s="62" t="n"/>
      <c r="AU94" s="62" t="n"/>
      <c r="AV94" s="62" t="n"/>
      <c r="AW94" s="62" t="n"/>
      <c r="AX94" s="62" t="n"/>
      <c r="AY94" s="62" t="n"/>
    </row>
    <row r="95">
      <c r="A95" s="38">
        <f>IF(D95="","",COUNTA($D$71:D95))</f>
        <v/>
      </c>
      <c r="B95" s="52" t="n"/>
      <c r="C95" s="68" t="inlineStr">
        <is>
          <t>마케팅3팀</t>
        </is>
      </c>
      <c r="D95" s="52" t="n"/>
      <c r="E95" s="54" t="n"/>
      <c r="F95" s="52" t="n"/>
      <c r="G95" s="55" t="n"/>
      <c r="H95" s="54" t="n"/>
      <c r="I95" s="54" t="n"/>
      <c r="J95" s="54" t="n"/>
      <c r="K95" s="56">
        <f>IF(SUM(U95:AY95)=0,"",SUM(U95:AY95))</f>
        <v/>
      </c>
      <c r="L95" s="57">
        <f>IFERROR(INDEX(U$2:AY$2,MATCH(TRUE,U95:AY95&lt;&gt;"",0)),"")</f>
        <v/>
      </c>
      <c r="M95" s="58">
        <f>IFERROR(LOOKUP(2,1/(U95:AY95&lt;&gt;""),U$2:AY$2),"")</f>
        <v/>
      </c>
      <c r="N95" s="59">
        <f>IF(OR(G95="",M95=""),"",G95-M95)</f>
        <v/>
      </c>
      <c r="O95" s="60" t="n"/>
      <c r="P95" s="61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  <c r="AG95" s="62" t="n"/>
      <c r="AH95" s="62" t="n"/>
      <c r="AI95" s="62" t="n"/>
      <c r="AJ95" s="62" t="n"/>
      <c r="AK95" s="62" t="n"/>
      <c r="AL95" s="62" t="n"/>
      <c r="AM95" s="62" t="n"/>
      <c r="AN95" s="62" t="n"/>
      <c r="AO95" s="62" t="n"/>
      <c r="AP95" s="62" t="n"/>
      <c r="AQ95" s="62" t="n"/>
      <c r="AR95" s="62" t="n"/>
      <c r="AS95" s="62" t="n"/>
      <c r="AT95" s="62" t="n"/>
      <c r="AU95" s="62" t="n"/>
      <c r="AV95" s="62" t="n"/>
      <c r="AW95" s="62" t="n"/>
      <c r="AX95" s="62" t="n"/>
      <c r="AY95" s="62" t="n"/>
    </row>
    <row r="96">
      <c r="A96" s="38">
        <f>IF(D96="","",COUNTA($D$71:D96))</f>
        <v/>
      </c>
      <c r="B96" s="52" t="n"/>
      <c r="C96" s="68" t="inlineStr">
        <is>
          <t>마케팅3팀</t>
        </is>
      </c>
      <c r="D96" s="52" t="n"/>
      <c r="E96" s="54" t="n"/>
      <c r="F96" s="52" t="n"/>
      <c r="G96" s="55" t="n"/>
      <c r="H96" s="54" t="n"/>
      <c r="I96" s="54" t="n"/>
      <c r="J96" s="54" t="n"/>
      <c r="K96" s="56">
        <f>IF(SUM(U96:AY96)=0,"",SUM(U96:AY96))</f>
        <v/>
      </c>
      <c r="L96" s="57">
        <f>IFERROR(INDEX(U$2:AY$2,MATCH(TRUE,U96:AY96&lt;&gt;"",0)),"")</f>
        <v/>
      </c>
      <c r="M96" s="58">
        <f>IFERROR(LOOKUP(2,1/(U96:AY96&lt;&gt;""),U$2:AY$2),"")</f>
        <v/>
      </c>
      <c r="N96" s="59">
        <f>IF(OR(G96="",M96=""),"",G96-M96)</f>
        <v/>
      </c>
      <c r="O96" s="60" t="n"/>
      <c r="P96" s="61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  <c r="AG96" s="62" t="n"/>
      <c r="AH96" s="62" t="n"/>
      <c r="AI96" s="62" t="n"/>
      <c r="AJ96" s="62" t="n"/>
      <c r="AK96" s="62" t="n"/>
      <c r="AL96" s="62" t="n"/>
      <c r="AM96" s="62" t="n"/>
      <c r="AN96" s="62" t="n"/>
      <c r="AO96" s="62" t="n"/>
      <c r="AP96" s="62" t="n"/>
      <c r="AQ96" s="62" t="n"/>
      <c r="AR96" s="62" t="n"/>
      <c r="AS96" s="62" t="n"/>
      <c r="AT96" s="62" t="n"/>
      <c r="AU96" s="62" t="n"/>
      <c r="AV96" s="62" t="n"/>
      <c r="AW96" s="62" t="n"/>
      <c r="AX96" s="62" t="n"/>
      <c r="AY96" s="62" t="n"/>
    </row>
    <row r="97">
      <c r="A97" s="38">
        <f>IF(D97="","",COUNTA($D$71:D97))</f>
        <v/>
      </c>
      <c r="B97" s="52" t="n"/>
      <c r="C97" s="68" t="inlineStr">
        <is>
          <t>마케팅3팀</t>
        </is>
      </c>
      <c r="D97" s="52" t="n"/>
      <c r="E97" s="54" t="n"/>
      <c r="F97" s="52" t="n"/>
      <c r="G97" s="55" t="n"/>
      <c r="H97" s="54" t="n"/>
      <c r="I97" s="54" t="n"/>
      <c r="J97" s="54" t="n"/>
      <c r="K97" s="56">
        <f>IF(SUM(U97:AY97)=0,"",SUM(U97:AY97))</f>
        <v/>
      </c>
      <c r="L97" s="57">
        <f>IFERROR(INDEX(U$2:AY$2,MATCH(TRUE,U97:AY97&lt;&gt;"",0)),"")</f>
        <v/>
      </c>
      <c r="M97" s="58">
        <f>IFERROR(LOOKUP(2,1/(U97:AY97&lt;&gt;""),U$2:AY$2),"")</f>
        <v/>
      </c>
      <c r="N97" s="59">
        <f>IF(OR(G97="",M97=""),"",G97-M97)</f>
        <v/>
      </c>
      <c r="O97" s="60" t="n"/>
      <c r="P97" s="61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  <c r="AG97" s="62" t="n"/>
      <c r="AH97" s="62" t="n"/>
      <c r="AI97" s="62" t="n"/>
      <c r="AJ97" s="62" t="n"/>
      <c r="AK97" s="62" t="n"/>
      <c r="AL97" s="62" t="n"/>
      <c r="AM97" s="62" t="n"/>
      <c r="AN97" s="62" t="n"/>
      <c r="AO97" s="62" t="n"/>
      <c r="AP97" s="62" t="n"/>
      <c r="AQ97" s="62" t="n"/>
      <c r="AR97" s="62" t="n"/>
      <c r="AS97" s="62" t="n"/>
      <c r="AT97" s="62" t="n"/>
      <c r="AU97" s="62" t="n"/>
      <c r="AV97" s="62" t="n"/>
      <c r="AW97" s="62" t="n"/>
      <c r="AX97" s="62" t="n"/>
      <c r="AY97" s="62" t="n"/>
    </row>
    <row r="98">
      <c r="A98" s="38">
        <f>IF(D98="","",COUNTA($D$71:D98))</f>
        <v/>
      </c>
      <c r="B98" s="52" t="n"/>
      <c r="C98" s="68" t="inlineStr">
        <is>
          <t>마케팅3팀</t>
        </is>
      </c>
      <c r="D98" s="52" t="n"/>
      <c r="E98" s="54" t="n"/>
      <c r="F98" s="52" t="n"/>
      <c r="G98" s="55" t="n"/>
      <c r="H98" s="54" t="n"/>
      <c r="I98" s="54" t="n"/>
      <c r="J98" s="54" t="n"/>
      <c r="K98" s="56">
        <f>IF(SUM(U98:AY98)=0,"",SUM(U98:AY98))</f>
        <v/>
      </c>
      <c r="L98" s="57">
        <f>IFERROR(INDEX(U$2:AY$2,MATCH(TRUE,U98:AY98&lt;&gt;"",0)),"")</f>
        <v/>
      </c>
      <c r="M98" s="58">
        <f>IFERROR(LOOKUP(2,1/(U98:AY98&lt;&gt;""),U$2:AY$2),"")</f>
        <v/>
      </c>
      <c r="N98" s="59">
        <f>IF(OR(G98="",M98=""),"",G98-M98)</f>
        <v/>
      </c>
      <c r="O98" s="60" t="n"/>
      <c r="P98" s="61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  <c r="AG98" s="62" t="n"/>
      <c r="AH98" s="62" t="n"/>
      <c r="AI98" s="62" t="n"/>
      <c r="AJ98" s="62" t="n"/>
      <c r="AK98" s="62" t="n"/>
      <c r="AL98" s="62" t="n"/>
      <c r="AM98" s="62" t="n"/>
      <c r="AN98" s="62" t="n"/>
      <c r="AO98" s="62" t="n"/>
      <c r="AP98" s="62" t="n"/>
      <c r="AQ98" s="62" t="n"/>
      <c r="AR98" s="62" t="n"/>
      <c r="AS98" s="62" t="n"/>
      <c r="AT98" s="62" t="n"/>
      <c r="AU98" s="62" t="n"/>
      <c r="AV98" s="62" t="n"/>
      <c r="AW98" s="62" t="n"/>
      <c r="AX98" s="62" t="n"/>
      <c r="AY98" s="62" t="n"/>
    </row>
    <row r="99">
      <c r="A99" s="38">
        <f>IF(D99="","",COUNTA($D$71:D99))</f>
        <v/>
      </c>
      <c r="B99" s="52" t="n"/>
      <c r="C99" s="68" t="inlineStr">
        <is>
          <t>마케팅3팀</t>
        </is>
      </c>
      <c r="D99" s="52" t="n"/>
      <c r="E99" s="54" t="n"/>
      <c r="F99" s="52" t="n"/>
      <c r="G99" s="55" t="n"/>
      <c r="H99" s="54" t="n"/>
      <c r="I99" s="54" t="n"/>
      <c r="J99" s="54" t="n"/>
      <c r="K99" s="56">
        <f>IF(SUM(U99:AY99)=0,"",SUM(U99:AY99))</f>
        <v/>
      </c>
      <c r="L99" s="57">
        <f>IFERROR(INDEX(U$2:AY$2,MATCH(TRUE,U99:AY99&lt;&gt;"",0)),"")</f>
        <v/>
      </c>
      <c r="M99" s="58">
        <f>IFERROR(LOOKUP(2,1/(U99:AY99&lt;&gt;""),U$2:AY$2),"")</f>
        <v/>
      </c>
      <c r="N99" s="59">
        <f>IF(OR(G99="",M99=""),"",G99-M99)</f>
        <v/>
      </c>
      <c r="O99" s="60" t="n"/>
      <c r="P99" s="61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  <c r="AG99" s="62" t="n"/>
      <c r="AH99" s="62" t="n"/>
      <c r="AI99" s="62" t="n"/>
      <c r="AJ99" s="62" t="n"/>
      <c r="AK99" s="62" t="n"/>
      <c r="AL99" s="62" t="n"/>
      <c r="AM99" s="62" t="n"/>
      <c r="AN99" s="62" t="n"/>
      <c r="AO99" s="62" t="n"/>
      <c r="AP99" s="62" t="n"/>
      <c r="AQ99" s="62" t="n"/>
      <c r="AR99" s="62" t="n"/>
      <c r="AS99" s="62" t="n"/>
      <c r="AT99" s="62" t="n"/>
      <c r="AU99" s="62" t="n"/>
      <c r="AV99" s="62" t="n"/>
      <c r="AW99" s="62" t="n"/>
      <c r="AX99" s="62" t="n"/>
      <c r="AY99" s="62" t="n"/>
    </row>
    <row r="100">
      <c r="A100" s="38">
        <f>IF(D100="","",COUNTA($D$71:D100))</f>
        <v/>
      </c>
      <c r="B100" s="52" t="n"/>
      <c r="C100" s="68" t="inlineStr">
        <is>
          <t>마케팅3팀</t>
        </is>
      </c>
      <c r="D100" s="52" t="n"/>
      <c r="E100" s="54" t="n"/>
      <c r="F100" s="52" t="n"/>
      <c r="G100" s="55" t="n"/>
      <c r="H100" s="54" t="n"/>
      <c r="I100" s="54" t="n"/>
      <c r="J100" s="54" t="n"/>
      <c r="K100" s="56">
        <f>IF(SUM(U100:AY100)=0,"",SUM(U100:AY100))</f>
        <v/>
      </c>
      <c r="L100" s="57">
        <f>IFERROR(INDEX(U$2:AY$2,MATCH(TRUE,U100:AY100&lt;&gt;"",0)),"")</f>
        <v/>
      </c>
      <c r="M100" s="58">
        <f>IFERROR(LOOKUP(2,1/(U100:AY100&lt;&gt;""),U$2:AY$2),"")</f>
        <v/>
      </c>
      <c r="N100" s="59">
        <f>IF(OR(G100="",M100=""),"",G100-M100)</f>
        <v/>
      </c>
      <c r="O100" s="60" t="n"/>
      <c r="P100" s="61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  <c r="AG100" s="62" t="n"/>
      <c r="AH100" s="62" t="n"/>
      <c r="AI100" s="62" t="n"/>
      <c r="AJ100" s="62" t="n"/>
      <c r="AK100" s="62" t="n"/>
      <c r="AL100" s="62" t="n"/>
      <c r="AM100" s="62" t="n"/>
      <c r="AN100" s="62" t="n"/>
      <c r="AO100" s="62" t="n"/>
      <c r="AP100" s="62" t="n"/>
      <c r="AQ100" s="62" t="n"/>
      <c r="AR100" s="62" t="n"/>
      <c r="AS100" s="62" t="n"/>
      <c r="AT100" s="62" t="n"/>
      <c r="AU100" s="62" t="n"/>
      <c r="AV100" s="62" t="n"/>
      <c r="AW100" s="62" t="n"/>
      <c r="AX100" s="62" t="n"/>
      <c r="AY100" s="62" t="n"/>
    </row>
    <row r="101">
      <c r="A101" s="69" t="inlineStr">
        <is>
          <t>마케팅4팀  (102~131행)</t>
        </is>
      </c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  <c r="AJ101" s="70" t="n"/>
      <c r="AK101" s="70" t="n"/>
      <c r="AL101" s="70" t="n"/>
      <c r="AM101" s="70" t="n"/>
      <c r="AN101" s="70" t="n"/>
      <c r="AO101" s="70" t="n"/>
      <c r="AP101" s="70" t="n"/>
      <c r="AQ101" s="70" t="n"/>
      <c r="AR101" s="70" t="n"/>
      <c r="AS101" s="70" t="n"/>
      <c r="AT101" s="70" t="n"/>
      <c r="AU101" s="70" t="n"/>
      <c r="AV101" s="70" t="n"/>
      <c r="AW101" s="70" t="n"/>
      <c r="AX101" s="70" t="n"/>
      <c r="AY101" s="70" t="n"/>
    </row>
    <row r="102">
      <c r="A102" s="38">
        <f>IF(D102="","",COUNTA($D$102:D102))</f>
        <v/>
      </c>
      <c r="B102" s="52" t="n"/>
      <c r="C102" s="71" t="inlineStr">
        <is>
          <t>마케팅4팀</t>
        </is>
      </c>
      <c r="D102" s="52" t="n"/>
      <c r="E102" s="54" t="n"/>
      <c r="F102" s="52" t="n"/>
      <c r="G102" s="55" t="n"/>
      <c r="H102" s="54" t="n"/>
      <c r="I102" s="54" t="n"/>
      <c r="J102" s="54" t="n"/>
      <c r="K102" s="56">
        <f>IF(SUM(U102:AY102)=0,"",SUM(U102:AY102))</f>
        <v/>
      </c>
      <c r="L102" s="57">
        <f>IFERROR(INDEX(U$2:AY$2,MATCH(TRUE,U102:AY102&lt;&gt;"",0)),"")</f>
        <v/>
      </c>
      <c r="M102" s="58">
        <f>IFERROR(LOOKUP(2,1/(U102:AY102&lt;&gt;""),U$2:AY$2),"")</f>
        <v/>
      </c>
      <c r="N102" s="59">
        <f>IF(OR(G102="",M102=""),"",G102-M102)</f>
        <v/>
      </c>
      <c r="O102" s="60" t="n"/>
      <c r="P102" s="61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  <c r="AG102" s="62" t="n"/>
      <c r="AH102" s="62" t="n"/>
      <c r="AI102" s="62" t="n"/>
      <c r="AJ102" s="62" t="n"/>
      <c r="AK102" s="62" t="n"/>
      <c r="AL102" s="62" t="n"/>
      <c r="AM102" s="62" t="n"/>
      <c r="AN102" s="62" t="n"/>
      <c r="AO102" s="62" t="n"/>
      <c r="AP102" s="62" t="n"/>
      <c r="AQ102" s="62" t="n"/>
      <c r="AR102" s="62" t="n"/>
      <c r="AS102" s="62" t="n"/>
      <c r="AT102" s="62" t="n"/>
      <c r="AU102" s="62" t="n"/>
      <c r="AV102" s="62" t="n"/>
      <c r="AW102" s="62" t="n"/>
      <c r="AX102" s="62" t="n"/>
      <c r="AY102" s="62" t="n"/>
    </row>
    <row r="103">
      <c r="A103" s="38">
        <f>IF(D103="","",COUNTA($D$102:D103))</f>
        <v/>
      </c>
      <c r="B103" s="52" t="n"/>
      <c r="C103" s="71" t="inlineStr">
        <is>
          <t>마케팅4팀</t>
        </is>
      </c>
      <c r="D103" s="52" t="n"/>
      <c r="E103" s="54" t="n"/>
      <c r="F103" s="52" t="n"/>
      <c r="G103" s="55" t="n"/>
      <c r="H103" s="54" t="n"/>
      <c r="I103" s="54" t="n"/>
      <c r="J103" s="54" t="n"/>
      <c r="K103" s="56">
        <f>IF(SUM(U103:AY103)=0,"",SUM(U103:AY103))</f>
        <v/>
      </c>
      <c r="L103" s="57">
        <f>IFERROR(INDEX(U$2:AY$2,MATCH(TRUE,U103:AY103&lt;&gt;"",0)),"")</f>
        <v/>
      </c>
      <c r="M103" s="58">
        <f>IFERROR(LOOKUP(2,1/(U103:AY103&lt;&gt;""),U$2:AY$2),"")</f>
        <v/>
      </c>
      <c r="N103" s="59">
        <f>IF(OR(G103="",M103=""),"",G103-M103)</f>
        <v/>
      </c>
      <c r="O103" s="60" t="n"/>
      <c r="P103" s="61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  <c r="AG103" s="62" t="n"/>
      <c r="AH103" s="62" t="n"/>
      <c r="AI103" s="62" t="n"/>
      <c r="AJ103" s="62" t="n"/>
      <c r="AK103" s="62" t="n"/>
      <c r="AL103" s="62" t="n"/>
      <c r="AM103" s="62" t="n"/>
      <c r="AN103" s="62" t="n"/>
      <c r="AO103" s="62" t="n"/>
      <c r="AP103" s="62" t="n"/>
      <c r="AQ103" s="62" t="n"/>
      <c r="AR103" s="62" t="n"/>
      <c r="AS103" s="62" t="n"/>
      <c r="AT103" s="62" t="n"/>
      <c r="AU103" s="62" t="n"/>
      <c r="AV103" s="62" t="n"/>
      <c r="AW103" s="62" t="n"/>
      <c r="AX103" s="62" t="n"/>
      <c r="AY103" s="62" t="n"/>
    </row>
    <row r="104">
      <c r="A104" s="38">
        <f>IF(D104="","",COUNTA($D$102:D104))</f>
        <v/>
      </c>
      <c r="B104" s="52" t="n"/>
      <c r="C104" s="71" t="inlineStr">
        <is>
          <t>마케팅4팀</t>
        </is>
      </c>
      <c r="D104" s="52" t="n"/>
      <c r="E104" s="54" t="n"/>
      <c r="F104" s="52" t="n"/>
      <c r="G104" s="55" t="n"/>
      <c r="H104" s="54" t="n"/>
      <c r="I104" s="54" t="n"/>
      <c r="J104" s="54" t="n"/>
      <c r="K104" s="56">
        <f>IF(SUM(U104:AY104)=0,"",SUM(U104:AY104))</f>
        <v/>
      </c>
      <c r="L104" s="57">
        <f>IFERROR(INDEX(U$2:AY$2,MATCH(TRUE,U104:AY104&lt;&gt;"",0)),"")</f>
        <v/>
      </c>
      <c r="M104" s="58">
        <f>IFERROR(LOOKUP(2,1/(U104:AY104&lt;&gt;""),U$2:AY$2),"")</f>
        <v/>
      </c>
      <c r="N104" s="59">
        <f>IF(OR(G104="",M104=""),"",G104-M104)</f>
        <v/>
      </c>
      <c r="O104" s="60" t="n"/>
      <c r="P104" s="61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  <c r="AG104" s="62" t="n"/>
      <c r="AH104" s="62" t="n"/>
      <c r="AI104" s="62" t="n"/>
      <c r="AJ104" s="62" t="n"/>
      <c r="AK104" s="62" t="n"/>
      <c r="AL104" s="62" t="n"/>
      <c r="AM104" s="62" t="n"/>
      <c r="AN104" s="62" t="n"/>
      <c r="AO104" s="62" t="n"/>
      <c r="AP104" s="62" t="n"/>
      <c r="AQ104" s="62" t="n"/>
      <c r="AR104" s="62" t="n"/>
      <c r="AS104" s="62" t="n"/>
      <c r="AT104" s="62" t="n"/>
      <c r="AU104" s="62" t="n"/>
      <c r="AV104" s="62" t="n"/>
      <c r="AW104" s="62" t="n"/>
      <c r="AX104" s="62" t="n"/>
      <c r="AY104" s="62" t="n"/>
    </row>
    <row r="105">
      <c r="A105" s="38">
        <f>IF(D105="","",COUNTA($D$102:D105))</f>
        <v/>
      </c>
      <c r="B105" s="52" t="n"/>
      <c r="C105" s="71" t="inlineStr">
        <is>
          <t>마케팅4팀</t>
        </is>
      </c>
      <c r="D105" s="52" t="n"/>
      <c r="E105" s="54" t="n"/>
      <c r="F105" s="52" t="n"/>
      <c r="G105" s="55" t="n"/>
      <c r="H105" s="54" t="n"/>
      <c r="I105" s="54" t="n"/>
      <c r="J105" s="54" t="n"/>
      <c r="K105" s="56">
        <f>IF(SUM(U105:AY105)=0,"",SUM(U105:AY105))</f>
        <v/>
      </c>
      <c r="L105" s="57">
        <f>IFERROR(INDEX(U$2:AY$2,MATCH(TRUE,U105:AY105&lt;&gt;"",0)),"")</f>
        <v/>
      </c>
      <c r="M105" s="58">
        <f>IFERROR(LOOKUP(2,1/(U105:AY105&lt;&gt;""),U$2:AY$2),"")</f>
        <v/>
      </c>
      <c r="N105" s="59">
        <f>IF(OR(G105="",M105=""),"",G105-M105)</f>
        <v/>
      </c>
      <c r="O105" s="60" t="n"/>
      <c r="P105" s="61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  <c r="AG105" s="62" t="n"/>
      <c r="AH105" s="62" t="n"/>
      <c r="AI105" s="62" t="n"/>
      <c r="AJ105" s="62" t="n"/>
      <c r="AK105" s="62" t="n"/>
      <c r="AL105" s="62" t="n"/>
      <c r="AM105" s="62" t="n"/>
      <c r="AN105" s="62" t="n"/>
      <c r="AO105" s="62" t="n"/>
      <c r="AP105" s="62" t="n"/>
      <c r="AQ105" s="62" t="n"/>
      <c r="AR105" s="62" t="n"/>
      <c r="AS105" s="62" t="n"/>
      <c r="AT105" s="62" t="n"/>
      <c r="AU105" s="62" t="n"/>
      <c r="AV105" s="62" t="n"/>
      <c r="AW105" s="62" t="n"/>
      <c r="AX105" s="62" t="n"/>
      <c r="AY105" s="62" t="n"/>
    </row>
    <row r="106">
      <c r="A106" s="38">
        <f>IF(D106="","",COUNTA($D$102:D106))</f>
        <v/>
      </c>
      <c r="B106" s="52" t="n"/>
      <c r="C106" s="71" t="inlineStr">
        <is>
          <t>마케팅4팀</t>
        </is>
      </c>
      <c r="D106" s="52" t="n"/>
      <c r="E106" s="54" t="n"/>
      <c r="F106" s="52" t="n"/>
      <c r="G106" s="55" t="n"/>
      <c r="H106" s="54" t="n"/>
      <c r="I106" s="54" t="n"/>
      <c r="J106" s="54" t="n"/>
      <c r="K106" s="56">
        <f>IF(SUM(U106:AY106)=0,"",SUM(U106:AY106))</f>
        <v/>
      </c>
      <c r="L106" s="57">
        <f>IFERROR(INDEX(U$2:AY$2,MATCH(TRUE,U106:AY106&lt;&gt;"",0)),"")</f>
        <v/>
      </c>
      <c r="M106" s="58">
        <f>IFERROR(LOOKUP(2,1/(U106:AY106&lt;&gt;""),U$2:AY$2),"")</f>
        <v/>
      </c>
      <c r="N106" s="59">
        <f>IF(OR(G106="",M106=""),"",G106-M106)</f>
        <v/>
      </c>
      <c r="O106" s="60" t="n"/>
      <c r="P106" s="61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  <c r="AG106" s="62" t="n"/>
      <c r="AH106" s="62" t="n"/>
      <c r="AI106" s="62" t="n"/>
      <c r="AJ106" s="62" t="n"/>
      <c r="AK106" s="62" t="n"/>
      <c r="AL106" s="62" t="n"/>
      <c r="AM106" s="62" t="n"/>
      <c r="AN106" s="62" t="n"/>
      <c r="AO106" s="62" t="n"/>
      <c r="AP106" s="62" t="n"/>
      <c r="AQ106" s="62" t="n"/>
      <c r="AR106" s="62" t="n"/>
      <c r="AS106" s="62" t="n"/>
      <c r="AT106" s="62" t="n"/>
      <c r="AU106" s="62" t="n"/>
      <c r="AV106" s="62" t="n"/>
      <c r="AW106" s="62" t="n"/>
      <c r="AX106" s="62" t="n"/>
      <c r="AY106" s="62" t="n"/>
    </row>
    <row r="107">
      <c r="A107" s="38">
        <f>IF(D107="","",COUNTA($D$102:D107))</f>
        <v/>
      </c>
      <c r="B107" s="52" t="n"/>
      <c r="C107" s="71" t="inlineStr">
        <is>
          <t>마케팅4팀</t>
        </is>
      </c>
      <c r="D107" s="52" t="n"/>
      <c r="E107" s="54" t="n"/>
      <c r="F107" s="52" t="n"/>
      <c r="G107" s="55" t="n"/>
      <c r="H107" s="54" t="n"/>
      <c r="I107" s="54" t="n"/>
      <c r="J107" s="54" t="n"/>
      <c r="K107" s="56">
        <f>IF(SUM(U107:AY107)=0,"",SUM(U107:AY107))</f>
        <v/>
      </c>
      <c r="L107" s="57">
        <f>IFERROR(INDEX(U$2:AY$2,MATCH(TRUE,U107:AY107&lt;&gt;"",0)),"")</f>
        <v/>
      </c>
      <c r="M107" s="58">
        <f>IFERROR(LOOKUP(2,1/(U107:AY107&lt;&gt;""),U$2:AY$2),"")</f>
        <v/>
      </c>
      <c r="N107" s="59">
        <f>IF(OR(G107="",M107=""),"",G107-M107)</f>
        <v/>
      </c>
      <c r="O107" s="60" t="n"/>
      <c r="P107" s="61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  <c r="AG107" s="62" t="n"/>
      <c r="AH107" s="62" t="n"/>
      <c r="AI107" s="62" t="n"/>
      <c r="AJ107" s="62" t="n"/>
      <c r="AK107" s="62" t="n"/>
      <c r="AL107" s="62" t="n"/>
      <c r="AM107" s="62" t="n"/>
      <c r="AN107" s="62" t="n"/>
      <c r="AO107" s="62" t="n"/>
      <c r="AP107" s="62" t="n"/>
      <c r="AQ107" s="62" t="n"/>
      <c r="AR107" s="62" t="n"/>
      <c r="AS107" s="62" t="n"/>
      <c r="AT107" s="62" t="n"/>
      <c r="AU107" s="62" t="n"/>
      <c r="AV107" s="62" t="n"/>
      <c r="AW107" s="62" t="n"/>
      <c r="AX107" s="62" t="n"/>
      <c r="AY107" s="62" t="n"/>
    </row>
    <row r="108">
      <c r="A108" s="38">
        <f>IF(D108="","",COUNTA($D$102:D108))</f>
        <v/>
      </c>
      <c r="B108" s="52" t="n"/>
      <c r="C108" s="71" t="inlineStr">
        <is>
          <t>마케팅4팀</t>
        </is>
      </c>
      <c r="D108" s="52" t="n"/>
      <c r="E108" s="54" t="n"/>
      <c r="F108" s="52" t="n"/>
      <c r="G108" s="55" t="n"/>
      <c r="H108" s="54" t="n"/>
      <c r="I108" s="54" t="n"/>
      <c r="J108" s="54" t="n"/>
      <c r="K108" s="56">
        <f>IF(SUM(U108:AY108)=0,"",SUM(U108:AY108))</f>
        <v/>
      </c>
      <c r="L108" s="57">
        <f>IFERROR(INDEX(U$2:AY$2,MATCH(TRUE,U108:AY108&lt;&gt;"",0)),"")</f>
        <v/>
      </c>
      <c r="M108" s="58">
        <f>IFERROR(LOOKUP(2,1/(U108:AY108&lt;&gt;""),U$2:AY$2),"")</f>
        <v/>
      </c>
      <c r="N108" s="59">
        <f>IF(OR(G108="",M108=""),"",G108-M108)</f>
        <v/>
      </c>
      <c r="O108" s="60" t="n"/>
      <c r="P108" s="61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  <c r="AG108" s="62" t="n"/>
      <c r="AH108" s="62" t="n"/>
      <c r="AI108" s="62" t="n"/>
      <c r="AJ108" s="62" t="n"/>
      <c r="AK108" s="62" t="n"/>
      <c r="AL108" s="62" t="n"/>
      <c r="AM108" s="62" t="n"/>
      <c r="AN108" s="62" t="n"/>
      <c r="AO108" s="62" t="n"/>
      <c r="AP108" s="62" t="n"/>
      <c r="AQ108" s="62" t="n"/>
      <c r="AR108" s="62" t="n"/>
      <c r="AS108" s="62" t="n"/>
      <c r="AT108" s="62" t="n"/>
      <c r="AU108" s="62" t="n"/>
      <c r="AV108" s="62" t="n"/>
      <c r="AW108" s="62" t="n"/>
      <c r="AX108" s="62" t="n"/>
      <c r="AY108" s="62" t="n"/>
    </row>
    <row r="109">
      <c r="A109" s="38">
        <f>IF(D109="","",COUNTA($D$102:D109))</f>
        <v/>
      </c>
      <c r="B109" s="52" t="n"/>
      <c r="C109" s="71" t="inlineStr">
        <is>
          <t>마케팅4팀</t>
        </is>
      </c>
      <c r="D109" s="52" t="n"/>
      <c r="E109" s="54" t="n"/>
      <c r="F109" s="52" t="n"/>
      <c r="G109" s="55" t="n"/>
      <c r="H109" s="54" t="n"/>
      <c r="I109" s="54" t="n"/>
      <c r="J109" s="54" t="n"/>
      <c r="K109" s="56">
        <f>IF(SUM(U109:AY109)=0,"",SUM(U109:AY109))</f>
        <v/>
      </c>
      <c r="L109" s="57">
        <f>IFERROR(INDEX(U$2:AY$2,MATCH(TRUE,U109:AY109&lt;&gt;"",0)),"")</f>
        <v/>
      </c>
      <c r="M109" s="58">
        <f>IFERROR(LOOKUP(2,1/(U109:AY109&lt;&gt;""),U$2:AY$2),"")</f>
        <v/>
      </c>
      <c r="N109" s="59">
        <f>IF(OR(G109="",M109=""),"",G109-M109)</f>
        <v/>
      </c>
      <c r="O109" s="60" t="n"/>
      <c r="P109" s="61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  <c r="AG109" s="62" t="n"/>
      <c r="AH109" s="62" t="n"/>
      <c r="AI109" s="62" t="n"/>
      <c r="AJ109" s="62" t="n"/>
      <c r="AK109" s="62" t="n"/>
      <c r="AL109" s="62" t="n"/>
      <c r="AM109" s="62" t="n"/>
      <c r="AN109" s="62" t="n"/>
      <c r="AO109" s="62" t="n"/>
      <c r="AP109" s="62" t="n"/>
      <c r="AQ109" s="62" t="n"/>
      <c r="AR109" s="62" t="n"/>
      <c r="AS109" s="62" t="n"/>
      <c r="AT109" s="62" t="n"/>
      <c r="AU109" s="62" t="n"/>
      <c r="AV109" s="62" t="n"/>
      <c r="AW109" s="62" t="n"/>
      <c r="AX109" s="62" t="n"/>
      <c r="AY109" s="62" t="n"/>
    </row>
    <row r="110">
      <c r="A110" s="38">
        <f>IF(D110="","",COUNTA($D$102:D110))</f>
        <v/>
      </c>
      <c r="B110" s="52" t="n"/>
      <c r="C110" s="71" t="inlineStr">
        <is>
          <t>마케팅4팀</t>
        </is>
      </c>
      <c r="D110" s="52" t="n"/>
      <c r="E110" s="54" t="n"/>
      <c r="F110" s="52" t="n"/>
      <c r="G110" s="55" t="n"/>
      <c r="H110" s="54" t="n"/>
      <c r="I110" s="54" t="n"/>
      <c r="J110" s="54" t="n"/>
      <c r="K110" s="56">
        <f>IF(SUM(U110:AY110)=0,"",SUM(U110:AY110))</f>
        <v/>
      </c>
      <c r="L110" s="57">
        <f>IFERROR(INDEX(U$2:AY$2,MATCH(TRUE,U110:AY110&lt;&gt;"",0)),"")</f>
        <v/>
      </c>
      <c r="M110" s="58">
        <f>IFERROR(LOOKUP(2,1/(U110:AY110&lt;&gt;""),U$2:AY$2),"")</f>
        <v/>
      </c>
      <c r="N110" s="59">
        <f>IF(OR(G110="",M110=""),"",G110-M110)</f>
        <v/>
      </c>
      <c r="O110" s="60" t="n"/>
      <c r="P110" s="61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  <c r="AG110" s="62" t="n"/>
      <c r="AH110" s="62" t="n"/>
      <c r="AI110" s="62" t="n"/>
      <c r="AJ110" s="62" t="n"/>
      <c r="AK110" s="62" t="n"/>
      <c r="AL110" s="62" t="n"/>
      <c r="AM110" s="62" t="n"/>
      <c r="AN110" s="62" t="n"/>
      <c r="AO110" s="62" t="n"/>
      <c r="AP110" s="62" t="n"/>
      <c r="AQ110" s="62" t="n"/>
      <c r="AR110" s="62" t="n"/>
      <c r="AS110" s="62" t="n"/>
      <c r="AT110" s="62" t="n"/>
      <c r="AU110" s="62" t="n"/>
      <c r="AV110" s="62" t="n"/>
      <c r="AW110" s="62" t="n"/>
      <c r="AX110" s="62" t="n"/>
      <c r="AY110" s="62" t="n"/>
    </row>
    <row r="111">
      <c r="A111" s="38">
        <f>IF(D111="","",COUNTA($D$102:D111))</f>
        <v/>
      </c>
      <c r="B111" s="52" t="n"/>
      <c r="C111" s="71" t="inlineStr">
        <is>
          <t>마케팅4팀</t>
        </is>
      </c>
      <c r="D111" s="52" t="n"/>
      <c r="E111" s="54" t="n"/>
      <c r="F111" s="52" t="n"/>
      <c r="G111" s="55" t="n"/>
      <c r="H111" s="54" t="n"/>
      <c r="I111" s="54" t="n"/>
      <c r="J111" s="54" t="n"/>
      <c r="K111" s="56">
        <f>IF(SUM(U111:AY111)=0,"",SUM(U111:AY111))</f>
        <v/>
      </c>
      <c r="L111" s="57">
        <f>IFERROR(INDEX(U$2:AY$2,MATCH(TRUE,U111:AY111&lt;&gt;"",0)),"")</f>
        <v/>
      </c>
      <c r="M111" s="58">
        <f>IFERROR(LOOKUP(2,1/(U111:AY111&lt;&gt;""),U$2:AY$2),"")</f>
        <v/>
      </c>
      <c r="N111" s="59">
        <f>IF(OR(G111="",M111=""),"",G111-M111)</f>
        <v/>
      </c>
      <c r="O111" s="60" t="n"/>
      <c r="P111" s="61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  <c r="AG111" s="62" t="n"/>
      <c r="AH111" s="62" t="n"/>
      <c r="AI111" s="62" t="n"/>
      <c r="AJ111" s="62" t="n"/>
      <c r="AK111" s="62" t="n"/>
      <c r="AL111" s="62" t="n"/>
      <c r="AM111" s="62" t="n"/>
      <c r="AN111" s="62" t="n"/>
      <c r="AO111" s="62" t="n"/>
      <c r="AP111" s="62" t="n"/>
      <c r="AQ111" s="62" t="n"/>
      <c r="AR111" s="62" t="n"/>
      <c r="AS111" s="62" t="n"/>
      <c r="AT111" s="62" t="n"/>
      <c r="AU111" s="62" t="n"/>
      <c r="AV111" s="62" t="n"/>
      <c r="AW111" s="62" t="n"/>
      <c r="AX111" s="62" t="n"/>
      <c r="AY111" s="62" t="n"/>
    </row>
    <row r="112">
      <c r="A112" s="38">
        <f>IF(D112="","",COUNTA($D$102:D112))</f>
        <v/>
      </c>
      <c r="B112" s="52" t="n"/>
      <c r="C112" s="71" t="inlineStr">
        <is>
          <t>마케팅4팀</t>
        </is>
      </c>
      <c r="D112" s="52" t="n"/>
      <c r="E112" s="54" t="n"/>
      <c r="F112" s="52" t="n"/>
      <c r="G112" s="55" t="n"/>
      <c r="H112" s="54" t="n"/>
      <c r="I112" s="54" t="n"/>
      <c r="J112" s="54" t="n"/>
      <c r="K112" s="56">
        <f>IF(SUM(U112:AY112)=0,"",SUM(U112:AY112))</f>
        <v/>
      </c>
      <c r="L112" s="57">
        <f>IFERROR(INDEX(U$2:AY$2,MATCH(TRUE,U112:AY112&lt;&gt;"",0)),"")</f>
        <v/>
      </c>
      <c r="M112" s="58">
        <f>IFERROR(LOOKUP(2,1/(U112:AY112&lt;&gt;""),U$2:AY$2),"")</f>
        <v/>
      </c>
      <c r="N112" s="59">
        <f>IF(OR(G112="",M112=""),"",G112-M112)</f>
        <v/>
      </c>
      <c r="O112" s="60" t="n"/>
      <c r="P112" s="61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  <c r="AG112" s="62" t="n"/>
      <c r="AH112" s="62" t="n"/>
      <c r="AI112" s="62" t="n"/>
      <c r="AJ112" s="62" t="n"/>
      <c r="AK112" s="62" t="n"/>
      <c r="AL112" s="62" t="n"/>
      <c r="AM112" s="62" t="n"/>
      <c r="AN112" s="62" t="n"/>
      <c r="AO112" s="62" t="n"/>
      <c r="AP112" s="62" t="n"/>
      <c r="AQ112" s="62" t="n"/>
      <c r="AR112" s="62" t="n"/>
      <c r="AS112" s="62" t="n"/>
      <c r="AT112" s="62" t="n"/>
      <c r="AU112" s="62" t="n"/>
      <c r="AV112" s="62" t="n"/>
      <c r="AW112" s="62" t="n"/>
      <c r="AX112" s="62" t="n"/>
      <c r="AY112" s="62" t="n"/>
    </row>
    <row r="113">
      <c r="A113" s="38">
        <f>IF(D113="","",COUNTA($D$102:D113))</f>
        <v/>
      </c>
      <c r="B113" s="52" t="n"/>
      <c r="C113" s="71" t="inlineStr">
        <is>
          <t>마케팅4팀</t>
        </is>
      </c>
      <c r="D113" s="52" t="n"/>
      <c r="E113" s="54" t="n"/>
      <c r="F113" s="52" t="n"/>
      <c r="G113" s="55" t="n"/>
      <c r="H113" s="54" t="n"/>
      <c r="I113" s="54" t="n"/>
      <c r="J113" s="54" t="n"/>
      <c r="K113" s="56">
        <f>IF(SUM(U113:AY113)=0,"",SUM(U113:AY113))</f>
        <v/>
      </c>
      <c r="L113" s="57">
        <f>IFERROR(INDEX(U$2:AY$2,MATCH(TRUE,U113:AY113&lt;&gt;"",0)),"")</f>
        <v/>
      </c>
      <c r="M113" s="58">
        <f>IFERROR(LOOKUP(2,1/(U113:AY113&lt;&gt;""),U$2:AY$2),"")</f>
        <v/>
      </c>
      <c r="N113" s="59">
        <f>IF(OR(G113="",M113=""),"",G113-M113)</f>
        <v/>
      </c>
      <c r="O113" s="60" t="n"/>
      <c r="P113" s="61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  <c r="AG113" s="62" t="n"/>
      <c r="AH113" s="62" t="n"/>
      <c r="AI113" s="62" t="n"/>
      <c r="AJ113" s="62" t="n"/>
      <c r="AK113" s="62" t="n"/>
      <c r="AL113" s="62" t="n"/>
      <c r="AM113" s="62" t="n"/>
      <c r="AN113" s="62" t="n"/>
      <c r="AO113" s="62" t="n"/>
      <c r="AP113" s="62" t="n"/>
      <c r="AQ113" s="62" t="n"/>
      <c r="AR113" s="62" t="n"/>
      <c r="AS113" s="62" t="n"/>
      <c r="AT113" s="62" t="n"/>
      <c r="AU113" s="62" t="n"/>
      <c r="AV113" s="62" t="n"/>
      <c r="AW113" s="62" t="n"/>
      <c r="AX113" s="62" t="n"/>
      <c r="AY113" s="62" t="n"/>
    </row>
    <row r="114">
      <c r="A114" s="38">
        <f>IF(D114="","",COUNTA($D$102:D114))</f>
        <v/>
      </c>
      <c r="B114" s="52" t="n"/>
      <c r="C114" s="71" t="inlineStr">
        <is>
          <t>마케팅4팀</t>
        </is>
      </c>
      <c r="D114" s="52" t="n"/>
      <c r="E114" s="54" t="n"/>
      <c r="F114" s="52" t="n"/>
      <c r="G114" s="55" t="n"/>
      <c r="H114" s="54" t="n"/>
      <c r="I114" s="54" t="n"/>
      <c r="J114" s="54" t="n"/>
      <c r="K114" s="56">
        <f>IF(SUM(U114:AY114)=0,"",SUM(U114:AY114))</f>
        <v/>
      </c>
      <c r="L114" s="57">
        <f>IFERROR(INDEX(U$2:AY$2,MATCH(TRUE,U114:AY114&lt;&gt;"",0)),"")</f>
        <v/>
      </c>
      <c r="M114" s="58">
        <f>IFERROR(LOOKUP(2,1/(U114:AY114&lt;&gt;""),U$2:AY$2),"")</f>
        <v/>
      </c>
      <c r="N114" s="59">
        <f>IF(OR(G114="",M114=""),"",G114-M114)</f>
        <v/>
      </c>
      <c r="O114" s="60" t="n"/>
      <c r="P114" s="61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  <c r="AG114" s="62" t="n"/>
      <c r="AH114" s="62" t="n"/>
      <c r="AI114" s="62" t="n"/>
      <c r="AJ114" s="62" t="n"/>
      <c r="AK114" s="62" t="n"/>
      <c r="AL114" s="62" t="n"/>
      <c r="AM114" s="62" t="n"/>
      <c r="AN114" s="62" t="n"/>
      <c r="AO114" s="62" t="n"/>
      <c r="AP114" s="62" t="n"/>
      <c r="AQ114" s="62" t="n"/>
      <c r="AR114" s="62" t="n"/>
      <c r="AS114" s="62" t="n"/>
      <c r="AT114" s="62" t="n"/>
      <c r="AU114" s="62" t="n"/>
      <c r="AV114" s="62" t="n"/>
      <c r="AW114" s="62" t="n"/>
      <c r="AX114" s="62" t="n"/>
      <c r="AY114" s="62" t="n"/>
    </row>
    <row r="115">
      <c r="A115" s="38">
        <f>IF(D115="","",COUNTA($D$102:D115))</f>
        <v/>
      </c>
      <c r="B115" s="52" t="n"/>
      <c r="C115" s="71" t="inlineStr">
        <is>
          <t>마케팅4팀</t>
        </is>
      </c>
      <c r="D115" s="52" t="n"/>
      <c r="E115" s="54" t="n"/>
      <c r="F115" s="52" t="n"/>
      <c r="G115" s="55" t="n"/>
      <c r="H115" s="54" t="n"/>
      <c r="I115" s="54" t="n"/>
      <c r="J115" s="54" t="n"/>
      <c r="K115" s="56">
        <f>IF(SUM(U115:AY115)=0,"",SUM(U115:AY115))</f>
        <v/>
      </c>
      <c r="L115" s="57">
        <f>IFERROR(INDEX(U$2:AY$2,MATCH(TRUE,U115:AY115&lt;&gt;"",0)),"")</f>
        <v/>
      </c>
      <c r="M115" s="58">
        <f>IFERROR(LOOKUP(2,1/(U115:AY115&lt;&gt;""),U$2:AY$2),"")</f>
        <v/>
      </c>
      <c r="N115" s="59">
        <f>IF(OR(G115="",M115=""),"",G115-M115)</f>
        <v/>
      </c>
      <c r="O115" s="60" t="n"/>
      <c r="P115" s="61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  <c r="AG115" s="62" t="n"/>
      <c r="AH115" s="62" t="n"/>
      <c r="AI115" s="62" t="n"/>
      <c r="AJ115" s="62" t="n"/>
      <c r="AK115" s="62" t="n"/>
      <c r="AL115" s="62" t="n"/>
      <c r="AM115" s="62" t="n"/>
      <c r="AN115" s="62" t="n"/>
      <c r="AO115" s="62" t="n"/>
      <c r="AP115" s="62" t="n"/>
      <c r="AQ115" s="62" t="n"/>
      <c r="AR115" s="62" t="n"/>
      <c r="AS115" s="62" t="n"/>
      <c r="AT115" s="62" t="n"/>
      <c r="AU115" s="62" t="n"/>
      <c r="AV115" s="62" t="n"/>
      <c r="AW115" s="62" t="n"/>
      <c r="AX115" s="62" t="n"/>
      <c r="AY115" s="62" t="n"/>
    </row>
    <row r="116">
      <c r="A116" s="38">
        <f>IF(D116="","",COUNTA($D$102:D116))</f>
        <v/>
      </c>
      <c r="B116" s="52" t="n"/>
      <c r="C116" s="71" t="inlineStr">
        <is>
          <t>마케팅4팀</t>
        </is>
      </c>
      <c r="D116" s="52" t="n"/>
      <c r="E116" s="54" t="n"/>
      <c r="F116" s="52" t="n"/>
      <c r="G116" s="55" t="n"/>
      <c r="H116" s="54" t="n"/>
      <c r="I116" s="54" t="n"/>
      <c r="J116" s="54" t="n"/>
      <c r="K116" s="56">
        <f>IF(SUM(U116:AY116)=0,"",SUM(U116:AY116))</f>
        <v/>
      </c>
      <c r="L116" s="57">
        <f>IFERROR(INDEX(U$2:AY$2,MATCH(TRUE,U116:AY116&lt;&gt;"",0)),"")</f>
        <v/>
      </c>
      <c r="M116" s="58">
        <f>IFERROR(LOOKUP(2,1/(U116:AY116&lt;&gt;""),U$2:AY$2),"")</f>
        <v/>
      </c>
      <c r="N116" s="59">
        <f>IF(OR(G116="",M116=""),"",G116-M116)</f>
        <v/>
      </c>
      <c r="O116" s="60" t="n"/>
      <c r="P116" s="61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  <c r="AG116" s="62" t="n"/>
      <c r="AH116" s="62" t="n"/>
      <c r="AI116" s="62" t="n"/>
      <c r="AJ116" s="62" t="n"/>
      <c r="AK116" s="62" t="n"/>
      <c r="AL116" s="62" t="n"/>
      <c r="AM116" s="62" t="n"/>
      <c r="AN116" s="62" t="n"/>
      <c r="AO116" s="62" t="n"/>
      <c r="AP116" s="62" t="n"/>
      <c r="AQ116" s="62" t="n"/>
      <c r="AR116" s="62" t="n"/>
      <c r="AS116" s="62" t="n"/>
      <c r="AT116" s="62" t="n"/>
      <c r="AU116" s="62" t="n"/>
      <c r="AV116" s="62" t="n"/>
      <c r="AW116" s="62" t="n"/>
      <c r="AX116" s="62" t="n"/>
      <c r="AY116" s="62" t="n"/>
    </row>
    <row r="117">
      <c r="A117" s="38">
        <f>IF(D117="","",COUNTA($D$102:D117))</f>
        <v/>
      </c>
      <c r="B117" s="52" t="n"/>
      <c r="C117" s="71" t="inlineStr">
        <is>
          <t>마케팅4팀</t>
        </is>
      </c>
      <c r="D117" s="52" t="n"/>
      <c r="E117" s="54" t="n"/>
      <c r="F117" s="52" t="n"/>
      <c r="G117" s="55" t="n"/>
      <c r="H117" s="54" t="n"/>
      <c r="I117" s="54" t="n"/>
      <c r="J117" s="54" t="n"/>
      <c r="K117" s="56">
        <f>IF(SUM(U117:AY117)=0,"",SUM(U117:AY117))</f>
        <v/>
      </c>
      <c r="L117" s="57">
        <f>IFERROR(INDEX(U$2:AY$2,MATCH(TRUE,U117:AY117&lt;&gt;"",0)),"")</f>
        <v/>
      </c>
      <c r="M117" s="58">
        <f>IFERROR(LOOKUP(2,1/(U117:AY117&lt;&gt;""),U$2:AY$2),"")</f>
        <v/>
      </c>
      <c r="N117" s="59">
        <f>IF(OR(G117="",M117=""),"",G117-M117)</f>
        <v/>
      </c>
      <c r="O117" s="60" t="n"/>
      <c r="P117" s="61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  <c r="AG117" s="62" t="n"/>
      <c r="AH117" s="62" t="n"/>
      <c r="AI117" s="62" t="n"/>
      <c r="AJ117" s="62" t="n"/>
      <c r="AK117" s="62" t="n"/>
      <c r="AL117" s="62" t="n"/>
      <c r="AM117" s="62" t="n"/>
      <c r="AN117" s="62" t="n"/>
      <c r="AO117" s="62" t="n"/>
      <c r="AP117" s="62" t="n"/>
      <c r="AQ117" s="62" t="n"/>
      <c r="AR117" s="62" t="n"/>
      <c r="AS117" s="62" t="n"/>
      <c r="AT117" s="62" t="n"/>
      <c r="AU117" s="62" t="n"/>
      <c r="AV117" s="62" t="n"/>
      <c r="AW117" s="62" t="n"/>
      <c r="AX117" s="62" t="n"/>
      <c r="AY117" s="62" t="n"/>
    </row>
    <row r="118">
      <c r="A118" s="38">
        <f>IF(D118="","",COUNTA($D$102:D118))</f>
        <v/>
      </c>
      <c r="B118" s="52" t="n"/>
      <c r="C118" s="71" t="inlineStr">
        <is>
          <t>마케팅4팀</t>
        </is>
      </c>
      <c r="D118" s="52" t="n"/>
      <c r="E118" s="54" t="n"/>
      <c r="F118" s="52" t="n"/>
      <c r="G118" s="55" t="n"/>
      <c r="H118" s="54" t="n"/>
      <c r="I118" s="54" t="n"/>
      <c r="J118" s="54" t="n"/>
      <c r="K118" s="56">
        <f>IF(SUM(U118:AY118)=0,"",SUM(U118:AY118))</f>
        <v/>
      </c>
      <c r="L118" s="57">
        <f>IFERROR(INDEX(U$2:AY$2,MATCH(TRUE,U118:AY118&lt;&gt;"",0)),"")</f>
        <v/>
      </c>
      <c r="M118" s="58">
        <f>IFERROR(LOOKUP(2,1/(U118:AY118&lt;&gt;""),U$2:AY$2),"")</f>
        <v/>
      </c>
      <c r="N118" s="59">
        <f>IF(OR(G118="",M118=""),"",G118-M118)</f>
        <v/>
      </c>
      <c r="O118" s="60" t="n"/>
      <c r="P118" s="61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  <c r="AG118" s="62" t="n"/>
      <c r="AH118" s="62" t="n"/>
      <c r="AI118" s="62" t="n"/>
      <c r="AJ118" s="62" t="n"/>
      <c r="AK118" s="62" t="n"/>
      <c r="AL118" s="62" t="n"/>
      <c r="AM118" s="62" t="n"/>
      <c r="AN118" s="62" t="n"/>
      <c r="AO118" s="62" t="n"/>
      <c r="AP118" s="62" t="n"/>
      <c r="AQ118" s="62" t="n"/>
      <c r="AR118" s="62" t="n"/>
      <c r="AS118" s="62" t="n"/>
      <c r="AT118" s="62" t="n"/>
      <c r="AU118" s="62" t="n"/>
      <c r="AV118" s="62" t="n"/>
      <c r="AW118" s="62" t="n"/>
      <c r="AX118" s="62" t="n"/>
      <c r="AY118" s="62" t="n"/>
    </row>
    <row r="119">
      <c r="A119" s="38">
        <f>IF(D119="","",COUNTA($D$102:D119))</f>
        <v/>
      </c>
      <c r="B119" s="52" t="n"/>
      <c r="C119" s="71" t="inlineStr">
        <is>
          <t>마케팅4팀</t>
        </is>
      </c>
      <c r="D119" s="52" t="n"/>
      <c r="E119" s="54" t="n"/>
      <c r="F119" s="52" t="n"/>
      <c r="G119" s="55" t="n"/>
      <c r="H119" s="54" t="n"/>
      <c r="I119" s="54" t="n"/>
      <c r="J119" s="54" t="n"/>
      <c r="K119" s="56">
        <f>IF(SUM(U119:AY119)=0,"",SUM(U119:AY119))</f>
        <v/>
      </c>
      <c r="L119" s="57">
        <f>IFERROR(INDEX(U$2:AY$2,MATCH(TRUE,U119:AY119&lt;&gt;"",0)),"")</f>
        <v/>
      </c>
      <c r="M119" s="58">
        <f>IFERROR(LOOKUP(2,1/(U119:AY119&lt;&gt;""),U$2:AY$2),"")</f>
        <v/>
      </c>
      <c r="N119" s="59">
        <f>IF(OR(G119="",M119=""),"",G119-M119)</f>
        <v/>
      </c>
      <c r="O119" s="60" t="n"/>
      <c r="P119" s="61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  <c r="AG119" s="62" t="n"/>
      <c r="AH119" s="62" t="n"/>
      <c r="AI119" s="62" t="n"/>
      <c r="AJ119" s="62" t="n"/>
      <c r="AK119" s="62" t="n"/>
      <c r="AL119" s="62" t="n"/>
      <c r="AM119" s="62" t="n"/>
      <c r="AN119" s="62" t="n"/>
      <c r="AO119" s="62" t="n"/>
      <c r="AP119" s="62" t="n"/>
      <c r="AQ119" s="62" t="n"/>
      <c r="AR119" s="62" t="n"/>
      <c r="AS119" s="62" t="n"/>
      <c r="AT119" s="62" t="n"/>
      <c r="AU119" s="62" t="n"/>
      <c r="AV119" s="62" t="n"/>
      <c r="AW119" s="62" t="n"/>
      <c r="AX119" s="62" t="n"/>
      <c r="AY119" s="62" t="n"/>
    </row>
    <row r="120">
      <c r="A120" s="38">
        <f>IF(D120="","",COUNTA($D$102:D120))</f>
        <v/>
      </c>
      <c r="B120" s="52" t="n"/>
      <c r="C120" s="71" t="inlineStr">
        <is>
          <t>마케팅4팀</t>
        </is>
      </c>
      <c r="D120" s="52" t="n"/>
      <c r="E120" s="54" t="n"/>
      <c r="F120" s="52" t="n"/>
      <c r="G120" s="55" t="n"/>
      <c r="H120" s="54" t="n"/>
      <c r="I120" s="54" t="n"/>
      <c r="J120" s="54" t="n"/>
      <c r="K120" s="56">
        <f>IF(SUM(U120:AY120)=0,"",SUM(U120:AY120))</f>
        <v/>
      </c>
      <c r="L120" s="57">
        <f>IFERROR(INDEX(U$2:AY$2,MATCH(TRUE,U120:AY120&lt;&gt;"",0)),"")</f>
        <v/>
      </c>
      <c r="M120" s="58">
        <f>IFERROR(LOOKUP(2,1/(U120:AY120&lt;&gt;""),U$2:AY$2),"")</f>
        <v/>
      </c>
      <c r="N120" s="59">
        <f>IF(OR(G120="",M120=""),"",G120-M120)</f>
        <v/>
      </c>
      <c r="O120" s="60" t="n"/>
      <c r="P120" s="61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  <c r="AG120" s="62" t="n"/>
      <c r="AH120" s="62" t="n"/>
      <c r="AI120" s="62" t="n"/>
      <c r="AJ120" s="62" t="n"/>
      <c r="AK120" s="62" t="n"/>
      <c r="AL120" s="62" t="n"/>
      <c r="AM120" s="62" t="n"/>
      <c r="AN120" s="62" t="n"/>
      <c r="AO120" s="62" t="n"/>
      <c r="AP120" s="62" t="n"/>
      <c r="AQ120" s="62" t="n"/>
      <c r="AR120" s="62" t="n"/>
      <c r="AS120" s="62" t="n"/>
      <c r="AT120" s="62" t="n"/>
      <c r="AU120" s="62" t="n"/>
      <c r="AV120" s="62" t="n"/>
      <c r="AW120" s="62" t="n"/>
      <c r="AX120" s="62" t="n"/>
      <c r="AY120" s="62" t="n"/>
    </row>
    <row r="121">
      <c r="A121" s="38">
        <f>IF(D121="","",COUNTA($D$102:D121))</f>
        <v/>
      </c>
      <c r="B121" s="52" t="n"/>
      <c r="C121" s="71" t="inlineStr">
        <is>
          <t>마케팅4팀</t>
        </is>
      </c>
      <c r="D121" s="52" t="n"/>
      <c r="E121" s="54" t="n"/>
      <c r="F121" s="52" t="n"/>
      <c r="G121" s="55" t="n"/>
      <c r="H121" s="54" t="n"/>
      <c r="I121" s="54" t="n"/>
      <c r="J121" s="54" t="n"/>
      <c r="K121" s="56">
        <f>IF(SUM(U121:AY121)=0,"",SUM(U121:AY121))</f>
        <v/>
      </c>
      <c r="L121" s="57">
        <f>IFERROR(INDEX(U$2:AY$2,MATCH(TRUE,U121:AY121&lt;&gt;"",0)),"")</f>
        <v/>
      </c>
      <c r="M121" s="58">
        <f>IFERROR(LOOKUP(2,1/(U121:AY121&lt;&gt;""),U$2:AY$2),"")</f>
        <v/>
      </c>
      <c r="N121" s="59">
        <f>IF(OR(G121="",M121=""),"",G121-M121)</f>
        <v/>
      </c>
      <c r="O121" s="60" t="n"/>
      <c r="P121" s="61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  <c r="AG121" s="62" t="n"/>
      <c r="AH121" s="62" t="n"/>
      <c r="AI121" s="62" t="n"/>
      <c r="AJ121" s="62" t="n"/>
      <c r="AK121" s="62" t="n"/>
      <c r="AL121" s="62" t="n"/>
      <c r="AM121" s="62" t="n"/>
      <c r="AN121" s="62" t="n"/>
      <c r="AO121" s="62" t="n"/>
      <c r="AP121" s="62" t="n"/>
      <c r="AQ121" s="62" t="n"/>
      <c r="AR121" s="62" t="n"/>
      <c r="AS121" s="62" t="n"/>
      <c r="AT121" s="62" t="n"/>
      <c r="AU121" s="62" t="n"/>
      <c r="AV121" s="62" t="n"/>
      <c r="AW121" s="62" t="n"/>
      <c r="AX121" s="62" t="n"/>
      <c r="AY121" s="62" t="n"/>
    </row>
    <row r="122">
      <c r="A122" s="38">
        <f>IF(D122="","",COUNTA($D$102:D122))</f>
        <v/>
      </c>
      <c r="B122" s="52" t="n"/>
      <c r="C122" s="71" t="inlineStr">
        <is>
          <t>마케팅4팀</t>
        </is>
      </c>
      <c r="D122" s="52" t="n"/>
      <c r="E122" s="54" t="n"/>
      <c r="F122" s="52" t="n"/>
      <c r="G122" s="55" t="n"/>
      <c r="H122" s="54" t="n"/>
      <c r="I122" s="54" t="n"/>
      <c r="J122" s="54" t="n"/>
      <c r="K122" s="56">
        <f>IF(SUM(U122:AY122)=0,"",SUM(U122:AY122))</f>
        <v/>
      </c>
      <c r="L122" s="57">
        <f>IFERROR(INDEX(U$2:AY$2,MATCH(TRUE,U122:AY122&lt;&gt;"",0)),"")</f>
        <v/>
      </c>
      <c r="M122" s="58">
        <f>IFERROR(LOOKUP(2,1/(U122:AY122&lt;&gt;""),U$2:AY$2),"")</f>
        <v/>
      </c>
      <c r="N122" s="59">
        <f>IF(OR(G122="",M122=""),"",G122-M122)</f>
        <v/>
      </c>
      <c r="O122" s="60" t="n"/>
      <c r="P122" s="61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  <c r="AG122" s="62" t="n"/>
      <c r="AH122" s="62" t="n"/>
      <c r="AI122" s="62" t="n"/>
      <c r="AJ122" s="62" t="n"/>
      <c r="AK122" s="62" t="n"/>
      <c r="AL122" s="62" t="n"/>
      <c r="AM122" s="62" t="n"/>
      <c r="AN122" s="62" t="n"/>
      <c r="AO122" s="62" t="n"/>
      <c r="AP122" s="62" t="n"/>
      <c r="AQ122" s="62" t="n"/>
      <c r="AR122" s="62" t="n"/>
      <c r="AS122" s="62" t="n"/>
      <c r="AT122" s="62" t="n"/>
      <c r="AU122" s="62" t="n"/>
      <c r="AV122" s="62" t="n"/>
      <c r="AW122" s="62" t="n"/>
      <c r="AX122" s="62" t="n"/>
      <c r="AY122" s="62" t="n"/>
    </row>
    <row r="123">
      <c r="A123" s="38">
        <f>IF(D123="","",COUNTA($D$102:D123))</f>
        <v/>
      </c>
      <c r="B123" s="52" t="n"/>
      <c r="C123" s="71" t="inlineStr">
        <is>
          <t>마케팅4팀</t>
        </is>
      </c>
      <c r="D123" s="52" t="n"/>
      <c r="E123" s="54" t="n"/>
      <c r="F123" s="52" t="n"/>
      <c r="G123" s="55" t="n"/>
      <c r="H123" s="54" t="n"/>
      <c r="I123" s="54" t="n"/>
      <c r="J123" s="54" t="n"/>
      <c r="K123" s="56">
        <f>IF(SUM(U123:AY123)=0,"",SUM(U123:AY123))</f>
        <v/>
      </c>
      <c r="L123" s="57">
        <f>IFERROR(INDEX(U$2:AY$2,MATCH(TRUE,U123:AY123&lt;&gt;"",0)),"")</f>
        <v/>
      </c>
      <c r="M123" s="58">
        <f>IFERROR(LOOKUP(2,1/(U123:AY123&lt;&gt;""),U$2:AY$2),"")</f>
        <v/>
      </c>
      <c r="N123" s="59">
        <f>IF(OR(G123="",M123=""),"",G123-M123)</f>
        <v/>
      </c>
      <c r="O123" s="60" t="n"/>
      <c r="P123" s="61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  <c r="AG123" s="62" t="n"/>
      <c r="AH123" s="62" t="n"/>
      <c r="AI123" s="62" t="n"/>
      <c r="AJ123" s="62" t="n"/>
      <c r="AK123" s="62" t="n"/>
      <c r="AL123" s="62" t="n"/>
      <c r="AM123" s="62" t="n"/>
      <c r="AN123" s="62" t="n"/>
      <c r="AO123" s="62" t="n"/>
      <c r="AP123" s="62" t="n"/>
      <c r="AQ123" s="62" t="n"/>
      <c r="AR123" s="62" t="n"/>
      <c r="AS123" s="62" t="n"/>
      <c r="AT123" s="62" t="n"/>
      <c r="AU123" s="62" t="n"/>
      <c r="AV123" s="62" t="n"/>
      <c r="AW123" s="62" t="n"/>
      <c r="AX123" s="62" t="n"/>
      <c r="AY123" s="62" t="n"/>
    </row>
    <row r="124">
      <c r="A124" s="38">
        <f>IF(D124="","",COUNTA($D$102:D124))</f>
        <v/>
      </c>
      <c r="B124" s="52" t="n"/>
      <c r="C124" s="71" t="inlineStr">
        <is>
          <t>마케팅4팀</t>
        </is>
      </c>
      <c r="D124" s="52" t="n"/>
      <c r="E124" s="54" t="n"/>
      <c r="F124" s="52" t="n"/>
      <c r="G124" s="55" t="n"/>
      <c r="H124" s="54" t="n"/>
      <c r="I124" s="54" t="n"/>
      <c r="J124" s="54" t="n"/>
      <c r="K124" s="56">
        <f>IF(SUM(U124:AY124)=0,"",SUM(U124:AY124))</f>
        <v/>
      </c>
      <c r="L124" s="57">
        <f>IFERROR(INDEX(U$2:AY$2,MATCH(TRUE,U124:AY124&lt;&gt;"",0)),"")</f>
        <v/>
      </c>
      <c r="M124" s="58">
        <f>IFERROR(LOOKUP(2,1/(U124:AY124&lt;&gt;""),U$2:AY$2),"")</f>
        <v/>
      </c>
      <c r="N124" s="59">
        <f>IF(OR(G124="",M124=""),"",G124-M124)</f>
        <v/>
      </c>
      <c r="O124" s="60" t="n"/>
      <c r="P124" s="61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  <c r="AG124" s="62" t="n"/>
      <c r="AH124" s="62" t="n"/>
      <c r="AI124" s="62" t="n"/>
      <c r="AJ124" s="62" t="n"/>
      <c r="AK124" s="62" t="n"/>
      <c r="AL124" s="62" t="n"/>
      <c r="AM124" s="62" t="n"/>
      <c r="AN124" s="62" t="n"/>
      <c r="AO124" s="62" t="n"/>
      <c r="AP124" s="62" t="n"/>
      <c r="AQ124" s="62" t="n"/>
      <c r="AR124" s="62" t="n"/>
      <c r="AS124" s="62" t="n"/>
      <c r="AT124" s="62" t="n"/>
      <c r="AU124" s="62" t="n"/>
      <c r="AV124" s="62" t="n"/>
      <c r="AW124" s="62" t="n"/>
      <c r="AX124" s="62" t="n"/>
      <c r="AY124" s="62" t="n"/>
    </row>
    <row r="125">
      <c r="A125" s="38">
        <f>IF(D125="","",COUNTA($D$102:D125))</f>
        <v/>
      </c>
      <c r="B125" s="52" t="n"/>
      <c r="C125" s="71" t="inlineStr">
        <is>
          <t>마케팅4팀</t>
        </is>
      </c>
      <c r="D125" s="52" t="n"/>
      <c r="E125" s="54" t="n"/>
      <c r="F125" s="52" t="n"/>
      <c r="G125" s="55" t="n"/>
      <c r="H125" s="54" t="n"/>
      <c r="I125" s="54" t="n"/>
      <c r="J125" s="54" t="n"/>
      <c r="K125" s="56">
        <f>IF(SUM(U125:AY125)=0,"",SUM(U125:AY125))</f>
        <v/>
      </c>
      <c r="L125" s="57">
        <f>IFERROR(INDEX(U$2:AY$2,MATCH(TRUE,U125:AY125&lt;&gt;"",0)),"")</f>
        <v/>
      </c>
      <c r="M125" s="58">
        <f>IFERROR(LOOKUP(2,1/(U125:AY125&lt;&gt;""),U$2:AY$2),"")</f>
        <v/>
      </c>
      <c r="N125" s="59">
        <f>IF(OR(G125="",M125=""),"",G125-M125)</f>
        <v/>
      </c>
      <c r="O125" s="60" t="n"/>
      <c r="P125" s="61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  <c r="AG125" s="62" t="n"/>
      <c r="AH125" s="62" t="n"/>
      <c r="AI125" s="62" t="n"/>
      <c r="AJ125" s="62" t="n"/>
      <c r="AK125" s="62" t="n"/>
      <c r="AL125" s="62" t="n"/>
      <c r="AM125" s="62" t="n"/>
      <c r="AN125" s="62" t="n"/>
      <c r="AO125" s="62" t="n"/>
      <c r="AP125" s="62" t="n"/>
      <c r="AQ125" s="62" t="n"/>
      <c r="AR125" s="62" t="n"/>
      <c r="AS125" s="62" t="n"/>
      <c r="AT125" s="62" t="n"/>
      <c r="AU125" s="62" t="n"/>
      <c r="AV125" s="62" t="n"/>
      <c r="AW125" s="62" t="n"/>
      <c r="AX125" s="62" t="n"/>
      <c r="AY125" s="62" t="n"/>
    </row>
    <row r="126">
      <c r="A126" s="38">
        <f>IF(D126="","",COUNTA($D$102:D126))</f>
        <v/>
      </c>
      <c r="B126" s="52" t="n"/>
      <c r="C126" s="71" t="inlineStr">
        <is>
          <t>마케팅4팀</t>
        </is>
      </c>
      <c r="D126" s="52" t="n"/>
      <c r="E126" s="54" t="n"/>
      <c r="F126" s="52" t="n"/>
      <c r="G126" s="55" t="n"/>
      <c r="H126" s="54" t="n"/>
      <c r="I126" s="54" t="n"/>
      <c r="J126" s="54" t="n"/>
      <c r="K126" s="56">
        <f>IF(SUM(U126:AY126)=0,"",SUM(U126:AY126))</f>
        <v/>
      </c>
      <c r="L126" s="57">
        <f>IFERROR(INDEX(U$2:AY$2,MATCH(TRUE,U126:AY126&lt;&gt;"",0)),"")</f>
        <v/>
      </c>
      <c r="M126" s="58">
        <f>IFERROR(LOOKUP(2,1/(U126:AY126&lt;&gt;""),U$2:AY$2),"")</f>
        <v/>
      </c>
      <c r="N126" s="59">
        <f>IF(OR(G126="",M126=""),"",G126-M126)</f>
        <v/>
      </c>
      <c r="O126" s="60" t="n"/>
      <c r="P126" s="61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  <c r="AG126" s="62" t="n"/>
      <c r="AH126" s="62" t="n"/>
      <c r="AI126" s="62" t="n"/>
      <c r="AJ126" s="62" t="n"/>
      <c r="AK126" s="62" t="n"/>
      <c r="AL126" s="62" t="n"/>
      <c r="AM126" s="62" t="n"/>
      <c r="AN126" s="62" t="n"/>
      <c r="AO126" s="62" t="n"/>
      <c r="AP126" s="62" t="n"/>
      <c r="AQ126" s="62" t="n"/>
      <c r="AR126" s="62" t="n"/>
      <c r="AS126" s="62" t="n"/>
      <c r="AT126" s="62" t="n"/>
      <c r="AU126" s="62" t="n"/>
      <c r="AV126" s="62" t="n"/>
      <c r="AW126" s="62" t="n"/>
      <c r="AX126" s="62" t="n"/>
      <c r="AY126" s="62" t="n"/>
    </row>
    <row r="127">
      <c r="A127" s="38">
        <f>IF(D127="","",COUNTA($D$102:D127))</f>
        <v/>
      </c>
      <c r="B127" s="52" t="n"/>
      <c r="C127" s="71" t="inlineStr">
        <is>
          <t>마케팅4팀</t>
        </is>
      </c>
      <c r="D127" s="52" t="n"/>
      <c r="E127" s="54" t="n"/>
      <c r="F127" s="52" t="n"/>
      <c r="G127" s="55" t="n"/>
      <c r="H127" s="54" t="n"/>
      <c r="I127" s="54" t="n"/>
      <c r="J127" s="54" t="n"/>
      <c r="K127" s="56">
        <f>IF(SUM(U127:AY127)=0,"",SUM(U127:AY127))</f>
        <v/>
      </c>
      <c r="L127" s="57">
        <f>IFERROR(INDEX(U$2:AY$2,MATCH(TRUE,U127:AY127&lt;&gt;"",0)),"")</f>
        <v/>
      </c>
      <c r="M127" s="58">
        <f>IFERROR(LOOKUP(2,1/(U127:AY127&lt;&gt;""),U$2:AY$2),"")</f>
        <v/>
      </c>
      <c r="N127" s="59">
        <f>IF(OR(G127="",M127=""),"",G127-M127)</f>
        <v/>
      </c>
      <c r="O127" s="60" t="n"/>
      <c r="P127" s="61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  <c r="AG127" s="62" t="n"/>
      <c r="AH127" s="62" t="n"/>
      <c r="AI127" s="62" t="n"/>
      <c r="AJ127" s="62" t="n"/>
      <c r="AK127" s="62" t="n"/>
      <c r="AL127" s="62" t="n"/>
      <c r="AM127" s="62" t="n"/>
      <c r="AN127" s="62" t="n"/>
      <c r="AO127" s="62" t="n"/>
      <c r="AP127" s="62" t="n"/>
      <c r="AQ127" s="62" t="n"/>
      <c r="AR127" s="62" t="n"/>
      <c r="AS127" s="62" t="n"/>
      <c r="AT127" s="62" t="n"/>
      <c r="AU127" s="62" t="n"/>
      <c r="AV127" s="62" t="n"/>
      <c r="AW127" s="62" t="n"/>
      <c r="AX127" s="62" t="n"/>
      <c r="AY127" s="62" t="n"/>
    </row>
    <row r="128">
      <c r="A128" s="38">
        <f>IF(D128="","",COUNTA($D$102:D128))</f>
        <v/>
      </c>
      <c r="B128" s="52" t="n"/>
      <c r="C128" s="71" t="inlineStr">
        <is>
          <t>마케팅4팀</t>
        </is>
      </c>
      <c r="D128" s="52" t="n"/>
      <c r="E128" s="54" t="n"/>
      <c r="F128" s="52" t="n"/>
      <c r="G128" s="55" t="n"/>
      <c r="H128" s="54" t="n"/>
      <c r="I128" s="54" t="n"/>
      <c r="J128" s="54" t="n"/>
      <c r="K128" s="56">
        <f>IF(SUM(U128:AY128)=0,"",SUM(U128:AY128))</f>
        <v/>
      </c>
      <c r="L128" s="57">
        <f>IFERROR(INDEX(U$2:AY$2,MATCH(TRUE,U128:AY128&lt;&gt;"",0)),"")</f>
        <v/>
      </c>
      <c r="M128" s="58">
        <f>IFERROR(LOOKUP(2,1/(U128:AY128&lt;&gt;""),U$2:AY$2),"")</f>
        <v/>
      </c>
      <c r="N128" s="59">
        <f>IF(OR(G128="",M128=""),"",G128-M128)</f>
        <v/>
      </c>
      <c r="O128" s="60" t="n"/>
      <c r="P128" s="61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  <c r="AG128" s="62" t="n"/>
      <c r="AH128" s="62" t="n"/>
      <c r="AI128" s="62" t="n"/>
      <c r="AJ128" s="62" t="n"/>
      <c r="AK128" s="62" t="n"/>
      <c r="AL128" s="62" t="n"/>
      <c r="AM128" s="62" t="n"/>
      <c r="AN128" s="62" t="n"/>
      <c r="AO128" s="62" t="n"/>
      <c r="AP128" s="62" t="n"/>
      <c r="AQ128" s="62" t="n"/>
      <c r="AR128" s="62" t="n"/>
      <c r="AS128" s="62" t="n"/>
      <c r="AT128" s="62" t="n"/>
      <c r="AU128" s="62" t="n"/>
      <c r="AV128" s="62" t="n"/>
      <c r="AW128" s="62" t="n"/>
      <c r="AX128" s="62" t="n"/>
      <c r="AY128" s="62" t="n"/>
    </row>
    <row r="129">
      <c r="A129" s="38">
        <f>IF(D129="","",COUNTA($D$102:D129))</f>
        <v/>
      </c>
      <c r="B129" s="52" t="n"/>
      <c r="C129" s="71" t="inlineStr">
        <is>
          <t>마케팅4팀</t>
        </is>
      </c>
      <c r="D129" s="52" t="n"/>
      <c r="E129" s="54" t="n"/>
      <c r="F129" s="52" t="n"/>
      <c r="G129" s="55" t="n"/>
      <c r="H129" s="54" t="n"/>
      <c r="I129" s="54" t="n"/>
      <c r="J129" s="54" t="n"/>
      <c r="K129" s="56">
        <f>IF(SUM(U129:AY129)=0,"",SUM(U129:AY129))</f>
        <v/>
      </c>
      <c r="L129" s="57">
        <f>IFERROR(INDEX(U$2:AY$2,MATCH(TRUE,U129:AY129&lt;&gt;"",0)),"")</f>
        <v/>
      </c>
      <c r="M129" s="58">
        <f>IFERROR(LOOKUP(2,1/(U129:AY129&lt;&gt;""),U$2:AY$2),"")</f>
        <v/>
      </c>
      <c r="N129" s="59">
        <f>IF(OR(G129="",M129=""),"",G129-M129)</f>
        <v/>
      </c>
      <c r="O129" s="60" t="n"/>
      <c r="P129" s="61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  <c r="AG129" s="62" t="n"/>
      <c r="AH129" s="62" t="n"/>
      <c r="AI129" s="62" t="n"/>
      <c r="AJ129" s="62" t="n"/>
      <c r="AK129" s="62" t="n"/>
      <c r="AL129" s="62" t="n"/>
      <c r="AM129" s="62" t="n"/>
      <c r="AN129" s="62" t="n"/>
      <c r="AO129" s="62" t="n"/>
      <c r="AP129" s="62" t="n"/>
      <c r="AQ129" s="62" t="n"/>
      <c r="AR129" s="62" t="n"/>
      <c r="AS129" s="62" t="n"/>
      <c r="AT129" s="62" t="n"/>
      <c r="AU129" s="62" t="n"/>
      <c r="AV129" s="62" t="n"/>
      <c r="AW129" s="62" t="n"/>
      <c r="AX129" s="62" t="n"/>
      <c r="AY129" s="62" t="n"/>
    </row>
    <row r="130">
      <c r="A130" s="38">
        <f>IF(D130="","",COUNTA($D$102:D130))</f>
        <v/>
      </c>
      <c r="B130" s="52" t="n"/>
      <c r="C130" s="71" t="inlineStr">
        <is>
          <t>마케팅4팀</t>
        </is>
      </c>
      <c r="D130" s="52" t="n"/>
      <c r="E130" s="54" t="n"/>
      <c r="F130" s="52" t="n"/>
      <c r="G130" s="55" t="n"/>
      <c r="H130" s="54" t="n"/>
      <c r="I130" s="54" t="n"/>
      <c r="J130" s="54" t="n"/>
      <c r="K130" s="56">
        <f>IF(SUM(U130:AY130)=0,"",SUM(U130:AY130))</f>
        <v/>
      </c>
      <c r="L130" s="57">
        <f>IFERROR(INDEX(U$2:AY$2,MATCH(TRUE,U130:AY130&lt;&gt;"",0)),"")</f>
        <v/>
      </c>
      <c r="M130" s="58">
        <f>IFERROR(LOOKUP(2,1/(U130:AY130&lt;&gt;""),U$2:AY$2),"")</f>
        <v/>
      </c>
      <c r="N130" s="59">
        <f>IF(OR(G130="",M130=""),"",G130-M130)</f>
        <v/>
      </c>
      <c r="O130" s="60" t="n"/>
      <c r="P130" s="61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  <c r="AG130" s="62" t="n"/>
      <c r="AH130" s="62" t="n"/>
      <c r="AI130" s="62" t="n"/>
      <c r="AJ130" s="62" t="n"/>
      <c r="AK130" s="62" t="n"/>
      <c r="AL130" s="62" t="n"/>
      <c r="AM130" s="62" t="n"/>
      <c r="AN130" s="62" t="n"/>
      <c r="AO130" s="62" t="n"/>
      <c r="AP130" s="62" t="n"/>
      <c r="AQ130" s="62" t="n"/>
      <c r="AR130" s="62" t="n"/>
      <c r="AS130" s="62" t="n"/>
      <c r="AT130" s="62" t="n"/>
      <c r="AU130" s="62" t="n"/>
      <c r="AV130" s="62" t="n"/>
      <c r="AW130" s="62" t="n"/>
      <c r="AX130" s="62" t="n"/>
      <c r="AY130" s="62" t="n"/>
    </row>
    <row r="131">
      <c r="A131" s="38">
        <f>IF(D131="","",COUNTA($D$102:D131))</f>
        <v/>
      </c>
      <c r="B131" s="52" t="n"/>
      <c r="C131" s="71" t="inlineStr">
        <is>
          <t>마케팅4팀</t>
        </is>
      </c>
      <c r="D131" s="52" t="n"/>
      <c r="E131" s="54" t="n"/>
      <c r="F131" s="52" t="n"/>
      <c r="G131" s="55" t="n"/>
      <c r="H131" s="54" t="n"/>
      <c r="I131" s="54" t="n"/>
      <c r="J131" s="54" t="n"/>
      <c r="K131" s="56">
        <f>IF(SUM(U131:AY131)=0,"",SUM(U131:AY131))</f>
        <v/>
      </c>
      <c r="L131" s="57">
        <f>IFERROR(INDEX(U$2:AY$2,MATCH(TRUE,U131:AY131&lt;&gt;"",0)),"")</f>
        <v/>
      </c>
      <c r="M131" s="58">
        <f>IFERROR(LOOKUP(2,1/(U131:AY131&lt;&gt;""),U$2:AY$2),"")</f>
        <v/>
      </c>
      <c r="N131" s="59">
        <f>IF(OR(G131="",M131=""),"",G131-M131)</f>
        <v/>
      </c>
      <c r="O131" s="60" t="n"/>
      <c r="P131" s="61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  <c r="AG131" s="62" t="n"/>
      <c r="AH131" s="62" t="n"/>
      <c r="AI131" s="62" t="n"/>
      <c r="AJ131" s="62" t="n"/>
      <c r="AK131" s="62" t="n"/>
      <c r="AL131" s="62" t="n"/>
      <c r="AM131" s="62" t="n"/>
      <c r="AN131" s="62" t="n"/>
      <c r="AO131" s="62" t="n"/>
      <c r="AP131" s="62" t="n"/>
      <c r="AQ131" s="62" t="n"/>
      <c r="AR131" s="62" t="n"/>
      <c r="AS131" s="62" t="n"/>
      <c r="AT131" s="62" t="n"/>
      <c r="AU131" s="62" t="n"/>
      <c r="AV131" s="62" t="n"/>
      <c r="AW131" s="62" t="n"/>
      <c r="AX131" s="62" t="n"/>
      <c r="AY131" s="62" t="n"/>
    </row>
    <row r="132">
      <c r="A132" s="72" t="inlineStr">
        <is>
          <t>기타  (133~162행)</t>
        </is>
      </c>
      <c r="U132" s="34" t="n"/>
      <c r="V132" s="34" t="n"/>
      <c r="W132" s="34" t="n"/>
      <c r="X132" s="34" t="n"/>
      <c r="Y132" s="34" t="n"/>
      <c r="Z132" s="34" t="n"/>
      <c r="AA132" s="34" t="n"/>
      <c r="AB132" s="34" t="n"/>
      <c r="AC132" s="34" t="n"/>
      <c r="AD132" s="34" t="n"/>
      <c r="AE132" s="34" t="n"/>
      <c r="AF132" s="34" t="n"/>
      <c r="AG132" s="34" t="n"/>
      <c r="AH132" s="34" t="n"/>
      <c r="AI132" s="34" t="n"/>
      <c r="AJ132" s="34" t="n"/>
      <c r="AK132" s="34" t="n"/>
      <c r="AL132" s="34" t="n"/>
      <c r="AM132" s="34" t="n"/>
      <c r="AN132" s="34" t="n"/>
      <c r="AO132" s="34" t="n"/>
      <c r="AP132" s="34" t="n"/>
      <c r="AQ132" s="34" t="n"/>
      <c r="AR132" s="34" t="n"/>
      <c r="AS132" s="34" t="n"/>
      <c r="AT132" s="34" t="n"/>
      <c r="AU132" s="34" t="n"/>
      <c r="AV132" s="34" t="n"/>
      <c r="AW132" s="34" t="n"/>
      <c r="AX132" s="34" t="n"/>
      <c r="AY132" s="34" t="n"/>
    </row>
    <row r="133">
      <c r="A133" s="38">
        <f>IF(D133="","",COUNTA($D$133:D133))</f>
        <v/>
      </c>
      <c r="B133" s="52" t="n"/>
      <c r="C133" s="73" t="inlineStr">
        <is>
          <t>기타</t>
        </is>
      </c>
      <c r="D133" s="52" t="n"/>
      <c r="E133" s="54" t="n"/>
      <c r="F133" s="52" t="n"/>
      <c r="G133" s="55" t="n"/>
      <c r="H133" s="54" t="n"/>
      <c r="I133" s="54" t="n"/>
      <c r="J133" s="54" t="n"/>
      <c r="K133" s="56">
        <f>IF(SUM(U133:AY133)=0,"",SUM(U133:AY133))</f>
        <v/>
      </c>
      <c r="L133" s="57">
        <f>IFERROR(INDEX(U$2:AY$2,MATCH(TRUE,U133:AY133&lt;&gt;"",0)),"")</f>
        <v/>
      </c>
      <c r="M133" s="58">
        <f>IFERROR(LOOKUP(2,1/(U133:AY133&lt;&gt;""),U$2:AY$2),"")</f>
        <v/>
      </c>
      <c r="N133" s="59">
        <f>IF(OR(G133="",M133=""),"",G133-M133)</f>
        <v/>
      </c>
      <c r="O133" s="60" t="n"/>
      <c r="P133" s="61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  <c r="AG133" s="62" t="n"/>
      <c r="AH133" s="62" t="n"/>
      <c r="AI133" s="62" t="n"/>
      <c r="AJ133" s="62" t="n"/>
      <c r="AK133" s="62" t="n"/>
      <c r="AL133" s="62" t="n"/>
      <c r="AM133" s="62" t="n"/>
      <c r="AN133" s="62" t="n"/>
      <c r="AO133" s="62" t="n"/>
      <c r="AP133" s="62" t="n"/>
      <c r="AQ133" s="62" t="n"/>
      <c r="AR133" s="62" t="n"/>
      <c r="AS133" s="62" t="n"/>
      <c r="AT133" s="62" t="n"/>
      <c r="AU133" s="62" t="n"/>
      <c r="AV133" s="62" t="n"/>
      <c r="AW133" s="62" t="n"/>
      <c r="AX133" s="62" t="n"/>
      <c r="AY133" s="62" t="n"/>
    </row>
    <row r="134">
      <c r="A134" s="38">
        <f>IF(D134="","",COUNTA($D$133:D134))</f>
        <v/>
      </c>
      <c r="B134" s="52" t="n"/>
      <c r="C134" s="73" t="inlineStr">
        <is>
          <t>기타</t>
        </is>
      </c>
      <c r="D134" s="52" t="n"/>
      <c r="E134" s="54" t="n"/>
      <c r="F134" s="52" t="n"/>
      <c r="G134" s="55" t="n"/>
      <c r="H134" s="54" t="n"/>
      <c r="I134" s="54" t="n"/>
      <c r="J134" s="54" t="n"/>
      <c r="K134" s="56">
        <f>IF(SUM(U134:AY134)=0,"",SUM(U134:AY134))</f>
        <v/>
      </c>
      <c r="L134" s="57">
        <f>IFERROR(INDEX(U$2:AY$2,MATCH(TRUE,U134:AY134&lt;&gt;"",0)),"")</f>
        <v/>
      </c>
      <c r="M134" s="58">
        <f>IFERROR(LOOKUP(2,1/(U134:AY134&lt;&gt;""),U$2:AY$2),"")</f>
        <v/>
      </c>
      <c r="N134" s="59">
        <f>IF(OR(G134="",M134=""),"",G134-M134)</f>
        <v/>
      </c>
      <c r="O134" s="60" t="n"/>
      <c r="P134" s="61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  <c r="AG134" s="62" t="n"/>
      <c r="AH134" s="62" t="n"/>
      <c r="AI134" s="62" t="n"/>
      <c r="AJ134" s="62" t="n"/>
      <c r="AK134" s="62" t="n"/>
      <c r="AL134" s="62" t="n"/>
      <c r="AM134" s="62" t="n"/>
      <c r="AN134" s="62" t="n"/>
      <c r="AO134" s="62" t="n"/>
      <c r="AP134" s="62" t="n"/>
      <c r="AQ134" s="62" t="n"/>
      <c r="AR134" s="62" t="n"/>
      <c r="AS134" s="62" t="n"/>
      <c r="AT134" s="62" t="n"/>
      <c r="AU134" s="62" t="n"/>
      <c r="AV134" s="62" t="n"/>
      <c r="AW134" s="62" t="n"/>
      <c r="AX134" s="62" t="n"/>
      <c r="AY134" s="62" t="n"/>
    </row>
    <row r="135">
      <c r="A135" s="38">
        <f>IF(D135="","",COUNTA($D$133:D135))</f>
        <v/>
      </c>
      <c r="B135" s="52" t="n"/>
      <c r="C135" s="73" t="inlineStr">
        <is>
          <t>기타</t>
        </is>
      </c>
      <c r="D135" s="52" t="n"/>
      <c r="E135" s="54" t="n"/>
      <c r="F135" s="52" t="n"/>
      <c r="G135" s="55" t="n"/>
      <c r="H135" s="54" t="n"/>
      <c r="I135" s="54" t="n"/>
      <c r="J135" s="54" t="n"/>
      <c r="K135" s="56">
        <f>IF(SUM(U135:AY135)=0,"",SUM(U135:AY135))</f>
        <v/>
      </c>
      <c r="L135" s="57">
        <f>IFERROR(INDEX(U$2:AY$2,MATCH(TRUE,U135:AY135&lt;&gt;"",0)),"")</f>
        <v/>
      </c>
      <c r="M135" s="58">
        <f>IFERROR(LOOKUP(2,1/(U135:AY135&lt;&gt;""),U$2:AY$2),"")</f>
        <v/>
      </c>
      <c r="N135" s="59">
        <f>IF(OR(G135="",M135=""),"",G135-M135)</f>
        <v/>
      </c>
      <c r="O135" s="60" t="n"/>
      <c r="P135" s="61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  <c r="AG135" s="62" t="n"/>
      <c r="AH135" s="62" t="n"/>
      <c r="AI135" s="62" t="n"/>
      <c r="AJ135" s="62" t="n"/>
      <c r="AK135" s="62" t="n"/>
      <c r="AL135" s="62" t="n"/>
      <c r="AM135" s="62" t="n"/>
      <c r="AN135" s="62" t="n"/>
      <c r="AO135" s="62" t="n"/>
      <c r="AP135" s="62" t="n"/>
      <c r="AQ135" s="62" t="n"/>
      <c r="AR135" s="62" t="n"/>
      <c r="AS135" s="62" t="n"/>
      <c r="AT135" s="62" t="n"/>
      <c r="AU135" s="62" t="n"/>
      <c r="AV135" s="62" t="n"/>
      <c r="AW135" s="62" t="n"/>
      <c r="AX135" s="62" t="n"/>
      <c r="AY135" s="62" t="n"/>
    </row>
    <row r="136">
      <c r="A136" s="38">
        <f>IF(D136="","",COUNTA($D$133:D136))</f>
        <v/>
      </c>
      <c r="B136" s="52" t="n"/>
      <c r="C136" s="73" t="inlineStr">
        <is>
          <t>기타</t>
        </is>
      </c>
      <c r="D136" s="52" t="n"/>
      <c r="E136" s="54" t="n"/>
      <c r="F136" s="52" t="n"/>
      <c r="G136" s="55" t="n"/>
      <c r="H136" s="54" t="n"/>
      <c r="I136" s="54" t="n"/>
      <c r="J136" s="54" t="n"/>
      <c r="K136" s="56">
        <f>IF(SUM(U136:AY136)=0,"",SUM(U136:AY136))</f>
        <v/>
      </c>
      <c r="L136" s="57">
        <f>IFERROR(INDEX(U$2:AY$2,MATCH(TRUE,U136:AY136&lt;&gt;"",0)),"")</f>
        <v/>
      </c>
      <c r="M136" s="58">
        <f>IFERROR(LOOKUP(2,1/(U136:AY136&lt;&gt;""),U$2:AY$2),"")</f>
        <v/>
      </c>
      <c r="N136" s="59">
        <f>IF(OR(G136="",M136=""),"",G136-M136)</f>
        <v/>
      </c>
      <c r="O136" s="60" t="n"/>
      <c r="P136" s="61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  <c r="AG136" s="62" t="n"/>
      <c r="AH136" s="62" t="n"/>
      <c r="AI136" s="62" t="n"/>
      <c r="AJ136" s="62" t="n"/>
      <c r="AK136" s="62" t="n"/>
      <c r="AL136" s="62" t="n"/>
      <c r="AM136" s="62" t="n"/>
      <c r="AN136" s="62" t="n"/>
      <c r="AO136" s="62" t="n"/>
      <c r="AP136" s="62" t="n"/>
      <c r="AQ136" s="62" t="n"/>
      <c r="AR136" s="62" t="n"/>
      <c r="AS136" s="62" t="n"/>
      <c r="AT136" s="62" t="n"/>
      <c r="AU136" s="62" t="n"/>
      <c r="AV136" s="62" t="n"/>
      <c r="AW136" s="62" t="n"/>
      <c r="AX136" s="62" t="n"/>
      <c r="AY136" s="62" t="n"/>
    </row>
    <row r="137">
      <c r="A137" s="38">
        <f>IF(D137="","",COUNTA($D$133:D137))</f>
        <v/>
      </c>
      <c r="B137" s="52" t="n"/>
      <c r="C137" s="73" t="inlineStr">
        <is>
          <t>기타</t>
        </is>
      </c>
      <c r="D137" s="52" t="n"/>
      <c r="E137" s="54" t="n"/>
      <c r="F137" s="52" t="n"/>
      <c r="G137" s="55" t="n"/>
      <c r="H137" s="54" t="n"/>
      <c r="I137" s="54" t="n"/>
      <c r="J137" s="54" t="n"/>
      <c r="K137" s="56">
        <f>IF(SUM(U137:AY137)=0,"",SUM(U137:AY137))</f>
        <v/>
      </c>
      <c r="L137" s="57">
        <f>IFERROR(INDEX(U$2:AY$2,MATCH(TRUE,U137:AY137&lt;&gt;"",0)),"")</f>
        <v/>
      </c>
      <c r="M137" s="58">
        <f>IFERROR(LOOKUP(2,1/(U137:AY137&lt;&gt;""),U$2:AY$2),"")</f>
        <v/>
      </c>
      <c r="N137" s="59">
        <f>IF(OR(G137="",M137=""),"",G137-M137)</f>
        <v/>
      </c>
      <c r="O137" s="60" t="n"/>
      <c r="P137" s="61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  <c r="AG137" s="62" t="n"/>
      <c r="AH137" s="62" t="n"/>
      <c r="AI137" s="62" t="n"/>
      <c r="AJ137" s="62" t="n"/>
      <c r="AK137" s="62" t="n"/>
      <c r="AL137" s="62" t="n"/>
      <c r="AM137" s="62" t="n"/>
      <c r="AN137" s="62" t="n"/>
      <c r="AO137" s="62" t="n"/>
      <c r="AP137" s="62" t="n"/>
      <c r="AQ137" s="62" t="n"/>
      <c r="AR137" s="62" t="n"/>
      <c r="AS137" s="62" t="n"/>
      <c r="AT137" s="62" t="n"/>
      <c r="AU137" s="62" t="n"/>
      <c r="AV137" s="62" t="n"/>
      <c r="AW137" s="62" t="n"/>
      <c r="AX137" s="62" t="n"/>
      <c r="AY137" s="62" t="n"/>
    </row>
    <row r="138">
      <c r="A138" s="38">
        <f>IF(D138="","",COUNTA($D$133:D138))</f>
        <v/>
      </c>
      <c r="B138" s="52" t="n"/>
      <c r="C138" s="73" t="inlineStr">
        <is>
          <t>기타</t>
        </is>
      </c>
      <c r="D138" s="52" t="n"/>
      <c r="E138" s="54" t="n"/>
      <c r="F138" s="52" t="n"/>
      <c r="G138" s="55" t="n"/>
      <c r="H138" s="54" t="n"/>
      <c r="I138" s="54" t="n"/>
      <c r="J138" s="54" t="n"/>
      <c r="K138" s="56">
        <f>IF(SUM(U138:AY138)=0,"",SUM(U138:AY138))</f>
        <v/>
      </c>
      <c r="L138" s="57">
        <f>IFERROR(INDEX(U$2:AY$2,MATCH(TRUE,U138:AY138&lt;&gt;"",0)),"")</f>
        <v/>
      </c>
      <c r="M138" s="58">
        <f>IFERROR(LOOKUP(2,1/(U138:AY138&lt;&gt;""),U$2:AY$2),"")</f>
        <v/>
      </c>
      <c r="N138" s="59">
        <f>IF(OR(G138="",M138=""),"",G138-M138)</f>
        <v/>
      </c>
      <c r="O138" s="60" t="n"/>
      <c r="P138" s="61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  <c r="AG138" s="62" t="n"/>
      <c r="AH138" s="62" t="n"/>
      <c r="AI138" s="62" t="n"/>
      <c r="AJ138" s="62" t="n"/>
      <c r="AK138" s="62" t="n"/>
      <c r="AL138" s="62" t="n"/>
      <c r="AM138" s="62" t="n"/>
      <c r="AN138" s="62" t="n"/>
      <c r="AO138" s="62" t="n"/>
      <c r="AP138" s="62" t="n"/>
      <c r="AQ138" s="62" t="n"/>
      <c r="AR138" s="62" t="n"/>
      <c r="AS138" s="62" t="n"/>
      <c r="AT138" s="62" t="n"/>
      <c r="AU138" s="62" t="n"/>
      <c r="AV138" s="62" t="n"/>
      <c r="AW138" s="62" t="n"/>
      <c r="AX138" s="62" t="n"/>
      <c r="AY138" s="62" t="n"/>
    </row>
    <row r="139">
      <c r="A139" s="38">
        <f>IF(D139="","",COUNTA($D$133:D139))</f>
        <v/>
      </c>
      <c r="B139" s="52" t="n"/>
      <c r="C139" s="73" t="inlineStr">
        <is>
          <t>기타</t>
        </is>
      </c>
      <c r="D139" s="52" t="n"/>
      <c r="E139" s="54" t="n"/>
      <c r="F139" s="52" t="n"/>
      <c r="G139" s="55" t="n"/>
      <c r="H139" s="54" t="n"/>
      <c r="I139" s="54" t="n"/>
      <c r="J139" s="54" t="n"/>
      <c r="K139" s="56">
        <f>IF(SUM(U139:AY139)=0,"",SUM(U139:AY139))</f>
        <v/>
      </c>
      <c r="L139" s="57">
        <f>IFERROR(INDEX(U$2:AY$2,MATCH(TRUE,U139:AY139&lt;&gt;"",0)),"")</f>
        <v/>
      </c>
      <c r="M139" s="58">
        <f>IFERROR(LOOKUP(2,1/(U139:AY139&lt;&gt;""),U$2:AY$2),"")</f>
        <v/>
      </c>
      <c r="N139" s="59">
        <f>IF(OR(G139="",M139=""),"",G139-M139)</f>
        <v/>
      </c>
      <c r="O139" s="60" t="n"/>
      <c r="P139" s="61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  <c r="AG139" s="62" t="n"/>
      <c r="AH139" s="62" t="n"/>
      <c r="AI139" s="62" t="n"/>
      <c r="AJ139" s="62" t="n"/>
      <c r="AK139" s="62" t="n"/>
      <c r="AL139" s="62" t="n"/>
      <c r="AM139" s="62" t="n"/>
      <c r="AN139" s="62" t="n"/>
      <c r="AO139" s="62" t="n"/>
      <c r="AP139" s="62" t="n"/>
      <c r="AQ139" s="62" t="n"/>
      <c r="AR139" s="62" t="n"/>
      <c r="AS139" s="62" t="n"/>
      <c r="AT139" s="62" t="n"/>
      <c r="AU139" s="62" t="n"/>
      <c r="AV139" s="62" t="n"/>
      <c r="AW139" s="62" t="n"/>
      <c r="AX139" s="62" t="n"/>
      <c r="AY139" s="62" t="n"/>
    </row>
    <row r="140">
      <c r="A140" s="38">
        <f>IF(D140="","",COUNTA($D$133:D140))</f>
        <v/>
      </c>
      <c r="B140" s="52" t="n"/>
      <c r="C140" s="73" t="inlineStr">
        <is>
          <t>기타</t>
        </is>
      </c>
      <c r="D140" s="52" t="n"/>
      <c r="E140" s="54" t="n"/>
      <c r="F140" s="52" t="n"/>
      <c r="G140" s="55" t="n"/>
      <c r="H140" s="54" t="n"/>
      <c r="I140" s="54" t="n"/>
      <c r="J140" s="54" t="n"/>
      <c r="K140" s="56">
        <f>IF(SUM(U140:AY140)=0,"",SUM(U140:AY140))</f>
        <v/>
      </c>
      <c r="L140" s="57">
        <f>IFERROR(INDEX(U$2:AY$2,MATCH(TRUE,U140:AY140&lt;&gt;"",0)),"")</f>
        <v/>
      </c>
      <c r="M140" s="58">
        <f>IFERROR(LOOKUP(2,1/(U140:AY140&lt;&gt;""),U$2:AY$2),"")</f>
        <v/>
      </c>
      <c r="N140" s="59">
        <f>IF(OR(G140="",M140=""),"",G140-M140)</f>
        <v/>
      </c>
      <c r="O140" s="60" t="n"/>
      <c r="P140" s="61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  <c r="AG140" s="62" t="n"/>
      <c r="AH140" s="62" t="n"/>
      <c r="AI140" s="62" t="n"/>
      <c r="AJ140" s="62" t="n"/>
      <c r="AK140" s="62" t="n"/>
      <c r="AL140" s="62" t="n"/>
      <c r="AM140" s="62" t="n"/>
      <c r="AN140" s="62" t="n"/>
      <c r="AO140" s="62" t="n"/>
      <c r="AP140" s="62" t="n"/>
      <c r="AQ140" s="62" t="n"/>
      <c r="AR140" s="62" t="n"/>
      <c r="AS140" s="62" t="n"/>
      <c r="AT140" s="62" t="n"/>
      <c r="AU140" s="62" t="n"/>
      <c r="AV140" s="62" t="n"/>
      <c r="AW140" s="62" t="n"/>
      <c r="AX140" s="62" t="n"/>
      <c r="AY140" s="62" t="n"/>
    </row>
    <row r="141">
      <c r="A141" s="38">
        <f>IF(D141="","",COUNTA($D$133:D141))</f>
        <v/>
      </c>
      <c r="B141" s="52" t="n"/>
      <c r="C141" s="73" t="inlineStr">
        <is>
          <t>기타</t>
        </is>
      </c>
      <c r="D141" s="52" t="n"/>
      <c r="E141" s="54" t="n"/>
      <c r="F141" s="52" t="n"/>
      <c r="G141" s="55" t="n"/>
      <c r="H141" s="54" t="n"/>
      <c r="I141" s="54" t="n"/>
      <c r="J141" s="54" t="n"/>
      <c r="K141" s="56">
        <f>IF(SUM(U141:AY141)=0,"",SUM(U141:AY141))</f>
        <v/>
      </c>
      <c r="L141" s="57">
        <f>IFERROR(INDEX(U$2:AY$2,MATCH(TRUE,U141:AY141&lt;&gt;"",0)),"")</f>
        <v/>
      </c>
      <c r="M141" s="58">
        <f>IFERROR(LOOKUP(2,1/(U141:AY141&lt;&gt;""),U$2:AY$2),"")</f>
        <v/>
      </c>
      <c r="N141" s="59">
        <f>IF(OR(G141="",M141=""),"",G141-M141)</f>
        <v/>
      </c>
      <c r="O141" s="60" t="n"/>
      <c r="P141" s="61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  <c r="AG141" s="62" t="n"/>
      <c r="AH141" s="62" t="n"/>
      <c r="AI141" s="62" t="n"/>
      <c r="AJ141" s="62" t="n"/>
      <c r="AK141" s="62" t="n"/>
      <c r="AL141" s="62" t="n"/>
      <c r="AM141" s="62" t="n"/>
      <c r="AN141" s="62" t="n"/>
      <c r="AO141" s="62" t="n"/>
      <c r="AP141" s="62" t="n"/>
      <c r="AQ141" s="62" t="n"/>
      <c r="AR141" s="62" t="n"/>
      <c r="AS141" s="62" t="n"/>
      <c r="AT141" s="62" t="n"/>
      <c r="AU141" s="62" t="n"/>
      <c r="AV141" s="62" t="n"/>
      <c r="AW141" s="62" t="n"/>
      <c r="AX141" s="62" t="n"/>
      <c r="AY141" s="62" t="n"/>
    </row>
    <row r="142">
      <c r="A142" s="38">
        <f>IF(D142="","",COUNTA($D$133:D142))</f>
        <v/>
      </c>
      <c r="B142" s="52" t="n"/>
      <c r="C142" s="73" t="inlineStr">
        <is>
          <t>기타</t>
        </is>
      </c>
      <c r="D142" s="52" t="n"/>
      <c r="E142" s="54" t="n"/>
      <c r="F142" s="52" t="n"/>
      <c r="G142" s="55" t="n"/>
      <c r="H142" s="54" t="n"/>
      <c r="I142" s="54" t="n"/>
      <c r="J142" s="54" t="n"/>
      <c r="K142" s="56">
        <f>IF(SUM(U142:AY142)=0,"",SUM(U142:AY142))</f>
        <v/>
      </c>
      <c r="L142" s="57">
        <f>IFERROR(INDEX(U$2:AY$2,MATCH(TRUE,U142:AY142&lt;&gt;"",0)),"")</f>
        <v/>
      </c>
      <c r="M142" s="58">
        <f>IFERROR(LOOKUP(2,1/(U142:AY142&lt;&gt;""),U$2:AY$2),"")</f>
        <v/>
      </c>
      <c r="N142" s="59">
        <f>IF(OR(G142="",M142=""),"",G142-M142)</f>
        <v/>
      </c>
      <c r="O142" s="60" t="n"/>
      <c r="P142" s="61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  <c r="AG142" s="62" t="n"/>
      <c r="AH142" s="62" t="n"/>
      <c r="AI142" s="62" t="n"/>
      <c r="AJ142" s="62" t="n"/>
      <c r="AK142" s="62" t="n"/>
      <c r="AL142" s="62" t="n"/>
      <c r="AM142" s="62" t="n"/>
      <c r="AN142" s="62" t="n"/>
      <c r="AO142" s="62" t="n"/>
      <c r="AP142" s="62" t="n"/>
      <c r="AQ142" s="62" t="n"/>
      <c r="AR142" s="62" t="n"/>
      <c r="AS142" s="62" t="n"/>
      <c r="AT142" s="62" t="n"/>
      <c r="AU142" s="62" t="n"/>
      <c r="AV142" s="62" t="n"/>
      <c r="AW142" s="62" t="n"/>
      <c r="AX142" s="62" t="n"/>
      <c r="AY142" s="62" t="n"/>
    </row>
    <row r="143">
      <c r="A143" s="38">
        <f>IF(D143="","",COUNTA($D$133:D143))</f>
        <v/>
      </c>
      <c r="B143" s="52" t="n"/>
      <c r="C143" s="73" t="inlineStr">
        <is>
          <t>기타</t>
        </is>
      </c>
      <c r="D143" s="52" t="n"/>
      <c r="E143" s="54" t="n"/>
      <c r="F143" s="52" t="n"/>
      <c r="G143" s="55" t="n"/>
      <c r="H143" s="54" t="n"/>
      <c r="I143" s="54" t="n"/>
      <c r="J143" s="54" t="n"/>
      <c r="K143" s="56">
        <f>IF(SUM(U143:AY143)=0,"",SUM(U143:AY143))</f>
        <v/>
      </c>
      <c r="L143" s="57">
        <f>IFERROR(INDEX(U$2:AY$2,MATCH(TRUE,U143:AY143&lt;&gt;"",0)),"")</f>
        <v/>
      </c>
      <c r="M143" s="58">
        <f>IFERROR(LOOKUP(2,1/(U143:AY143&lt;&gt;""),U$2:AY$2),"")</f>
        <v/>
      </c>
      <c r="N143" s="59">
        <f>IF(OR(G143="",M143=""),"",G143-M143)</f>
        <v/>
      </c>
      <c r="O143" s="60" t="n"/>
      <c r="P143" s="61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  <c r="AG143" s="62" t="n"/>
      <c r="AH143" s="62" t="n"/>
      <c r="AI143" s="62" t="n"/>
      <c r="AJ143" s="62" t="n"/>
      <c r="AK143" s="62" t="n"/>
      <c r="AL143" s="62" t="n"/>
      <c r="AM143" s="62" t="n"/>
      <c r="AN143" s="62" t="n"/>
      <c r="AO143" s="62" t="n"/>
      <c r="AP143" s="62" t="n"/>
      <c r="AQ143" s="62" t="n"/>
      <c r="AR143" s="62" t="n"/>
      <c r="AS143" s="62" t="n"/>
      <c r="AT143" s="62" t="n"/>
      <c r="AU143" s="62" t="n"/>
      <c r="AV143" s="62" t="n"/>
      <c r="AW143" s="62" t="n"/>
      <c r="AX143" s="62" t="n"/>
      <c r="AY143" s="62" t="n"/>
    </row>
    <row r="144">
      <c r="A144" s="38">
        <f>IF(D144="","",COUNTA($D$133:D144))</f>
        <v/>
      </c>
      <c r="B144" s="52" t="n"/>
      <c r="C144" s="73" t="inlineStr">
        <is>
          <t>기타</t>
        </is>
      </c>
      <c r="D144" s="52" t="n"/>
      <c r="E144" s="54" t="n"/>
      <c r="F144" s="52" t="n"/>
      <c r="G144" s="55" t="n"/>
      <c r="H144" s="54" t="n"/>
      <c r="I144" s="54" t="n"/>
      <c r="J144" s="54" t="n"/>
      <c r="K144" s="56">
        <f>IF(SUM(U144:AY144)=0,"",SUM(U144:AY144))</f>
        <v/>
      </c>
      <c r="L144" s="57">
        <f>IFERROR(INDEX(U$2:AY$2,MATCH(TRUE,U144:AY144&lt;&gt;"",0)),"")</f>
        <v/>
      </c>
      <c r="M144" s="58">
        <f>IFERROR(LOOKUP(2,1/(U144:AY144&lt;&gt;""),U$2:AY$2),"")</f>
        <v/>
      </c>
      <c r="N144" s="59">
        <f>IF(OR(G144="",M144=""),"",G144-M144)</f>
        <v/>
      </c>
      <c r="O144" s="60" t="n"/>
      <c r="P144" s="61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  <c r="AG144" s="62" t="n"/>
      <c r="AH144" s="62" t="n"/>
      <c r="AI144" s="62" t="n"/>
      <c r="AJ144" s="62" t="n"/>
      <c r="AK144" s="62" t="n"/>
      <c r="AL144" s="62" t="n"/>
      <c r="AM144" s="62" t="n"/>
      <c r="AN144" s="62" t="n"/>
      <c r="AO144" s="62" t="n"/>
      <c r="AP144" s="62" t="n"/>
      <c r="AQ144" s="62" t="n"/>
      <c r="AR144" s="62" t="n"/>
      <c r="AS144" s="62" t="n"/>
      <c r="AT144" s="62" t="n"/>
      <c r="AU144" s="62" t="n"/>
      <c r="AV144" s="62" t="n"/>
      <c r="AW144" s="62" t="n"/>
      <c r="AX144" s="62" t="n"/>
      <c r="AY144" s="62" t="n"/>
    </row>
    <row r="145">
      <c r="A145" s="38">
        <f>IF(D145="","",COUNTA($D$133:D145))</f>
        <v/>
      </c>
      <c r="B145" s="52" t="n"/>
      <c r="C145" s="73" t="inlineStr">
        <is>
          <t>기타</t>
        </is>
      </c>
      <c r="D145" s="52" t="n"/>
      <c r="E145" s="54" t="n"/>
      <c r="F145" s="52" t="n"/>
      <c r="G145" s="55" t="n"/>
      <c r="H145" s="54" t="n"/>
      <c r="I145" s="54" t="n"/>
      <c r="J145" s="54" t="n"/>
      <c r="K145" s="56">
        <f>IF(SUM(U145:AY145)=0,"",SUM(U145:AY145))</f>
        <v/>
      </c>
      <c r="L145" s="57">
        <f>IFERROR(INDEX(U$2:AY$2,MATCH(TRUE,U145:AY145&lt;&gt;"",0)),"")</f>
        <v/>
      </c>
      <c r="M145" s="58">
        <f>IFERROR(LOOKUP(2,1/(U145:AY145&lt;&gt;""),U$2:AY$2),"")</f>
        <v/>
      </c>
      <c r="N145" s="59">
        <f>IF(OR(G145="",M145=""),"",G145-M145)</f>
        <v/>
      </c>
      <c r="O145" s="60" t="n"/>
      <c r="P145" s="61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  <c r="AG145" s="62" t="n"/>
      <c r="AH145" s="62" t="n"/>
      <c r="AI145" s="62" t="n"/>
      <c r="AJ145" s="62" t="n"/>
      <c r="AK145" s="62" t="n"/>
      <c r="AL145" s="62" t="n"/>
      <c r="AM145" s="62" t="n"/>
      <c r="AN145" s="62" t="n"/>
      <c r="AO145" s="62" t="n"/>
      <c r="AP145" s="62" t="n"/>
      <c r="AQ145" s="62" t="n"/>
      <c r="AR145" s="62" t="n"/>
      <c r="AS145" s="62" t="n"/>
      <c r="AT145" s="62" t="n"/>
      <c r="AU145" s="62" t="n"/>
      <c r="AV145" s="62" t="n"/>
      <c r="AW145" s="62" t="n"/>
      <c r="AX145" s="62" t="n"/>
      <c r="AY145" s="62" t="n"/>
    </row>
    <row r="146">
      <c r="A146" s="38">
        <f>IF(D146="","",COUNTA($D$133:D146))</f>
        <v/>
      </c>
      <c r="B146" s="52" t="n"/>
      <c r="C146" s="73" t="inlineStr">
        <is>
          <t>기타</t>
        </is>
      </c>
      <c r="D146" s="52" t="n"/>
      <c r="E146" s="54" t="n"/>
      <c r="F146" s="52" t="n"/>
      <c r="G146" s="55" t="n"/>
      <c r="H146" s="54" t="n"/>
      <c r="I146" s="54" t="n"/>
      <c r="J146" s="54" t="n"/>
      <c r="K146" s="56">
        <f>IF(SUM(U146:AY146)=0,"",SUM(U146:AY146))</f>
        <v/>
      </c>
      <c r="L146" s="57">
        <f>IFERROR(INDEX(U$2:AY$2,MATCH(TRUE,U146:AY146&lt;&gt;"",0)),"")</f>
        <v/>
      </c>
      <c r="M146" s="58">
        <f>IFERROR(LOOKUP(2,1/(U146:AY146&lt;&gt;""),U$2:AY$2),"")</f>
        <v/>
      </c>
      <c r="N146" s="59">
        <f>IF(OR(G146="",M146=""),"",G146-M146)</f>
        <v/>
      </c>
      <c r="O146" s="60" t="n"/>
      <c r="P146" s="61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  <c r="AG146" s="62" t="n"/>
      <c r="AH146" s="62" t="n"/>
      <c r="AI146" s="62" t="n"/>
      <c r="AJ146" s="62" t="n"/>
      <c r="AK146" s="62" t="n"/>
      <c r="AL146" s="62" t="n"/>
      <c r="AM146" s="62" t="n"/>
      <c r="AN146" s="62" t="n"/>
      <c r="AO146" s="62" t="n"/>
      <c r="AP146" s="62" t="n"/>
      <c r="AQ146" s="62" t="n"/>
      <c r="AR146" s="62" t="n"/>
      <c r="AS146" s="62" t="n"/>
      <c r="AT146" s="62" t="n"/>
      <c r="AU146" s="62" t="n"/>
      <c r="AV146" s="62" t="n"/>
      <c r="AW146" s="62" t="n"/>
      <c r="AX146" s="62" t="n"/>
      <c r="AY146" s="62" t="n"/>
    </row>
    <row r="147">
      <c r="A147" s="38">
        <f>IF(D147="","",COUNTA($D$133:D147))</f>
        <v/>
      </c>
      <c r="B147" s="52" t="n"/>
      <c r="C147" s="73" t="inlineStr">
        <is>
          <t>기타</t>
        </is>
      </c>
      <c r="D147" s="52" t="n"/>
      <c r="E147" s="54" t="n"/>
      <c r="F147" s="52" t="n"/>
      <c r="G147" s="55" t="n"/>
      <c r="H147" s="54" t="n"/>
      <c r="I147" s="54" t="n"/>
      <c r="J147" s="54" t="n"/>
      <c r="K147" s="56">
        <f>IF(SUM(U147:AY147)=0,"",SUM(U147:AY147))</f>
        <v/>
      </c>
      <c r="L147" s="57">
        <f>IFERROR(INDEX(U$2:AY$2,MATCH(TRUE,U147:AY147&lt;&gt;"",0)),"")</f>
        <v/>
      </c>
      <c r="M147" s="58">
        <f>IFERROR(LOOKUP(2,1/(U147:AY147&lt;&gt;""),U$2:AY$2),"")</f>
        <v/>
      </c>
      <c r="N147" s="59">
        <f>IF(OR(G147="",M147=""),"",G147-M147)</f>
        <v/>
      </c>
      <c r="O147" s="60" t="n"/>
      <c r="P147" s="61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  <c r="AG147" s="62" t="n"/>
      <c r="AH147" s="62" t="n"/>
      <c r="AI147" s="62" t="n"/>
      <c r="AJ147" s="62" t="n"/>
      <c r="AK147" s="62" t="n"/>
      <c r="AL147" s="62" t="n"/>
      <c r="AM147" s="62" t="n"/>
      <c r="AN147" s="62" t="n"/>
      <c r="AO147" s="62" t="n"/>
      <c r="AP147" s="62" t="n"/>
      <c r="AQ147" s="62" t="n"/>
      <c r="AR147" s="62" t="n"/>
      <c r="AS147" s="62" t="n"/>
      <c r="AT147" s="62" t="n"/>
      <c r="AU147" s="62" t="n"/>
      <c r="AV147" s="62" t="n"/>
      <c r="AW147" s="62" t="n"/>
      <c r="AX147" s="62" t="n"/>
      <c r="AY147" s="62" t="n"/>
    </row>
    <row r="148">
      <c r="A148" s="38">
        <f>IF(D148="","",COUNTA($D$133:D148))</f>
        <v/>
      </c>
      <c r="B148" s="52" t="n"/>
      <c r="C148" s="73" t="inlineStr">
        <is>
          <t>기타</t>
        </is>
      </c>
      <c r="D148" s="52" t="n"/>
      <c r="E148" s="54" t="n"/>
      <c r="F148" s="52" t="n"/>
      <c r="G148" s="55" t="n"/>
      <c r="H148" s="54" t="n"/>
      <c r="I148" s="54" t="n"/>
      <c r="J148" s="54" t="n"/>
      <c r="K148" s="56">
        <f>IF(SUM(U148:AY148)=0,"",SUM(U148:AY148))</f>
        <v/>
      </c>
      <c r="L148" s="57">
        <f>IFERROR(INDEX(U$2:AY$2,MATCH(TRUE,U148:AY148&lt;&gt;"",0)),"")</f>
        <v/>
      </c>
      <c r="M148" s="58">
        <f>IFERROR(LOOKUP(2,1/(U148:AY148&lt;&gt;""),U$2:AY$2),"")</f>
        <v/>
      </c>
      <c r="N148" s="59">
        <f>IF(OR(G148="",M148=""),"",G148-M148)</f>
        <v/>
      </c>
      <c r="O148" s="60" t="n"/>
      <c r="P148" s="61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  <c r="AG148" s="62" t="n"/>
      <c r="AH148" s="62" t="n"/>
      <c r="AI148" s="62" t="n"/>
      <c r="AJ148" s="62" t="n"/>
      <c r="AK148" s="62" t="n"/>
      <c r="AL148" s="62" t="n"/>
      <c r="AM148" s="62" t="n"/>
      <c r="AN148" s="62" t="n"/>
      <c r="AO148" s="62" t="n"/>
      <c r="AP148" s="62" t="n"/>
      <c r="AQ148" s="62" t="n"/>
      <c r="AR148" s="62" t="n"/>
      <c r="AS148" s="62" t="n"/>
      <c r="AT148" s="62" t="n"/>
      <c r="AU148" s="62" t="n"/>
      <c r="AV148" s="62" t="n"/>
      <c r="AW148" s="62" t="n"/>
      <c r="AX148" s="62" t="n"/>
      <c r="AY148" s="62" t="n"/>
    </row>
    <row r="149">
      <c r="A149" s="38">
        <f>IF(D149="","",COUNTA($D$133:D149))</f>
        <v/>
      </c>
      <c r="B149" s="52" t="n"/>
      <c r="C149" s="73" t="inlineStr">
        <is>
          <t>기타</t>
        </is>
      </c>
      <c r="D149" s="52" t="n"/>
      <c r="E149" s="54" t="n"/>
      <c r="F149" s="52" t="n"/>
      <c r="G149" s="55" t="n"/>
      <c r="H149" s="54" t="n"/>
      <c r="I149" s="54" t="n"/>
      <c r="J149" s="54" t="n"/>
      <c r="K149" s="56">
        <f>IF(SUM(U149:AY149)=0,"",SUM(U149:AY149))</f>
        <v/>
      </c>
      <c r="L149" s="57">
        <f>IFERROR(INDEX(U$2:AY$2,MATCH(TRUE,U149:AY149&lt;&gt;"",0)),"")</f>
        <v/>
      </c>
      <c r="M149" s="58">
        <f>IFERROR(LOOKUP(2,1/(U149:AY149&lt;&gt;""),U$2:AY$2),"")</f>
        <v/>
      </c>
      <c r="N149" s="59">
        <f>IF(OR(G149="",M149=""),"",G149-M149)</f>
        <v/>
      </c>
      <c r="O149" s="60" t="n"/>
      <c r="P149" s="61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  <c r="AG149" s="62" t="n"/>
      <c r="AH149" s="62" t="n"/>
      <c r="AI149" s="62" t="n"/>
      <c r="AJ149" s="62" t="n"/>
      <c r="AK149" s="62" t="n"/>
      <c r="AL149" s="62" t="n"/>
      <c r="AM149" s="62" t="n"/>
      <c r="AN149" s="62" t="n"/>
      <c r="AO149" s="62" t="n"/>
      <c r="AP149" s="62" t="n"/>
      <c r="AQ149" s="62" t="n"/>
      <c r="AR149" s="62" t="n"/>
      <c r="AS149" s="62" t="n"/>
      <c r="AT149" s="62" t="n"/>
      <c r="AU149" s="62" t="n"/>
      <c r="AV149" s="62" t="n"/>
      <c r="AW149" s="62" t="n"/>
      <c r="AX149" s="62" t="n"/>
      <c r="AY149" s="62" t="n"/>
    </row>
    <row r="150">
      <c r="A150" s="38">
        <f>IF(D150="","",COUNTA($D$133:D150))</f>
        <v/>
      </c>
      <c r="B150" s="52" t="n"/>
      <c r="C150" s="73" t="inlineStr">
        <is>
          <t>기타</t>
        </is>
      </c>
      <c r="D150" s="52" t="n"/>
      <c r="E150" s="54" t="n"/>
      <c r="F150" s="52" t="n"/>
      <c r="G150" s="55" t="n"/>
      <c r="H150" s="54" t="n"/>
      <c r="I150" s="54" t="n"/>
      <c r="J150" s="54" t="n"/>
      <c r="K150" s="56">
        <f>IF(SUM(U150:AY150)=0,"",SUM(U150:AY150))</f>
        <v/>
      </c>
      <c r="L150" s="57">
        <f>IFERROR(INDEX(U$2:AY$2,MATCH(TRUE,U150:AY150&lt;&gt;"",0)),"")</f>
        <v/>
      </c>
      <c r="M150" s="58">
        <f>IFERROR(LOOKUP(2,1/(U150:AY150&lt;&gt;""),U$2:AY$2),"")</f>
        <v/>
      </c>
      <c r="N150" s="59">
        <f>IF(OR(G150="",M150=""),"",G150-M150)</f>
        <v/>
      </c>
      <c r="O150" s="60" t="n"/>
      <c r="P150" s="61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  <c r="AG150" s="62" t="n"/>
      <c r="AH150" s="62" t="n"/>
      <c r="AI150" s="62" t="n"/>
      <c r="AJ150" s="62" t="n"/>
      <c r="AK150" s="62" t="n"/>
      <c r="AL150" s="62" t="n"/>
      <c r="AM150" s="62" t="n"/>
      <c r="AN150" s="62" t="n"/>
      <c r="AO150" s="62" t="n"/>
      <c r="AP150" s="62" t="n"/>
      <c r="AQ150" s="62" t="n"/>
      <c r="AR150" s="62" t="n"/>
      <c r="AS150" s="62" t="n"/>
      <c r="AT150" s="62" t="n"/>
      <c r="AU150" s="62" t="n"/>
      <c r="AV150" s="62" t="n"/>
      <c r="AW150" s="62" t="n"/>
      <c r="AX150" s="62" t="n"/>
      <c r="AY150" s="62" t="n"/>
    </row>
    <row r="151">
      <c r="A151" s="38">
        <f>IF(D151="","",COUNTA($D$133:D151))</f>
        <v/>
      </c>
      <c r="B151" s="52" t="n"/>
      <c r="C151" s="73" t="inlineStr">
        <is>
          <t>기타</t>
        </is>
      </c>
      <c r="D151" s="52" t="n"/>
      <c r="E151" s="54" t="n"/>
      <c r="F151" s="52" t="n"/>
      <c r="G151" s="55" t="n"/>
      <c r="H151" s="54" t="n"/>
      <c r="I151" s="54" t="n"/>
      <c r="J151" s="54" t="n"/>
      <c r="K151" s="56">
        <f>IF(SUM(U151:AY151)=0,"",SUM(U151:AY151))</f>
        <v/>
      </c>
      <c r="L151" s="57">
        <f>IFERROR(INDEX(U$2:AY$2,MATCH(TRUE,U151:AY151&lt;&gt;"",0)),"")</f>
        <v/>
      </c>
      <c r="M151" s="58">
        <f>IFERROR(LOOKUP(2,1/(U151:AY151&lt;&gt;""),U$2:AY$2),"")</f>
        <v/>
      </c>
      <c r="N151" s="59">
        <f>IF(OR(G151="",M151=""),"",G151-M151)</f>
        <v/>
      </c>
      <c r="O151" s="60" t="n"/>
      <c r="P151" s="61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  <c r="AG151" s="62" t="n"/>
      <c r="AH151" s="62" t="n"/>
      <c r="AI151" s="62" t="n"/>
      <c r="AJ151" s="62" t="n"/>
      <c r="AK151" s="62" t="n"/>
      <c r="AL151" s="62" t="n"/>
      <c r="AM151" s="62" t="n"/>
      <c r="AN151" s="62" t="n"/>
      <c r="AO151" s="62" t="n"/>
      <c r="AP151" s="62" t="n"/>
      <c r="AQ151" s="62" t="n"/>
      <c r="AR151" s="62" t="n"/>
      <c r="AS151" s="62" t="n"/>
      <c r="AT151" s="62" t="n"/>
      <c r="AU151" s="62" t="n"/>
      <c r="AV151" s="62" t="n"/>
      <c r="AW151" s="62" t="n"/>
      <c r="AX151" s="62" t="n"/>
      <c r="AY151" s="62" t="n"/>
    </row>
    <row r="152">
      <c r="A152" s="38">
        <f>IF(D152="","",COUNTA($D$133:D152))</f>
        <v/>
      </c>
      <c r="B152" s="52" t="n"/>
      <c r="C152" s="73" t="inlineStr">
        <is>
          <t>기타</t>
        </is>
      </c>
      <c r="D152" s="52" t="n"/>
      <c r="E152" s="54" t="n"/>
      <c r="F152" s="52" t="n"/>
      <c r="G152" s="55" t="n"/>
      <c r="H152" s="54" t="n"/>
      <c r="I152" s="54" t="n"/>
      <c r="J152" s="54" t="n"/>
      <c r="K152" s="56">
        <f>IF(SUM(U152:AY152)=0,"",SUM(U152:AY152))</f>
        <v/>
      </c>
      <c r="L152" s="57">
        <f>IFERROR(INDEX(U$2:AY$2,MATCH(TRUE,U152:AY152&lt;&gt;"",0)),"")</f>
        <v/>
      </c>
      <c r="M152" s="58">
        <f>IFERROR(LOOKUP(2,1/(U152:AY152&lt;&gt;""),U$2:AY$2),"")</f>
        <v/>
      </c>
      <c r="N152" s="59">
        <f>IF(OR(G152="",M152=""),"",G152-M152)</f>
        <v/>
      </c>
      <c r="O152" s="60" t="n"/>
      <c r="P152" s="61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  <c r="AG152" s="62" t="n"/>
      <c r="AH152" s="62" t="n"/>
      <c r="AI152" s="62" t="n"/>
      <c r="AJ152" s="62" t="n"/>
      <c r="AK152" s="62" t="n"/>
      <c r="AL152" s="62" t="n"/>
      <c r="AM152" s="62" t="n"/>
      <c r="AN152" s="62" t="n"/>
      <c r="AO152" s="62" t="n"/>
      <c r="AP152" s="62" t="n"/>
      <c r="AQ152" s="62" t="n"/>
      <c r="AR152" s="62" t="n"/>
      <c r="AS152" s="62" t="n"/>
      <c r="AT152" s="62" t="n"/>
      <c r="AU152" s="62" t="n"/>
      <c r="AV152" s="62" t="n"/>
      <c r="AW152" s="62" t="n"/>
      <c r="AX152" s="62" t="n"/>
      <c r="AY152" s="62" t="n"/>
    </row>
    <row r="153">
      <c r="A153" s="38">
        <f>IF(D153="","",COUNTA($D$133:D153))</f>
        <v/>
      </c>
      <c r="B153" s="52" t="n"/>
      <c r="C153" s="73" t="inlineStr">
        <is>
          <t>기타</t>
        </is>
      </c>
      <c r="D153" s="52" t="n"/>
      <c r="E153" s="54" t="n"/>
      <c r="F153" s="52" t="n"/>
      <c r="G153" s="55" t="n"/>
      <c r="H153" s="54" t="n"/>
      <c r="I153" s="54" t="n"/>
      <c r="J153" s="54" t="n"/>
      <c r="K153" s="56">
        <f>IF(SUM(U153:AY153)=0,"",SUM(U153:AY153))</f>
        <v/>
      </c>
      <c r="L153" s="57">
        <f>IFERROR(INDEX(U$2:AY$2,MATCH(TRUE,U153:AY153&lt;&gt;"",0)),"")</f>
        <v/>
      </c>
      <c r="M153" s="58">
        <f>IFERROR(LOOKUP(2,1/(U153:AY153&lt;&gt;""),U$2:AY$2),"")</f>
        <v/>
      </c>
      <c r="N153" s="59">
        <f>IF(OR(G153="",M153=""),"",G153-M153)</f>
        <v/>
      </c>
      <c r="O153" s="60" t="n"/>
      <c r="P153" s="61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  <c r="AG153" s="62" t="n"/>
      <c r="AH153" s="62" t="n"/>
      <c r="AI153" s="62" t="n"/>
      <c r="AJ153" s="62" t="n"/>
      <c r="AK153" s="62" t="n"/>
      <c r="AL153" s="62" t="n"/>
      <c r="AM153" s="62" t="n"/>
      <c r="AN153" s="62" t="n"/>
      <c r="AO153" s="62" t="n"/>
      <c r="AP153" s="62" t="n"/>
      <c r="AQ153" s="62" t="n"/>
      <c r="AR153" s="62" t="n"/>
      <c r="AS153" s="62" t="n"/>
      <c r="AT153" s="62" t="n"/>
      <c r="AU153" s="62" t="n"/>
      <c r="AV153" s="62" t="n"/>
      <c r="AW153" s="62" t="n"/>
      <c r="AX153" s="62" t="n"/>
      <c r="AY153" s="62" t="n"/>
    </row>
    <row r="154">
      <c r="A154" s="38">
        <f>IF(D154="","",COUNTA($D$133:D154))</f>
        <v/>
      </c>
      <c r="B154" s="52" t="n"/>
      <c r="C154" s="73" t="inlineStr">
        <is>
          <t>기타</t>
        </is>
      </c>
      <c r="D154" s="52" t="n"/>
      <c r="E154" s="54" t="n"/>
      <c r="F154" s="52" t="n"/>
      <c r="G154" s="55" t="n"/>
      <c r="H154" s="54" t="n"/>
      <c r="I154" s="54" t="n"/>
      <c r="J154" s="54" t="n"/>
      <c r="K154" s="56">
        <f>IF(SUM(U154:AY154)=0,"",SUM(U154:AY154))</f>
        <v/>
      </c>
      <c r="L154" s="57">
        <f>IFERROR(INDEX(U$2:AY$2,MATCH(TRUE,U154:AY154&lt;&gt;"",0)),"")</f>
        <v/>
      </c>
      <c r="M154" s="58">
        <f>IFERROR(LOOKUP(2,1/(U154:AY154&lt;&gt;""),U$2:AY$2),"")</f>
        <v/>
      </c>
      <c r="N154" s="59">
        <f>IF(OR(G154="",M154=""),"",G154-M154)</f>
        <v/>
      </c>
      <c r="O154" s="60" t="n"/>
      <c r="P154" s="61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  <c r="AG154" s="62" t="n"/>
      <c r="AH154" s="62" t="n"/>
      <c r="AI154" s="62" t="n"/>
      <c r="AJ154" s="62" t="n"/>
      <c r="AK154" s="62" t="n"/>
      <c r="AL154" s="62" t="n"/>
      <c r="AM154" s="62" t="n"/>
      <c r="AN154" s="62" t="n"/>
      <c r="AO154" s="62" t="n"/>
      <c r="AP154" s="62" t="n"/>
      <c r="AQ154" s="62" t="n"/>
      <c r="AR154" s="62" t="n"/>
      <c r="AS154" s="62" t="n"/>
      <c r="AT154" s="62" t="n"/>
      <c r="AU154" s="62" t="n"/>
      <c r="AV154" s="62" t="n"/>
      <c r="AW154" s="62" t="n"/>
      <c r="AX154" s="62" t="n"/>
      <c r="AY154" s="62" t="n"/>
    </row>
    <row r="155">
      <c r="A155" s="38">
        <f>IF(D155="","",COUNTA($D$133:D155))</f>
        <v/>
      </c>
      <c r="B155" s="52" t="n"/>
      <c r="C155" s="73" t="inlineStr">
        <is>
          <t>기타</t>
        </is>
      </c>
      <c r="D155" s="52" t="n"/>
      <c r="E155" s="54" t="n"/>
      <c r="F155" s="52" t="n"/>
      <c r="G155" s="55" t="n"/>
      <c r="H155" s="54" t="n"/>
      <c r="I155" s="54" t="n"/>
      <c r="J155" s="54" t="n"/>
      <c r="K155" s="56">
        <f>IF(SUM(U155:AY155)=0,"",SUM(U155:AY155))</f>
        <v/>
      </c>
      <c r="L155" s="57">
        <f>IFERROR(INDEX(U$2:AY$2,MATCH(TRUE,U155:AY155&lt;&gt;"",0)),"")</f>
        <v/>
      </c>
      <c r="M155" s="58">
        <f>IFERROR(LOOKUP(2,1/(U155:AY155&lt;&gt;""),U$2:AY$2),"")</f>
        <v/>
      </c>
      <c r="N155" s="59">
        <f>IF(OR(G155="",M155=""),"",G155-M155)</f>
        <v/>
      </c>
      <c r="O155" s="60" t="n"/>
      <c r="P155" s="61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  <c r="AG155" s="62" t="n"/>
      <c r="AH155" s="62" t="n"/>
      <c r="AI155" s="62" t="n"/>
      <c r="AJ155" s="62" t="n"/>
      <c r="AK155" s="62" t="n"/>
      <c r="AL155" s="62" t="n"/>
      <c r="AM155" s="62" t="n"/>
      <c r="AN155" s="62" t="n"/>
      <c r="AO155" s="62" t="n"/>
      <c r="AP155" s="62" t="n"/>
      <c r="AQ155" s="62" t="n"/>
      <c r="AR155" s="62" t="n"/>
      <c r="AS155" s="62" t="n"/>
      <c r="AT155" s="62" t="n"/>
      <c r="AU155" s="62" t="n"/>
      <c r="AV155" s="62" t="n"/>
      <c r="AW155" s="62" t="n"/>
      <c r="AX155" s="62" t="n"/>
      <c r="AY155" s="62" t="n"/>
    </row>
    <row r="156">
      <c r="A156" s="38">
        <f>IF(D156="","",COUNTA($D$133:D156))</f>
        <v/>
      </c>
      <c r="B156" s="52" t="n"/>
      <c r="C156" s="73" t="inlineStr">
        <is>
          <t>기타</t>
        </is>
      </c>
      <c r="D156" s="52" t="n"/>
      <c r="E156" s="54" t="n"/>
      <c r="F156" s="52" t="n"/>
      <c r="G156" s="55" t="n"/>
      <c r="H156" s="54" t="n"/>
      <c r="I156" s="54" t="n"/>
      <c r="J156" s="54" t="n"/>
      <c r="K156" s="56">
        <f>IF(SUM(U156:AY156)=0,"",SUM(U156:AY156))</f>
        <v/>
      </c>
      <c r="L156" s="57">
        <f>IFERROR(INDEX(U$2:AY$2,MATCH(TRUE,U156:AY156&lt;&gt;"",0)),"")</f>
        <v/>
      </c>
      <c r="M156" s="58">
        <f>IFERROR(LOOKUP(2,1/(U156:AY156&lt;&gt;""),U$2:AY$2),"")</f>
        <v/>
      </c>
      <c r="N156" s="59">
        <f>IF(OR(G156="",M156=""),"",G156-M156)</f>
        <v/>
      </c>
      <c r="O156" s="60" t="n"/>
      <c r="P156" s="61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  <c r="AG156" s="62" t="n"/>
      <c r="AH156" s="62" t="n"/>
      <c r="AI156" s="62" t="n"/>
      <c r="AJ156" s="62" t="n"/>
      <c r="AK156" s="62" t="n"/>
      <c r="AL156" s="62" t="n"/>
      <c r="AM156" s="62" t="n"/>
      <c r="AN156" s="62" t="n"/>
      <c r="AO156" s="62" t="n"/>
      <c r="AP156" s="62" t="n"/>
      <c r="AQ156" s="62" t="n"/>
      <c r="AR156" s="62" t="n"/>
      <c r="AS156" s="62" t="n"/>
      <c r="AT156" s="62" t="n"/>
      <c r="AU156" s="62" t="n"/>
      <c r="AV156" s="62" t="n"/>
      <c r="AW156" s="62" t="n"/>
      <c r="AX156" s="62" t="n"/>
      <c r="AY156" s="62" t="n"/>
    </row>
    <row r="157">
      <c r="A157" s="38">
        <f>IF(D157="","",COUNTA($D$133:D157))</f>
        <v/>
      </c>
      <c r="B157" s="52" t="n"/>
      <c r="C157" s="73" t="inlineStr">
        <is>
          <t>기타</t>
        </is>
      </c>
      <c r="D157" s="52" t="n"/>
      <c r="E157" s="54" t="n"/>
      <c r="F157" s="52" t="n"/>
      <c r="G157" s="55" t="n"/>
      <c r="H157" s="54" t="n"/>
      <c r="I157" s="54" t="n"/>
      <c r="J157" s="54" t="n"/>
      <c r="K157" s="56">
        <f>IF(SUM(U157:AY157)=0,"",SUM(U157:AY157))</f>
        <v/>
      </c>
      <c r="L157" s="57">
        <f>IFERROR(INDEX(U$2:AY$2,MATCH(TRUE,U157:AY157&lt;&gt;"",0)),"")</f>
        <v/>
      </c>
      <c r="M157" s="58">
        <f>IFERROR(LOOKUP(2,1/(U157:AY157&lt;&gt;""),U$2:AY$2),"")</f>
        <v/>
      </c>
      <c r="N157" s="59">
        <f>IF(OR(G157="",M157=""),"",G157-M157)</f>
        <v/>
      </c>
      <c r="O157" s="60" t="n"/>
      <c r="P157" s="61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  <c r="AG157" s="62" t="n"/>
      <c r="AH157" s="62" t="n"/>
      <c r="AI157" s="62" t="n"/>
      <c r="AJ157" s="62" t="n"/>
      <c r="AK157" s="62" t="n"/>
      <c r="AL157" s="62" t="n"/>
      <c r="AM157" s="62" t="n"/>
      <c r="AN157" s="62" t="n"/>
      <c r="AO157" s="62" t="n"/>
      <c r="AP157" s="62" t="n"/>
      <c r="AQ157" s="62" t="n"/>
      <c r="AR157" s="62" t="n"/>
      <c r="AS157" s="62" t="n"/>
      <c r="AT157" s="62" t="n"/>
      <c r="AU157" s="62" t="n"/>
      <c r="AV157" s="62" t="n"/>
      <c r="AW157" s="62" t="n"/>
      <c r="AX157" s="62" t="n"/>
      <c r="AY157" s="62" t="n"/>
    </row>
    <row r="158">
      <c r="A158" s="38">
        <f>IF(D158="","",COUNTA($D$133:D158))</f>
        <v/>
      </c>
      <c r="B158" s="52" t="n"/>
      <c r="C158" s="73" t="inlineStr">
        <is>
          <t>기타</t>
        </is>
      </c>
      <c r="D158" s="52" t="n"/>
      <c r="E158" s="54" t="n"/>
      <c r="F158" s="52" t="n"/>
      <c r="G158" s="55" t="n"/>
      <c r="H158" s="54" t="n"/>
      <c r="I158" s="54" t="n"/>
      <c r="J158" s="54" t="n"/>
      <c r="K158" s="56">
        <f>IF(SUM(U158:AY158)=0,"",SUM(U158:AY158))</f>
        <v/>
      </c>
      <c r="L158" s="57">
        <f>IFERROR(INDEX(U$2:AY$2,MATCH(TRUE,U158:AY158&lt;&gt;"",0)),"")</f>
        <v/>
      </c>
      <c r="M158" s="58">
        <f>IFERROR(LOOKUP(2,1/(U158:AY158&lt;&gt;""),U$2:AY$2),"")</f>
        <v/>
      </c>
      <c r="N158" s="59">
        <f>IF(OR(G158="",M158=""),"",G158-M158)</f>
        <v/>
      </c>
      <c r="O158" s="60" t="n"/>
      <c r="P158" s="61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  <c r="AG158" s="62" t="n"/>
      <c r="AH158" s="62" t="n"/>
      <c r="AI158" s="62" t="n"/>
      <c r="AJ158" s="62" t="n"/>
      <c r="AK158" s="62" t="n"/>
      <c r="AL158" s="62" t="n"/>
      <c r="AM158" s="62" t="n"/>
      <c r="AN158" s="62" t="n"/>
      <c r="AO158" s="62" t="n"/>
      <c r="AP158" s="62" t="n"/>
      <c r="AQ158" s="62" t="n"/>
      <c r="AR158" s="62" t="n"/>
      <c r="AS158" s="62" t="n"/>
      <c r="AT158" s="62" t="n"/>
      <c r="AU158" s="62" t="n"/>
      <c r="AV158" s="62" t="n"/>
      <c r="AW158" s="62" t="n"/>
      <c r="AX158" s="62" t="n"/>
      <c r="AY158" s="62" t="n"/>
    </row>
    <row r="159">
      <c r="A159" s="38">
        <f>IF(D159="","",COUNTA($D$133:D159))</f>
        <v/>
      </c>
      <c r="B159" s="52" t="n"/>
      <c r="C159" s="73" t="inlineStr">
        <is>
          <t>기타</t>
        </is>
      </c>
      <c r="D159" s="52" t="n"/>
      <c r="E159" s="54" t="n"/>
      <c r="F159" s="52" t="n"/>
      <c r="G159" s="55" t="n"/>
      <c r="H159" s="54" t="n"/>
      <c r="I159" s="54" t="n"/>
      <c r="J159" s="54" t="n"/>
      <c r="K159" s="56">
        <f>IF(SUM(U159:AY159)=0,"",SUM(U159:AY159))</f>
        <v/>
      </c>
      <c r="L159" s="57">
        <f>IFERROR(INDEX(U$2:AY$2,MATCH(TRUE,U159:AY159&lt;&gt;"",0)),"")</f>
        <v/>
      </c>
      <c r="M159" s="58">
        <f>IFERROR(LOOKUP(2,1/(U159:AY159&lt;&gt;""),U$2:AY$2),"")</f>
        <v/>
      </c>
      <c r="N159" s="59">
        <f>IF(OR(G159="",M159=""),"",G159-M159)</f>
        <v/>
      </c>
      <c r="O159" s="60" t="n"/>
      <c r="P159" s="61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  <c r="AG159" s="62" t="n"/>
      <c r="AH159" s="62" t="n"/>
      <c r="AI159" s="62" t="n"/>
      <c r="AJ159" s="62" t="n"/>
      <c r="AK159" s="62" t="n"/>
      <c r="AL159" s="62" t="n"/>
      <c r="AM159" s="62" t="n"/>
      <c r="AN159" s="62" t="n"/>
      <c r="AO159" s="62" t="n"/>
      <c r="AP159" s="62" t="n"/>
      <c r="AQ159" s="62" t="n"/>
      <c r="AR159" s="62" t="n"/>
      <c r="AS159" s="62" t="n"/>
      <c r="AT159" s="62" t="n"/>
      <c r="AU159" s="62" t="n"/>
      <c r="AV159" s="62" t="n"/>
      <c r="AW159" s="62" t="n"/>
      <c r="AX159" s="62" t="n"/>
      <c r="AY159" s="62" t="n"/>
    </row>
    <row r="160">
      <c r="A160" s="38">
        <f>IF(D160="","",COUNTA($D$133:D160))</f>
        <v/>
      </c>
      <c r="B160" s="52" t="n"/>
      <c r="C160" s="73" t="inlineStr">
        <is>
          <t>기타</t>
        </is>
      </c>
      <c r="D160" s="52" t="n"/>
      <c r="E160" s="54" t="n"/>
      <c r="F160" s="52" t="n"/>
      <c r="G160" s="55" t="n"/>
      <c r="H160" s="54" t="n"/>
      <c r="I160" s="54" t="n"/>
      <c r="J160" s="54" t="n"/>
      <c r="K160" s="56">
        <f>IF(SUM(U160:AY160)=0,"",SUM(U160:AY160))</f>
        <v/>
      </c>
      <c r="L160" s="57">
        <f>IFERROR(INDEX(U$2:AY$2,MATCH(TRUE,U160:AY160&lt;&gt;"",0)),"")</f>
        <v/>
      </c>
      <c r="M160" s="58">
        <f>IFERROR(LOOKUP(2,1/(U160:AY160&lt;&gt;""),U$2:AY$2),"")</f>
        <v/>
      </c>
      <c r="N160" s="59">
        <f>IF(OR(G160="",M160=""),"",G160-M160)</f>
        <v/>
      </c>
      <c r="O160" s="60" t="n"/>
      <c r="P160" s="61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  <c r="AG160" s="62" t="n"/>
      <c r="AH160" s="62" t="n"/>
      <c r="AI160" s="62" t="n"/>
      <c r="AJ160" s="62" t="n"/>
      <c r="AK160" s="62" t="n"/>
      <c r="AL160" s="62" t="n"/>
      <c r="AM160" s="62" t="n"/>
      <c r="AN160" s="62" t="n"/>
      <c r="AO160" s="62" t="n"/>
      <c r="AP160" s="62" t="n"/>
      <c r="AQ160" s="62" t="n"/>
      <c r="AR160" s="62" t="n"/>
      <c r="AS160" s="62" t="n"/>
      <c r="AT160" s="62" t="n"/>
      <c r="AU160" s="62" t="n"/>
      <c r="AV160" s="62" t="n"/>
      <c r="AW160" s="62" t="n"/>
      <c r="AX160" s="62" t="n"/>
      <c r="AY160" s="62" t="n"/>
    </row>
    <row r="161">
      <c r="A161" s="38">
        <f>IF(D161="","",COUNTA($D$133:D161))</f>
        <v/>
      </c>
      <c r="B161" s="52" t="n"/>
      <c r="C161" s="73" t="inlineStr">
        <is>
          <t>기타</t>
        </is>
      </c>
      <c r="D161" s="52" t="n"/>
      <c r="E161" s="54" t="n"/>
      <c r="F161" s="52" t="n"/>
      <c r="G161" s="55" t="n"/>
      <c r="H161" s="54" t="n"/>
      <c r="I161" s="54" t="n"/>
      <c r="J161" s="54" t="n"/>
      <c r="K161" s="56">
        <f>IF(SUM(U161:AY161)=0,"",SUM(U161:AY161))</f>
        <v/>
      </c>
      <c r="L161" s="57">
        <f>IFERROR(INDEX(U$2:AY$2,MATCH(TRUE,U161:AY161&lt;&gt;"",0)),"")</f>
        <v/>
      </c>
      <c r="M161" s="58">
        <f>IFERROR(LOOKUP(2,1/(U161:AY161&lt;&gt;""),U$2:AY$2),"")</f>
        <v/>
      </c>
      <c r="N161" s="59">
        <f>IF(OR(G161="",M161=""),"",G161-M161)</f>
        <v/>
      </c>
      <c r="O161" s="60" t="n"/>
      <c r="P161" s="61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  <c r="AG161" s="62" t="n"/>
      <c r="AH161" s="62" t="n"/>
      <c r="AI161" s="62" t="n"/>
      <c r="AJ161" s="62" t="n"/>
      <c r="AK161" s="62" t="n"/>
      <c r="AL161" s="62" t="n"/>
      <c r="AM161" s="62" t="n"/>
      <c r="AN161" s="62" t="n"/>
      <c r="AO161" s="62" t="n"/>
      <c r="AP161" s="62" t="n"/>
      <c r="AQ161" s="62" t="n"/>
      <c r="AR161" s="62" t="n"/>
      <c r="AS161" s="62" t="n"/>
      <c r="AT161" s="62" t="n"/>
      <c r="AU161" s="62" t="n"/>
      <c r="AV161" s="62" t="n"/>
      <c r="AW161" s="62" t="n"/>
      <c r="AX161" s="62" t="n"/>
      <c r="AY161" s="62" t="n"/>
    </row>
    <row r="162">
      <c r="A162" s="38">
        <f>IF(D162="","",COUNTA($D$133:D162))</f>
        <v/>
      </c>
      <c r="B162" s="52" t="n"/>
      <c r="C162" s="73" t="inlineStr">
        <is>
          <t>기타</t>
        </is>
      </c>
      <c r="D162" s="52" t="n"/>
      <c r="E162" s="54" t="n"/>
      <c r="F162" s="52" t="n"/>
      <c r="G162" s="55" t="n"/>
      <c r="H162" s="54" t="n"/>
      <c r="I162" s="54" t="n"/>
      <c r="J162" s="54" t="n"/>
      <c r="K162" s="56">
        <f>IF(SUM(U162:AY162)=0,"",SUM(U162:AY162))</f>
        <v/>
      </c>
      <c r="L162" s="57">
        <f>IFERROR(INDEX(U$2:AY$2,MATCH(TRUE,U162:AY162&lt;&gt;"",0)),"")</f>
        <v/>
      </c>
      <c r="M162" s="58">
        <f>IFERROR(LOOKUP(2,1/(U162:AY162&lt;&gt;""),U$2:AY$2),"")</f>
        <v/>
      </c>
      <c r="N162" s="59">
        <f>IF(OR(G162="",M162=""),"",G162-M162)</f>
        <v/>
      </c>
      <c r="O162" s="60" t="n"/>
      <c r="P162" s="61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  <c r="AG162" s="62" t="n"/>
      <c r="AH162" s="62" t="n"/>
      <c r="AI162" s="62" t="n"/>
      <c r="AJ162" s="62" t="n"/>
      <c r="AK162" s="62" t="n"/>
      <c r="AL162" s="62" t="n"/>
      <c r="AM162" s="62" t="n"/>
      <c r="AN162" s="62" t="n"/>
      <c r="AO162" s="62" t="n"/>
      <c r="AP162" s="62" t="n"/>
      <c r="AQ162" s="62" t="n"/>
      <c r="AR162" s="62" t="n"/>
      <c r="AS162" s="62" t="n"/>
      <c r="AT162" s="62" t="n"/>
      <c r="AU162" s="62" t="n"/>
      <c r="AV162" s="62" t="n"/>
      <c r="AW162" s="62" t="n"/>
      <c r="AX162" s="62" t="n"/>
      <c r="AY162" s="62" t="n"/>
    </row>
    <row r="163">
      <c r="A163" s="74">
        <f>'마스터'!$J$5</f>
        <v/>
      </c>
    </row>
    <row r="164">
      <c r="A164" s="74" t="inlineStr">
        <is>
          <t>공휴일(로컬 미러 - 조건부서식 전용, 편집 불필요)</t>
        </is>
      </c>
    </row>
    <row r="165">
      <c r="A165" s="75">
        <f>'마스터'!$J$13</f>
        <v/>
      </c>
    </row>
    <row r="166">
      <c r="A166" s="75">
        <f>'마스터'!$J$14</f>
        <v/>
      </c>
    </row>
    <row r="167">
      <c r="A167" s="75">
        <f>'마스터'!$J$15</f>
        <v/>
      </c>
    </row>
    <row r="168">
      <c r="A168" s="75">
        <f>'마스터'!$J$16</f>
        <v/>
      </c>
    </row>
    <row r="169">
      <c r="A169" s="75">
        <f>'마스터'!$J$17</f>
        <v/>
      </c>
    </row>
    <row r="170">
      <c r="A170" s="75">
        <f>'마스터'!$J$18</f>
        <v/>
      </c>
    </row>
    <row r="171">
      <c r="A171" s="75">
        <f>'마스터'!$J$19</f>
        <v/>
      </c>
    </row>
    <row r="172">
      <c r="A172" s="75">
        <f>'마스터'!$J$20</f>
        <v/>
      </c>
    </row>
    <row r="173">
      <c r="A173" s="75">
        <f>'마스터'!$J$21</f>
        <v/>
      </c>
    </row>
    <row r="174">
      <c r="A174" s="75">
        <f>'마스터'!$J$22</f>
        <v/>
      </c>
    </row>
    <row r="175">
      <c r="A175" s="75">
        <f>'마스터'!$J$23</f>
        <v/>
      </c>
    </row>
    <row r="176">
      <c r="A176" s="75">
        <f>'마스터'!$J$24</f>
        <v/>
      </c>
    </row>
    <row r="177">
      <c r="A177" s="75">
        <f>'마스터'!$J$25</f>
        <v/>
      </c>
    </row>
    <row r="178">
      <c r="A178" s="75">
        <f>'마스터'!$J$26</f>
        <v/>
      </c>
    </row>
    <row r="179">
      <c r="A179" s="75">
        <f>'마스터'!$J$27</f>
        <v/>
      </c>
    </row>
  </sheetData>
  <mergeCells count="13">
    <mergeCell ref="H1:J1"/>
    <mergeCell ref="K1:P1"/>
    <mergeCell ref="A1:G1"/>
    <mergeCell ref="A132:P132"/>
    <mergeCell ref="A5:F5"/>
    <mergeCell ref="A70:P70"/>
    <mergeCell ref="A8:P8"/>
    <mergeCell ref="U1:AY1"/>
    <mergeCell ref="A6:F6"/>
    <mergeCell ref="A39:P39"/>
    <mergeCell ref="A4:F4"/>
    <mergeCell ref="A101:P101"/>
    <mergeCell ref="A3:F3"/>
  </mergeCells>
  <conditionalFormatting sqref="U3:AY6">
    <cfRule type="expression" priority="1" dxfId="0">
      <formula>U3&gt;$H3</formula>
    </cfRule>
    <cfRule type="expression" priority="2" dxfId="1">
      <formula>AND(U3&gt;0,U3&gt;=$H3*0.8)</formula>
    </cfRule>
  </conditionalFormatting>
  <conditionalFormatting sqref="U3:AY162">
    <cfRule type="expression" priority="3" dxfId="2">
      <formula>OR(WEEKDAY(U$2,2)&gt;5,COUNTIF($A$165:$A$179,U$2)&gt;0)</formula>
    </cfRule>
  </conditionalFormatting>
  <conditionalFormatting sqref="U8:AY162">
    <cfRule type="expression" priority="4" dxfId="3">
      <formula>AND($F8&lt;&gt;"",U8&lt;&gt;"",SUMIF($F$8:$F$162,$F8,U$8:U$162)&gt;$A$163)</formula>
    </cfRule>
    <cfRule type="expression" priority="5" dxfId="4">
      <formula>$E8="기획"</formula>
    </cfRule>
    <cfRule type="expression" priority="6" dxfId="5">
      <formula>$E8="이미지"</formula>
    </cfRule>
    <cfRule type="expression" priority="7" dxfId="6">
      <formula>$E8="영상"</formula>
    </cfRule>
    <cfRule type="expression" priority="8" dxfId="7">
      <formula>AND($E8="기획",U8&lt;&gt;"")</formula>
    </cfRule>
    <cfRule type="expression" priority="9" dxfId="8">
      <formula>AND($E8="이미지",U8&lt;&gt;"")</formula>
    </cfRule>
    <cfRule type="expression" priority="10" dxfId="9">
      <formula>AND($E8="영상",U8&lt;&gt;"")</formula>
    </cfRule>
  </conditionalFormatting>
  <conditionalFormatting sqref="N8:N162">
    <cfRule type="expression" priority="11" dxfId="10">
      <formula>AND(N8&lt;&gt;"",N8&lt;0)</formula>
    </cfRule>
    <cfRule type="expression" priority="12" dxfId="11">
      <formula>AND(N8&lt;&gt;"",N8&gt;=0,N8&lt;=1)</formula>
    </cfRule>
    <cfRule type="expression" priority="13" dxfId="12">
      <formula>AND(N8&lt;&gt;"",N8&gt;1)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E8:E162" showDropDown="0" showInputMessage="0" showErrorMessage="0" allowBlank="1" type="list">
      <formula1>='마스터'!$E$3:$E$5</formula1>
    </dataValidation>
    <dataValidation sqref="O8:O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179"/>
  <sheetViews>
    <sheetView showGridLines="0" workbookViewId="0">
      <pane xSplit="7" ySplit="7" topLeftCell="H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20" customWidth="1" min="4" max="4"/>
    <col width="7" customWidth="1" min="5" max="5"/>
    <col width="9" customWidth="1" min="6" max="6"/>
    <col width="9" customWidth="1" min="7" max="7"/>
    <col width="5" customWidth="1" min="8" max="8"/>
    <col width="5" customWidth="1" min="9" max="9"/>
    <col width="5" customWidth="1" min="10" max="10"/>
    <col width="6" customWidth="1" min="11" max="11"/>
    <col width="8" customWidth="1" min="12" max="12"/>
    <col width="8" customWidth="1" min="13" max="13"/>
    <col width="6" customWidth="1" min="14" max="14"/>
    <col width="7" customWidth="1" min="15" max="15"/>
    <col width="12" customWidth="1" min="16" max="16"/>
    <col width="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</cols>
  <sheetData>
    <row r="1">
      <c r="A1" s="40" t="inlineStr">
        <is>
          <t>3월 업무 정보 (소재명 = 직군별 줄)</t>
        </is>
      </c>
      <c r="H1" s="41" t="inlineStr">
        <is>
          <t>수량 (소재당 1번만)</t>
        </is>
      </c>
      <c r="K1" s="42" t="inlineStr">
        <is>
          <t>집계 / 일정 (자동)</t>
        </is>
      </c>
      <c r="U1" s="14" t="inlineStr">
        <is>
          <t>3월 간트 - 날짜 칸에 MD 직접 입력 (주말+공휴일 회색)  상단 4줄=일자별 직군 TO 상태</t>
        </is>
      </c>
    </row>
    <row r="2">
      <c r="A2" s="43" t="inlineStr">
        <is>
          <t>No</t>
        </is>
      </c>
      <c r="B2" s="43" t="inlineStr">
        <is>
          <t>게임 타이틀명</t>
        </is>
      </c>
      <c r="C2" s="43" t="inlineStr">
        <is>
          <t>고객팀</t>
        </is>
      </c>
      <c r="D2" s="43" t="inlineStr">
        <is>
          <t>소재명(업무명)</t>
        </is>
      </c>
      <c r="E2" s="43" t="inlineStr">
        <is>
          <t>직군</t>
        </is>
      </c>
      <c r="F2" s="43" t="inlineStr">
        <is>
          <t>담당자</t>
        </is>
      </c>
      <c r="G2" s="43" t="inlineStr">
        <is>
          <t>최종완료일
(고객전달)</t>
        </is>
      </c>
      <c r="H2" s="43" t="inlineStr">
        <is>
          <t>영상
수</t>
        </is>
      </c>
      <c r="I2" s="43" t="inlineStr">
        <is>
          <t>사이즈
베리</t>
        </is>
      </c>
      <c r="J2" s="43" t="inlineStr">
        <is>
          <t>다국어
베리</t>
        </is>
      </c>
      <c r="K2" s="43" t="inlineStr">
        <is>
          <t>합계
MD</t>
        </is>
      </c>
      <c r="L2" s="43" t="inlineStr">
        <is>
          <t>시작일
(자동)</t>
        </is>
      </c>
      <c r="M2" s="43" t="inlineStr">
        <is>
          <t>완료일
(자동)</t>
        </is>
      </c>
      <c r="N2" s="43" t="inlineStr">
        <is>
          <t>여유</t>
        </is>
      </c>
      <c r="O2" s="43" t="inlineStr">
        <is>
          <t>상태</t>
        </is>
      </c>
      <c r="P2" s="43" t="inlineStr">
        <is>
          <t>비고</t>
        </is>
      </c>
      <c r="U2" s="44">
        <f>DATE('마스터'!$J$3,3,1)</f>
        <v/>
      </c>
      <c r="V2" s="44">
        <f>U2+1</f>
        <v/>
      </c>
      <c r="W2" s="44">
        <f>V2+1</f>
        <v/>
      </c>
      <c r="X2" s="44">
        <f>W2+1</f>
        <v/>
      </c>
      <c r="Y2" s="44">
        <f>X2+1</f>
        <v/>
      </c>
      <c r="Z2" s="44">
        <f>Y2+1</f>
        <v/>
      </c>
      <c r="AA2" s="44">
        <f>Z2+1</f>
        <v/>
      </c>
      <c r="AB2" s="44">
        <f>AA2+1</f>
        <v/>
      </c>
      <c r="AC2" s="44">
        <f>AB2+1</f>
        <v/>
      </c>
      <c r="AD2" s="44">
        <f>AC2+1</f>
        <v/>
      </c>
      <c r="AE2" s="44">
        <f>AD2+1</f>
        <v/>
      </c>
      <c r="AF2" s="44">
        <f>AE2+1</f>
        <v/>
      </c>
      <c r="AG2" s="44">
        <f>AF2+1</f>
        <v/>
      </c>
      <c r="AH2" s="44">
        <f>AG2+1</f>
        <v/>
      </c>
      <c r="AI2" s="44">
        <f>AH2+1</f>
        <v/>
      </c>
      <c r="AJ2" s="44">
        <f>AI2+1</f>
        <v/>
      </c>
      <c r="AK2" s="44">
        <f>AJ2+1</f>
        <v/>
      </c>
      <c r="AL2" s="44">
        <f>AK2+1</f>
        <v/>
      </c>
      <c r="AM2" s="44">
        <f>AL2+1</f>
        <v/>
      </c>
      <c r="AN2" s="44">
        <f>AM2+1</f>
        <v/>
      </c>
      <c r="AO2" s="44">
        <f>AN2+1</f>
        <v/>
      </c>
      <c r="AP2" s="44">
        <f>AO2+1</f>
        <v/>
      </c>
      <c r="AQ2" s="44">
        <f>AP2+1</f>
        <v/>
      </c>
      <c r="AR2" s="44">
        <f>AQ2+1</f>
        <v/>
      </c>
      <c r="AS2" s="44">
        <f>AR2+1</f>
        <v/>
      </c>
      <c r="AT2" s="44">
        <f>AS2+1</f>
        <v/>
      </c>
      <c r="AU2" s="44">
        <f>AT2+1</f>
        <v/>
      </c>
      <c r="AV2" s="44">
        <f>AU2+1</f>
        <v/>
      </c>
      <c r="AW2" s="44">
        <f>AV2+1</f>
        <v/>
      </c>
      <c r="AX2" s="44">
        <f>AW2+1</f>
        <v/>
      </c>
      <c r="AY2" s="44">
        <f>AX2+1</f>
        <v/>
      </c>
    </row>
    <row r="3">
      <c r="A3" s="45" t="inlineStr">
        <is>
          <t>전체 TO (일자별 부하)</t>
        </is>
      </c>
      <c r="G3" s="46" t="inlineStr">
        <is>
          <t>정원</t>
        </is>
      </c>
      <c r="H3" s="47">
        <f>SUM('마스터'!$J$8:$J$10)</f>
        <v/>
      </c>
      <c r="I3" s="48" t="n"/>
      <c r="J3" s="48" t="n"/>
      <c r="K3" s="48" t="n"/>
      <c r="L3" s="48" t="n"/>
      <c r="M3" s="48" t="n"/>
      <c r="N3" s="48" t="n"/>
      <c r="O3" s="48" t="n"/>
      <c r="P3" s="48" t="n"/>
      <c r="U3" s="49">
        <f>SUM(U$8:U$162)</f>
        <v/>
      </c>
      <c r="V3" s="49">
        <f>SUM(V$8:V$162)</f>
        <v/>
      </c>
      <c r="W3" s="49">
        <f>SUM(W$8:W$162)</f>
        <v/>
      </c>
      <c r="X3" s="49">
        <f>SUM(X$8:X$162)</f>
        <v/>
      </c>
      <c r="Y3" s="49">
        <f>SUM(Y$8:Y$162)</f>
        <v/>
      </c>
      <c r="Z3" s="49">
        <f>SUM(Z$8:Z$162)</f>
        <v/>
      </c>
      <c r="AA3" s="49">
        <f>SUM(AA$8:AA$162)</f>
        <v/>
      </c>
      <c r="AB3" s="49">
        <f>SUM(AB$8:AB$162)</f>
        <v/>
      </c>
      <c r="AC3" s="49">
        <f>SUM(AC$8:AC$162)</f>
        <v/>
      </c>
      <c r="AD3" s="49">
        <f>SUM(AD$8:AD$162)</f>
        <v/>
      </c>
      <c r="AE3" s="49">
        <f>SUM(AE$8:AE$162)</f>
        <v/>
      </c>
      <c r="AF3" s="49">
        <f>SUM(AF$8:AF$162)</f>
        <v/>
      </c>
      <c r="AG3" s="49">
        <f>SUM(AG$8:AG$162)</f>
        <v/>
      </c>
      <c r="AH3" s="49">
        <f>SUM(AH$8:AH$162)</f>
        <v/>
      </c>
      <c r="AI3" s="49">
        <f>SUM(AI$8:AI$162)</f>
        <v/>
      </c>
      <c r="AJ3" s="49">
        <f>SUM(AJ$8:AJ$162)</f>
        <v/>
      </c>
      <c r="AK3" s="49">
        <f>SUM(AK$8:AK$162)</f>
        <v/>
      </c>
      <c r="AL3" s="49">
        <f>SUM(AL$8:AL$162)</f>
        <v/>
      </c>
      <c r="AM3" s="49">
        <f>SUM(AM$8:AM$162)</f>
        <v/>
      </c>
      <c r="AN3" s="49">
        <f>SUM(AN$8:AN$162)</f>
        <v/>
      </c>
      <c r="AO3" s="49">
        <f>SUM(AO$8:AO$162)</f>
        <v/>
      </c>
      <c r="AP3" s="49">
        <f>SUM(AP$8:AP$162)</f>
        <v/>
      </c>
      <c r="AQ3" s="49">
        <f>SUM(AQ$8:AQ$162)</f>
        <v/>
      </c>
      <c r="AR3" s="49">
        <f>SUM(AR$8:AR$162)</f>
        <v/>
      </c>
      <c r="AS3" s="49">
        <f>SUM(AS$8:AS$162)</f>
        <v/>
      </c>
      <c r="AT3" s="49">
        <f>SUM(AT$8:AT$162)</f>
        <v/>
      </c>
      <c r="AU3" s="49">
        <f>SUM(AU$8:AU$162)</f>
        <v/>
      </c>
      <c r="AV3" s="49">
        <f>SUM(AV$8:AV$162)</f>
        <v/>
      </c>
      <c r="AW3" s="49">
        <f>SUM(AW$8:AW$162)</f>
        <v/>
      </c>
      <c r="AX3" s="49">
        <f>SUM(AX$8:AX$162)</f>
        <v/>
      </c>
      <c r="AY3" s="49">
        <f>SUM(AY$8:AY$162)</f>
        <v/>
      </c>
    </row>
    <row r="4">
      <c r="A4" s="45" t="inlineStr">
        <is>
          <t>영상 TO</t>
        </is>
      </c>
      <c r="G4" s="46" t="inlineStr">
        <is>
          <t>정원</t>
        </is>
      </c>
      <c r="H4" s="47">
        <f>'마스터'!$J$8</f>
        <v/>
      </c>
      <c r="I4" s="48" t="n"/>
      <c r="J4" s="48" t="n"/>
      <c r="K4" s="48" t="n"/>
      <c r="L4" s="48" t="n"/>
      <c r="M4" s="48" t="n"/>
      <c r="N4" s="48" t="n"/>
      <c r="O4" s="48" t="n"/>
      <c r="P4" s="48" t="n"/>
      <c r="U4" s="49">
        <f>SUMIF($E$8:$E$162,"영상",U$8:U$162)</f>
        <v/>
      </c>
      <c r="V4" s="49">
        <f>SUMIF($E$8:$E$162,"영상",V$8:V$162)</f>
        <v/>
      </c>
      <c r="W4" s="49">
        <f>SUMIF($E$8:$E$162,"영상",W$8:W$162)</f>
        <v/>
      </c>
      <c r="X4" s="49">
        <f>SUMIF($E$8:$E$162,"영상",X$8:X$162)</f>
        <v/>
      </c>
      <c r="Y4" s="49">
        <f>SUMIF($E$8:$E$162,"영상",Y$8:Y$162)</f>
        <v/>
      </c>
      <c r="Z4" s="49">
        <f>SUMIF($E$8:$E$162,"영상",Z$8:Z$162)</f>
        <v/>
      </c>
      <c r="AA4" s="49">
        <f>SUMIF($E$8:$E$162,"영상",AA$8:AA$162)</f>
        <v/>
      </c>
      <c r="AB4" s="49">
        <f>SUMIF($E$8:$E$162,"영상",AB$8:AB$162)</f>
        <v/>
      </c>
      <c r="AC4" s="49">
        <f>SUMIF($E$8:$E$162,"영상",AC$8:AC$162)</f>
        <v/>
      </c>
      <c r="AD4" s="49">
        <f>SUMIF($E$8:$E$162,"영상",AD$8:AD$162)</f>
        <v/>
      </c>
      <c r="AE4" s="49">
        <f>SUMIF($E$8:$E$162,"영상",AE$8:AE$162)</f>
        <v/>
      </c>
      <c r="AF4" s="49">
        <f>SUMIF($E$8:$E$162,"영상",AF$8:AF$162)</f>
        <v/>
      </c>
      <c r="AG4" s="49">
        <f>SUMIF($E$8:$E$162,"영상",AG$8:AG$162)</f>
        <v/>
      </c>
      <c r="AH4" s="49">
        <f>SUMIF($E$8:$E$162,"영상",AH$8:AH$162)</f>
        <v/>
      </c>
      <c r="AI4" s="49">
        <f>SUMIF($E$8:$E$162,"영상",AI$8:AI$162)</f>
        <v/>
      </c>
      <c r="AJ4" s="49">
        <f>SUMIF($E$8:$E$162,"영상",AJ$8:AJ$162)</f>
        <v/>
      </c>
      <c r="AK4" s="49">
        <f>SUMIF($E$8:$E$162,"영상",AK$8:AK$162)</f>
        <v/>
      </c>
      <c r="AL4" s="49">
        <f>SUMIF($E$8:$E$162,"영상",AL$8:AL$162)</f>
        <v/>
      </c>
      <c r="AM4" s="49">
        <f>SUMIF($E$8:$E$162,"영상",AM$8:AM$162)</f>
        <v/>
      </c>
      <c r="AN4" s="49">
        <f>SUMIF($E$8:$E$162,"영상",AN$8:AN$162)</f>
        <v/>
      </c>
      <c r="AO4" s="49">
        <f>SUMIF($E$8:$E$162,"영상",AO$8:AO$162)</f>
        <v/>
      </c>
      <c r="AP4" s="49">
        <f>SUMIF($E$8:$E$162,"영상",AP$8:AP$162)</f>
        <v/>
      </c>
      <c r="AQ4" s="49">
        <f>SUMIF($E$8:$E$162,"영상",AQ$8:AQ$162)</f>
        <v/>
      </c>
      <c r="AR4" s="49">
        <f>SUMIF($E$8:$E$162,"영상",AR$8:AR$162)</f>
        <v/>
      </c>
      <c r="AS4" s="49">
        <f>SUMIF($E$8:$E$162,"영상",AS$8:AS$162)</f>
        <v/>
      </c>
      <c r="AT4" s="49">
        <f>SUMIF($E$8:$E$162,"영상",AT$8:AT$162)</f>
        <v/>
      </c>
      <c r="AU4" s="49">
        <f>SUMIF($E$8:$E$162,"영상",AU$8:AU$162)</f>
        <v/>
      </c>
      <c r="AV4" s="49">
        <f>SUMIF($E$8:$E$162,"영상",AV$8:AV$162)</f>
        <v/>
      </c>
      <c r="AW4" s="49">
        <f>SUMIF($E$8:$E$162,"영상",AW$8:AW$162)</f>
        <v/>
      </c>
      <c r="AX4" s="49">
        <f>SUMIF($E$8:$E$162,"영상",AX$8:AX$162)</f>
        <v/>
      </c>
      <c r="AY4" s="49">
        <f>SUMIF($E$8:$E$162,"영상",AY$8:AY$162)</f>
        <v/>
      </c>
    </row>
    <row r="5">
      <c r="A5" s="45" t="inlineStr">
        <is>
          <t>이미지 TO</t>
        </is>
      </c>
      <c r="G5" s="46" t="inlineStr">
        <is>
          <t>정원</t>
        </is>
      </c>
      <c r="H5" s="47">
        <f>'마스터'!$J$9</f>
        <v/>
      </c>
      <c r="I5" s="48" t="n"/>
      <c r="J5" s="48" t="n"/>
      <c r="K5" s="48" t="n"/>
      <c r="L5" s="48" t="n"/>
      <c r="M5" s="48" t="n"/>
      <c r="N5" s="48" t="n"/>
      <c r="O5" s="48" t="n"/>
      <c r="P5" s="48" t="n"/>
      <c r="U5" s="49">
        <f>SUMIF($E$8:$E$162,"이미지",U$8:U$162)</f>
        <v/>
      </c>
      <c r="V5" s="49">
        <f>SUMIF($E$8:$E$162,"이미지",V$8:V$162)</f>
        <v/>
      </c>
      <c r="W5" s="49">
        <f>SUMIF($E$8:$E$162,"이미지",W$8:W$162)</f>
        <v/>
      </c>
      <c r="X5" s="49">
        <f>SUMIF($E$8:$E$162,"이미지",X$8:X$162)</f>
        <v/>
      </c>
      <c r="Y5" s="49">
        <f>SUMIF($E$8:$E$162,"이미지",Y$8:Y$162)</f>
        <v/>
      </c>
      <c r="Z5" s="49">
        <f>SUMIF($E$8:$E$162,"이미지",Z$8:Z$162)</f>
        <v/>
      </c>
      <c r="AA5" s="49">
        <f>SUMIF($E$8:$E$162,"이미지",AA$8:AA$162)</f>
        <v/>
      </c>
      <c r="AB5" s="49">
        <f>SUMIF($E$8:$E$162,"이미지",AB$8:AB$162)</f>
        <v/>
      </c>
      <c r="AC5" s="49">
        <f>SUMIF($E$8:$E$162,"이미지",AC$8:AC$162)</f>
        <v/>
      </c>
      <c r="AD5" s="49">
        <f>SUMIF($E$8:$E$162,"이미지",AD$8:AD$162)</f>
        <v/>
      </c>
      <c r="AE5" s="49">
        <f>SUMIF($E$8:$E$162,"이미지",AE$8:AE$162)</f>
        <v/>
      </c>
      <c r="AF5" s="49">
        <f>SUMIF($E$8:$E$162,"이미지",AF$8:AF$162)</f>
        <v/>
      </c>
      <c r="AG5" s="49">
        <f>SUMIF($E$8:$E$162,"이미지",AG$8:AG$162)</f>
        <v/>
      </c>
      <c r="AH5" s="49">
        <f>SUMIF($E$8:$E$162,"이미지",AH$8:AH$162)</f>
        <v/>
      </c>
      <c r="AI5" s="49">
        <f>SUMIF($E$8:$E$162,"이미지",AI$8:AI$162)</f>
        <v/>
      </c>
      <c r="AJ5" s="49">
        <f>SUMIF($E$8:$E$162,"이미지",AJ$8:AJ$162)</f>
        <v/>
      </c>
      <c r="AK5" s="49">
        <f>SUMIF($E$8:$E$162,"이미지",AK$8:AK$162)</f>
        <v/>
      </c>
      <c r="AL5" s="49">
        <f>SUMIF($E$8:$E$162,"이미지",AL$8:AL$162)</f>
        <v/>
      </c>
      <c r="AM5" s="49">
        <f>SUMIF($E$8:$E$162,"이미지",AM$8:AM$162)</f>
        <v/>
      </c>
      <c r="AN5" s="49">
        <f>SUMIF($E$8:$E$162,"이미지",AN$8:AN$162)</f>
        <v/>
      </c>
      <c r="AO5" s="49">
        <f>SUMIF($E$8:$E$162,"이미지",AO$8:AO$162)</f>
        <v/>
      </c>
      <c r="AP5" s="49">
        <f>SUMIF($E$8:$E$162,"이미지",AP$8:AP$162)</f>
        <v/>
      </c>
      <c r="AQ5" s="49">
        <f>SUMIF($E$8:$E$162,"이미지",AQ$8:AQ$162)</f>
        <v/>
      </c>
      <c r="AR5" s="49">
        <f>SUMIF($E$8:$E$162,"이미지",AR$8:AR$162)</f>
        <v/>
      </c>
      <c r="AS5" s="49">
        <f>SUMIF($E$8:$E$162,"이미지",AS$8:AS$162)</f>
        <v/>
      </c>
      <c r="AT5" s="49">
        <f>SUMIF($E$8:$E$162,"이미지",AT$8:AT$162)</f>
        <v/>
      </c>
      <c r="AU5" s="49">
        <f>SUMIF($E$8:$E$162,"이미지",AU$8:AU$162)</f>
        <v/>
      </c>
      <c r="AV5" s="49">
        <f>SUMIF($E$8:$E$162,"이미지",AV$8:AV$162)</f>
        <v/>
      </c>
      <c r="AW5" s="49">
        <f>SUMIF($E$8:$E$162,"이미지",AW$8:AW$162)</f>
        <v/>
      </c>
      <c r="AX5" s="49">
        <f>SUMIF($E$8:$E$162,"이미지",AX$8:AX$162)</f>
        <v/>
      </c>
      <c r="AY5" s="49">
        <f>SUMIF($E$8:$E$162,"이미지",AY$8:AY$162)</f>
        <v/>
      </c>
    </row>
    <row r="6">
      <c r="A6" s="45" t="inlineStr">
        <is>
          <t>기획 TO</t>
        </is>
      </c>
      <c r="G6" s="46" t="inlineStr">
        <is>
          <t>정원</t>
        </is>
      </c>
      <c r="H6" s="47">
        <f>'마스터'!$J$10</f>
        <v/>
      </c>
      <c r="I6" s="48" t="n"/>
      <c r="J6" s="48" t="n"/>
      <c r="K6" s="48" t="n"/>
      <c r="L6" s="48" t="n"/>
      <c r="M6" s="48" t="n"/>
      <c r="N6" s="48" t="n"/>
      <c r="O6" s="48" t="n"/>
      <c r="P6" s="48" t="n"/>
      <c r="U6" s="49">
        <f>SUMIF($E$8:$E$162,"기획",U$8:U$162)</f>
        <v/>
      </c>
      <c r="V6" s="49">
        <f>SUMIF($E$8:$E$162,"기획",V$8:V$162)</f>
        <v/>
      </c>
      <c r="W6" s="49">
        <f>SUMIF($E$8:$E$162,"기획",W$8:W$162)</f>
        <v/>
      </c>
      <c r="X6" s="49">
        <f>SUMIF($E$8:$E$162,"기획",X$8:X$162)</f>
        <v/>
      </c>
      <c r="Y6" s="49">
        <f>SUMIF($E$8:$E$162,"기획",Y$8:Y$162)</f>
        <v/>
      </c>
      <c r="Z6" s="49">
        <f>SUMIF($E$8:$E$162,"기획",Z$8:Z$162)</f>
        <v/>
      </c>
      <c r="AA6" s="49">
        <f>SUMIF($E$8:$E$162,"기획",AA$8:AA$162)</f>
        <v/>
      </c>
      <c r="AB6" s="49">
        <f>SUMIF($E$8:$E$162,"기획",AB$8:AB$162)</f>
        <v/>
      </c>
      <c r="AC6" s="49">
        <f>SUMIF($E$8:$E$162,"기획",AC$8:AC$162)</f>
        <v/>
      </c>
      <c r="AD6" s="49">
        <f>SUMIF($E$8:$E$162,"기획",AD$8:AD$162)</f>
        <v/>
      </c>
      <c r="AE6" s="49">
        <f>SUMIF($E$8:$E$162,"기획",AE$8:AE$162)</f>
        <v/>
      </c>
      <c r="AF6" s="49">
        <f>SUMIF($E$8:$E$162,"기획",AF$8:AF$162)</f>
        <v/>
      </c>
      <c r="AG6" s="49">
        <f>SUMIF($E$8:$E$162,"기획",AG$8:AG$162)</f>
        <v/>
      </c>
      <c r="AH6" s="49">
        <f>SUMIF($E$8:$E$162,"기획",AH$8:AH$162)</f>
        <v/>
      </c>
      <c r="AI6" s="49">
        <f>SUMIF($E$8:$E$162,"기획",AI$8:AI$162)</f>
        <v/>
      </c>
      <c r="AJ6" s="49">
        <f>SUMIF($E$8:$E$162,"기획",AJ$8:AJ$162)</f>
        <v/>
      </c>
      <c r="AK6" s="49">
        <f>SUMIF($E$8:$E$162,"기획",AK$8:AK$162)</f>
        <v/>
      </c>
      <c r="AL6" s="49">
        <f>SUMIF($E$8:$E$162,"기획",AL$8:AL$162)</f>
        <v/>
      </c>
      <c r="AM6" s="49">
        <f>SUMIF($E$8:$E$162,"기획",AM$8:AM$162)</f>
        <v/>
      </c>
      <c r="AN6" s="49">
        <f>SUMIF($E$8:$E$162,"기획",AN$8:AN$162)</f>
        <v/>
      </c>
      <c r="AO6" s="49">
        <f>SUMIF($E$8:$E$162,"기획",AO$8:AO$162)</f>
        <v/>
      </c>
      <c r="AP6" s="49">
        <f>SUMIF($E$8:$E$162,"기획",AP$8:AP$162)</f>
        <v/>
      </c>
      <c r="AQ6" s="49">
        <f>SUMIF($E$8:$E$162,"기획",AQ$8:AQ$162)</f>
        <v/>
      </c>
      <c r="AR6" s="49">
        <f>SUMIF($E$8:$E$162,"기획",AR$8:AR$162)</f>
        <v/>
      </c>
      <c r="AS6" s="49">
        <f>SUMIF($E$8:$E$162,"기획",AS$8:AS$162)</f>
        <v/>
      </c>
      <c r="AT6" s="49">
        <f>SUMIF($E$8:$E$162,"기획",AT$8:AT$162)</f>
        <v/>
      </c>
      <c r="AU6" s="49">
        <f>SUMIF($E$8:$E$162,"기획",AU$8:AU$162)</f>
        <v/>
      </c>
      <c r="AV6" s="49">
        <f>SUMIF($E$8:$E$162,"기획",AV$8:AV$162)</f>
        <v/>
      </c>
      <c r="AW6" s="49">
        <f>SUMIF($E$8:$E$162,"기획",AW$8:AW$162)</f>
        <v/>
      </c>
      <c r="AX6" s="49">
        <f>SUMIF($E$8:$E$162,"기획",AX$8:AX$162)</f>
        <v/>
      </c>
      <c r="AY6" s="49">
        <f>SUMIF($E$8:$E$162,"기획",AY$8:AY$162)</f>
        <v/>
      </c>
    </row>
    <row r="8">
      <c r="A8" s="50" t="inlineStr">
        <is>
          <t>마케팅1팀  (9~38행)</t>
        </is>
      </c>
      <c r="U8" s="51" t="n"/>
      <c r="V8" s="51" t="n"/>
      <c r="W8" s="51" t="n"/>
      <c r="X8" s="51" t="n"/>
      <c r="Y8" s="51" t="n"/>
      <c r="Z8" s="51" t="n"/>
      <c r="AA8" s="51" t="n"/>
      <c r="AB8" s="51" t="n"/>
      <c r="AC8" s="51" t="n"/>
      <c r="AD8" s="51" t="n"/>
      <c r="AE8" s="51" t="n"/>
      <c r="AF8" s="51" t="n"/>
      <c r="AG8" s="51" t="n"/>
      <c r="AH8" s="51" t="n"/>
      <c r="AI8" s="51" t="n"/>
      <c r="AJ8" s="51" t="n"/>
      <c r="AK8" s="51" t="n"/>
      <c r="AL8" s="51" t="n"/>
      <c r="AM8" s="51" t="n"/>
      <c r="AN8" s="51" t="n"/>
      <c r="AO8" s="51" t="n"/>
      <c r="AP8" s="51" t="n"/>
      <c r="AQ8" s="51" t="n"/>
      <c r="AR8" s="51" t="n"/>
      <c r="AS8" s="51" t="n"/>
      <c r="AT8" s="51" t="n"/>
      <c r="AU8" s="51" t="n"/>
      <c r="AV8" s="51" t="n"/>
      <c r="AW8" s="51" t="n"/>
      <c r="AX8" s="51" t="n"/>
      <c r="AY8" s="51" t="n"/>
    </row>
    <row r="9">
      <c r="A9" s="38">
        <f>IF(D9="","",COUNTA($D$9:D9))</f>
        <v/>
      </c>
      <c r="B9" s="52" t="n"/>
      <c r="C9" s="53" t="inlineStr">
        <is>
          <t>마케팅1팀</t>
        </is>
      </c>
      <c r="D9" s="52" t="n"/>
      <c r="E9" s="54" t="n"/>
      <c r="F9" s="52" t="n"/>
      <c r="G9" s="55" t="n"/>
      <c r="H9" s="54" t="n"/>
      <c r="I9" s="54" t="n"/>
      <c r="J9" s="54" t="n"/>
      <c r="K9" s="56">
        <f>IF(SUM(U9:AY9)=0,"",SUM(U9:AY9))</f>
        <v/>
      </c>
      <c r="L9" s="57">
        <f>IFERROR(INDEX(U$2:AY$2,MATCH(TRUE,U9:AY9&lt;&gt;"",0)),"")</f>
        <v/>
      </c>
      <c r="M9" s="58">
        <f>IFERROR(LOOKUP(2,1/(U9:AY9&lt;&gt;""),U$2:AY$2),"")</f>
        <v/>
      </c>
      <c r="N9" s="59">
        <f>IF(OR(G9="",M9=""),"",G9-M9)</f>
        <v/>
      </c>
      <c r="O9" s="60" t="n"/>
      <c r="P9" s="61" t="n"/>
      <c r="U9" s="62" t="n"/>
      <c r="V9" s="62" t="n"/>
      <c r="W9" s="62" t="n"/>
      <c r="X9" s="62" t="n"/>
      <c r="Y9" s="62" t="n"/>
      <c r="Z9" s="62" t="n"/>
      <c r="AA9" s="62" t="n"/>
      <c r="AB9" s="62" t="n"/>
      <c r="AC9" s="62" t="n"/>
      <c r="AD9" s="62" t="n"/>
      <c r="AE9" s="62" t="n"/>
      <c r="AF9" s="62" t="n"/>
      <c r="AG9" s="62" t="n"/>
      <c r="AH9" s="62" t="n"/>
      <c r="AI9" s="62" t="n"/>
      <c r="AJ9" s="62" t="n"/>
      <c r="AK9" s="62" t="n"/>
      <c r="AL9" s="62" t="n"/>
      <c r="AM9" s="62" t="n"/>
      <c r="AN9" s="62" t="n"/>
      <c r="AO9" s="62" t="n"/>
      <c r="AP9" s="62" t="n"/>
      <c r="AQ9" s="62" t="n"/>
      <c r="AR9" s="62" t="n"/>
      <c r="AS9" s="62" t="n"/>
      <c r="AT9" s="62" t="n"/>
      <c r="AU9" s="62" t="n"/>
      <c r="AV9" s="62" t="n"/>
      <c r="AW9" s="62" t="n"/>
      <c r="AX9" s="62" t="n"/>
      <c r="AY9" s="62" t="n"/>
    </row>
    <row r="10">
      <c r="A10" s="38">
        <f>IF(D10="","",COUNTA($D$9:D10))</f>
        <v/>
      </c>
      <c r="B10" s="52" t="n"/>
      <c r="C10" s="53" t="inlineStr">
        <is>
          <t>마케팅1팀</t>
        </is>
      </c>
      <c r="D10" s="52" t="n"/>
      <c r="E10" s="54" t="n"/>
      <c r="F10" s="52" t="n"/>
      <c r="G10" s="55" t="n"/>
      <c r="H10" s="54" t="n"/>
      <c r="I10" s="54" t="n"/>
      <c r="J10" s="54" t="n"/>
      <c r="K10" s="56">
        <f>IF(SUM(U10:AY10)=0,"",SUM(U10:AY10))</f>
        <v/>
      </c>
      <c r="L10" s="57">
        <f>IFERROR(INDEX(U$2:AY$2,MATCH(TRUE,U10:AY10&lt;&gt;"",0)),"")</f>
        <v/>
      </c>
      <c r="M10" s="58">
        <f>IFERROR(LOOKUP(2,1/(U10:AY10&lt;&gt;""),U$2:AY$2),"")</f>
        <v/>
      </c>
      <c r="N10" s="59">
        <f>IF(OR(G10="",M10=""),"",G10-M10)</f>
        <v/>
      </c>
      <c r="O10" s="60" t="n"/>
      <c r="P10" s="61" t="n"/>
      <c r="U10" s="62" t="n"/>
      <c r="V10" s="62" t="n"/>
      <c r="W10" s="62" t="n"/>
      <c r="X10" s="62" t="n"/>
      <c r="Y10" s="62" t="n"/>
      <c r="Z10" s="62" t="n"/>
      <c r="AA10" s="62" t="n"/>
      <c r="AB10" s="62" t="n"/>
      <c r="AC10" s="62" t="n"/>
      <c r="AD10" s="62" t="n"/>
      <c r="AE10" s="62" t="n"/>
      <c r="AF10" s="62" t="n"/>
      <c r="AG10" s="62" t="n"/>
      <c r="AH10" s="62" t="n"/>
      <c r="AI10" s="62" t="n"/>
      <c r="AJ10" s="62" t="n"/>
      <c r="AK10" s="62" t="n"/>
      <c r="AL10" s="62" t="n"/>
      <c r="AM10" s="62" t="n"/>
      <c r="AN10" s="62" t="n"/>
      <c r="AO10" s="62" t="n"/>
      <c r="AP10" s="62" t="n"/>
      <c r="AQ10" s="62" t="n"/>
      <c r="AR10" s="62" t="n"/>
      <c r="AS10" s="62" t="n"/>
      <c r="AT10" s="62" t="n"/>
      <c r="AU10" s="62" t="n"/>
      <c r="AV10" s="62" t="n"/>
      <c r="AW10" s="62" t="n"/>
      <c r="AX10" s="62" t="n"/>
      <c r="AY10" s="62" t="n"/>
    </row>
    <row r="11">
      <c r="A11" s="38">
        <f>IF(D11="","",COUNTA($D$9:D11))</f>
        <v/>
      </c>
      <c r="B11" s="52" t="n"/>
      <c r="C11" s="53" t="inlineStr">
        <is>
          <t>마케팅1팀</t>
        </is>
      </c>
      <c r="D11" s="52" t="n"/>
      <c r="E11" s="54" t="n"/>
      <c r="F11" s="52" t="n"/>
      <c r="G11" s="55" t="n"/>
      <c r="H11" s="54" t="n"/>
      <c r="I11" s="54" t="n"/>
      <c r="J11" s="54" t="n"/>
      <c r="K11" s="56">
        <f>IF(SUM(U11:AY11)=0,"",SUM(U11:AY11))</f>
        <v/>
      </c>
      <c r="L11" s="57">
        <f>IFERROR(INDEX(U$2:AY$2,MATCH(TRUE,U11:AY11&lt;&gt;"",0)),"")</f>
        <v/>
      </c>
      <c r="M11" s="58">
        <f>IFERROR(LOOKUP(2,1/(U11:AY11&lt;&gt;""),U$2:AY$2),"")</f>
        <v/>
      </c>
      <c r="N11" s="59">
        <f>IF(OR(G11="",M11=""),"",G11-M11)</f>
        <v/>
      </c>
      <c r="O11" s="60" t="n"/>
      <c r="P11" s="61" t="n"/>
      <c r="U11" s="62" t="n"/>
      <c r="V11" s="62" t="n"/>
      <c r="W11" s="62" t="n"/>
      <c r="X11" s="62" t="n"/>
      <c r="Y11" s="62" t="n"/>
      <c r="Z11" s="62" t="n"/>
      <c r="AA11" s="62" t="n"/>
      <c r="AB11" s="62" t="n"/>
      <c r="AC11" s="62" t="n"/>
      <c r="AD11" s="62" t="n"/>
      <c r="AE11" s="62" t="n"/>
      <c r="AF11" s="62" t="n"/>
      <c r="AG11" s="62" t="n"/>
      <c r="AH11" s="62" t="n"/>
      <c r="AI11" s="62" t="n"/>
      <c r="AJ11" s="62" t="n"/>
      <c r="AK11" s="62" t="n"/>
      <c r="AL11" s="62" t="n"/>
      <c r="AM11" s="62" t="n"/>
      <c r="AN11" s="62" t="n"/>
      <c r="AO11" s="62" t="n"/>
      <c r="AP11" s="62" t="n"/>
      <c r="AQ11" s="62" t="n"/>
      <c r="AR11" s="62" t="n"/>
      <c r="AS11" s="62" t="n"/>
      <c r="AT11" s="62" t="n"/>
      <c r="AU11" s="62" t="n"/>
      <c r="AV11" s="62" t="n"/>
      <c r="AW11" s="62" t="n"/>
      <c r="AX11" s="62" t="n"/>
      <c r="AY11" s="62" t="n"/>
    </row>
    <row r="12">
      <c r="A12" s="38">
        <f>IF(D12="","",COUNTA($D$9:D12))</f>
        <v/>
      </c>
      <c r="B12" s="52" t="n"/>
      <c r="C12" s="53" t="inlineStr">
        <is>
          <t>마케팅1팀</t>
        </is>
      </c>
      <c r="D12" s="52" t="n"/>
      <c r="E12" s="54" t="n"/>
      <c r="F12" s="52" t="n"/>
      <c r="G12" s="55" t="n"/>
      <c r="H12" s="54" t="n"/>
      <c r="I12" s="54" t="n"/>
      <c r="J12" s="54" t="n"/>
      <c r="K12" s="56">
        <f>IF(SUM(U12:AY12)=0,"",SUM(U12:AY12))</f>
        <v/>
      </c>
      <c r="L12" s="57">
        <f>IFERROR(INDEX(U$2:AY$2,MATCH(TRUE,U12:AY12&lt;&gt;"",0)),"")</f>
        <v/>
      </c>
      <c r="M12" s="58">
        <f>IFERROR(LOOKUP(2,1/(U12:AY12&lt;&gt;""),U$2:AY$2),"")</f>
        <v/>
      </c>
      <c r="N12" s="59">
        <f>IF(OR(G12="",M12=""),"",G12-M12)</f>
        <v/>
      </c>
      <c r="O12" s="60" t="n"/>
      <c r="P12" s="61" t="n"/>
      <c r="U12" s="62" t="n"/>
      <c r="V12" s="62" t="n"/>
      <c r="W12" s="62" t="n"/>
      <c r="X12" s="62" t="n"/>
      <c r="Y12" s="62" t="n"/>
      <c r="Z12" s="62" t="n"/>
      <c r="AA12" s="62" t="n"/>
      <c r="AB12" s="62" t="n"/>
      <c r="AC12" s="62" t="n"/>
      <c r="AD12" s="62" t="n"/>
      <c r="AE12" s="62" t="n"/>
      <c r="AF12" s="62" t="n"/>
      <c r="AG12" s="62" t="n"/>
      <c r="AH12" s="62" t="n"/>
      <c r="AI12" s="62" t="n"/>
      <c r="AJ12" s="62" t="n"/>
      <c r="AK12" s="62" t="n"/>
      <c r="AL12" s="62" t="n"/>
      <c r="AM12" s="62" t="n"/>
      <c r="AN12" s="62" t="n"/>
      <c r="AO12" s="62" t="n"/>
      <c r="AP12" s="62" t="n"/>
      <c r="AQ12" s="62" t="n"/>
      <c r="AR12" s="62" t="n"/>
      <c r="AS12" s="62" t="n"/>
      <c r="AT12" s="62" t="n"/>
      <c r="AU12" s="62" t="n"/>
      <c r="AV12" s="62" t="n"/>
      <c r="AW12" s="62" t="n"/>
      <c r="AX12" s="62" t="n"/>
      <c r="AY12" s="62" t="n"/>
    </row>
    <row r="13">
      <c r="A13" s="38">
        <f>IF(D13="","",COUNTA($D$9:D13))</f>
        <v/>
      </c>
      <c r="B13" s="52" t="n"/>
      <c r="C13" s="53" t="inlineStr">
        <is>
          <t>마케팅1팀</t>
        </is>
      </c>
      <c r="D13" s="52" t="n"/>
      <c r="E13" s="54" t="n"/>
      <c r="F13" s="52" t="n"/>
      <c r="G13" s="55" t="n"/>
      <c r="H13" s="54" t="n"/>
      <c r="I13" s="54" t="n"/>
      <c r="J13" s="54" t="n"/>
      <c r="K13" s="56">
        <f>IF(SUM(U13:AY13)=0,"",SUM(U13:AY13))</f>
        <v/>
      </c>
      <c r="L13" s="57">
        <f>IFERROR(INDEX(U$2:AY$2,MATCH(TRUE,U13:AY13&lt;&gt;"",0)),"")</f>
        <v/>
      </c>
      <c r="M13" s="58">
        <f>IFERROR(LOOKUP(2,1/(U13:AY13&lt;&gt;""),U$2:AY$2),"")</f>
        <v/>
      </c>
      <c r="N13" s="59">
        <f>IF(OR(G13="",M13=""),"",G13-M13)</f>
        <v/>
      </c>
      <c r="O13" s="60" t="n"/>
      <c r="P13" s="61" t="n"/>
      <c r="U13" s="62" t="n"/>
      <c r="V13" s="62" t="n"/>
      <c r="W13" s="62" t="n"/>
      <c r="X13" s="62" t="n"/>
      <c r="Y13" s="62" t="n"/>
      <c r="Z13" s="62" t="n"/>
      <c r="AA13" s="62" t="n"/>
      <c r="AB13" s="62" t="n"/>
      <c r="AC13" s="62" t="n"/>
      <c r="AD13" s="62" t="n"/>
      <c r="AE13" s="62" t="n"/>
      <c r="AF13" s="62" t="n"/>
      <c r="AG13" s="62" t="n"/>
      <c r="AH13" s="62" t="n"/>
      <c r="AI13" s="62" t="n"/>
      <c r="AJ13" s="62" t="n"/>
      <c r="AK13" s="62" t="n"/>
      <c r="AL13" s="62" t="n"/>
      <c r="AM13" s="62" t="n"/>
      <c r="AN13" s="62" t="n"/>
      <c r="AO13" s="62" t="n"/>
      <c r="AP13" s="62" t="n"/>
      <c r="AQ13" s="62" t="n"/>
      <c r="AR13" s="62" t="n"/>
      <c r="AS13" s="62" t="n"/>
      <c r="AT13" s="62" t="n"/>
      <c r="AU13" s="62" t="n"/>
      <c r="AV13" s="62" t="n"/>
      <c r="AW13" s="62" t="n"/>
      <c r="AX13" s="62" t="n"/>
      <c r="AY13" s="62" t="n"/>
    </row>
    <row r="14">
      <c r="A14" s="38">
        <f>IF(D14="","",COUNTA($D$9:D14))</f>
        <v/>
      </c>
      <c r="B14" s="52" t="n"/>
      <c r="C14" s="53" t="inlineStr">
        <is>
          <t>마케팅1팀</t>
        </is>
      </c>
      <c r="D14" s="52" t="n"/>
      <c r="E14" s="54" t="n"/>
      <c r="F14" s="52" t="n"/>
      <c r="G14" s="55" t="n"/>
      <c r="H14" s="54" t="n"/>
      <c r="I14" s="54" t="n"/>
      <c r="J14" s="54" t="n"/>
      <c r="K14" s="56">
        <f>IF(SUM(U14:AY14)=0,"",SUM(U14:AY14))</f>
        <v/>
      </c>
      <c r="L14" s="57">
        <f>IFERROR(INDEX(U$2:AY$2,MATCH(TRUE,U14:AY14&lt;&gt;"",0)),"")</f>
        <v/>
      </c>
      <c r="M14" s="58">
        <f>IFERROR(LOOKUP(2,1/(U14:AY14&lt;&gt;""),U$2:AY$2),"")</f>
        <v/>
      </c>
      <c r="N14" s="59">
        <f>IF(OR(G14="",M14=""),"",G14-M14)</f>
        <v/>
      </c>
      <c r="O14" s="60" t="n"/>
      <c r="P14" s="61" t="n"/>
      <c r="U14" s="62" t="n"/>
      <c r="V14" s="62" t="n"/>
      <c r="W14" s="62" t="n"/>
      <c r="X14" s="62" t="n"/>
      <c r="Y14" s="62" t="n"/>
      <c r="Z14" s="62" t="n"/>
      <c r="AA14" s="62" t="n"/>
      <c r="AB14" s="62" t="n"/>
      <c r="AC14" s="62" t="n"/>
      <c r="AD14" s="62" t="n"/>
      <c r="AE14" s="62" t="n"/>
      <c r="AF14" s="62" t="n"/>
      <c r="AG14" s="62" t="n"/>
      <c r="AH14" s="62" t="n"/>
      <c r="AI14" s="62" t="n"/>
      <c r="AJ14" s="62" t="n"/>
      <c r="AK14" s="62" t="n"/>
      <c r="AL14" s="62" t="n"/>
      <c r="AM14" s="62" t="n"/>
      <c r="AN14" s="62" t="n"/>
      <c r="AO14" s="62" t="n"/>
      <c r="AP14" s="62" t="n"/>
      <c r="AQ14" s="62" t="n"/>
      <c r="AR14" s="62" t="n"/>
      <c r="AS14" s="62" t="n"/>
      <c r="AT14" s="62" t="n"/>
      <c r="AU14" s="62" t="n"/>
      <c r="AV14" s="62" t="n"/>
      <c r="AW14" s="62" t="n"/>
      <c r="AX14" s="62" t="n"/>
      <c r="AY14" s="62" t="n"/>
    </row>
    <row r="15">
      <c r="A15" s="38">
        <f>IF(D15="","",COUNTA($D$9:D15))</f>
        <v/>
      </c>
      <c r="B15" s="52" t="n"/>
      <c r="C15" s="53" t="inlineStr">
        <is>
          <t>마케팅1팀</t>
        </is>
      </c>
      <c r="D15" s="52" t="n"/>
      <c r="E15" s="54" t="n"/>
      <c r="F15" s="52" t="n"/>
      <c r="G15" s="55" t="n"/>
      <c r="H15" s="54" t="n"/>
      <c r="I15" s="54" t="n"/>
      <c r="J15" s="54" t="n"/>
      <c r="K15" s="56">
        <f>IF(SUM(U15:AY15)=0,"",SUM(U15:AY15))</f>
        <v/>
      </c>
      <c r="L15" s="57">
        <f>IFERROR(INDEX(U$2:AY$2,MATCH(TRUE,U15:AY15&lt;&gt;"",0)),"")</f>
        <v/>
      </c>
      <c r="M15" s="58">
        <f>IFERROR(LOOKUP(2,1/(U15:AY15&lt;&gt;""),U$2:AY$2),"")</f>
        <v/>
      </c>
      <c r="N15" s="59">
        <f>IF(OR(G15="",M15=""),"",G15-M15)</f>
        <v/>
      </c>
      <c r="O15" s="60" t="n"/>
      <c r="P15" s="61" t="n"/>
      <c r="U15" s="62" t="n"/>
      <c r="V15" s="62" t="n"/>
      <c r="W15" s="62" t="n"/>
      <c r="X15" s="62" t="n"/>
      <c r="Y15" s="62" t="n"/>
      <c r="Z15" s="62" t="n"/>
      <c r="AA15" s="62" t="n"/>
      <c r="AB15" s="62" t="n"/>
      <c r="AC15" s="62" t="n"/>
      <c r="AD15" s="62" t="n"/>
      <c r="AE15" s="62" t="n"/>
      <c r="AF15" s="62" t="n"/>
      <c r="AG15" s="62" t="n"/>
      <c r="AH15" s="62" t="n"/>
      <c r="AI15" s="62" t="n"/>
      <c r="AJ15" s="62" t="n"/>
      <c r="AK15" s="62" t="n"/>
      <c r="AL15" s="62" t="n"/>
      <c r="AM15" s="62" t="n"/>
      <c r="AN15" s="62" t="n"/>
      <c r="AO15" s="62" t="n"/>
      <c r="AP15" s="62" t="n"/>
      <c r="AQ15" s="62" t="n"/>
      <c r="AR15" s="62" t="n"/>
      <c r="AS15" s="62" t="n"/>
      <c r="AT15" s="62" t="n"/>
      <c r="AU15" s="62" t="n"/>
      <c r="AV15" s="62" t="n"/>
      <c r="AW15" s="62" t="n"/>
      <c r="AX15" s="62" t="n"/>
      <c r="AY15" s="62" t="n"/>
    </row>
    <row r="16">
      <c r="A16" s="38">
        <f>IF(D16="","",COUNTA($D$9:D16))</f>
        <v/>
      </c>
      <c r="B16" s="52" t="n"/>
      <c r="C16" s="53" t="inlineStr">
        <is>
          <t>마케팅1팀</t>
        </is>
      </c>
      <c r="D16" s="52" t="n"/>
      <c r="E16" s="54" t="n"/>
      <c r="F16" s="52" t="n"/>
      <c r="G16" s="55" t="n"/>
      <c r="H16" s="54" t="n"/>
      <c r="I16" s="54" t="n"/>
      <c r="J16" s="54" t="n"/>
      <c r="K16" s="56">
        <f>IF(SUM(U16:AY16)=0,"",SUM(U16:AY16))</f>
        <v/>
      </c>
      <c r="L16" s="57">
        <f>IFERROR(INDEX(U$2:AY$2,MATCH(TRUE,U16:AY16&lt;&gt;"",0)),"")</f>
        <v/>
      </c>
      <c r="M16" s="58">
        <f>IFERROR(LOOKUP(2,1/(U16:AY16&lt;&gt;""),U$2:AY$2),"")</f>
        <v/>
      </c>
      <c r="N16" s="59">
        <f>IF(OR(G16="",M16=""),"",G16-M16)</f>
        <v/>
      </c>
      <c r="O16" s="60" t="n"/>
      <c r="P16" s="61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  <c r="AG16" s="62" t="n"/>
      <c r="AH16" s="62" t="n"/>
      <c r="AI16" s="62" t="n"/>
      <c r="AJ16" s="62" t="n"/>
      <c r="AK16" s="62" t="n"/>
      <c r="AL16" s="62" t="n"/>
      <c r="AM16" s="62" t="n"/>
      <c r="AN16" s="62" t="n"/>
      <c r="AO16" s="62" t="n"/>
      <c r="AP16" s="62" t="n"/>
      <c r="AQ16" s="62" t="n"/>
      <c r="AR16" s="62" t="n"/>
      <c r="AS16" s="62" t="n"/>
      <c r="AT16" s="62" t="n"/>
      <c r="AU16" s="62" t="n"/>
      <c r="AV16" s="62" t="n"/>
      <c r="AW16" s="62" t="n"/>
      <c r="AX16" s="62" t="n"/>
      <c r="AY16" s="62" t="n"/>
    </row>
    <row r="17">
      <c r="A17" s="38">
        <f>IF(D17="","",COUNTA($D$9:D17))</f>
        <v/>
      </c>
      <c r="B17" s="52" t="n"/>
      <c r="C17" s="53" t="inlineStr">
        <is>
          <t>마케팅1팀</t>
        </is>
      </c>
      <c r="D17" s="52" t="n"/>
      <c r="E17" s="54" t="n"/>
      <c r="F17" s="52" t="n"/>
      <c r="G17" s="55" t="n"/>
      <c r="H17" s="54" t="n"/>
      <c r="I17" s="54" t="n"/>
      <c r="J17" s="54" t="n"/>
      <c r="K17" s="56">
        <f>IF(SUM(U17:AY17)=0,"",SUM(U17:AY17))</f>
        <v/>
      </c>
      <c r="L17" s="57">
        <f>IFERROR(INDEX(U$2:AY$2,MATCH(TRUE,U17:AY17&lt;&gt;"",0)),"")</f>
        <v/>
      </c>
      <c r="M17" s="58">
        <f>IFERROR(LOOKUP(2,1/(U17:AY17&lt;&gt;""),U$2:AY$2),"")</f>
        <v/>
      </c>
      <c r="N17" s="59">
        <f>IF(OR(G17="",M17=""),"",G17-M17)</f>
        <v/>
      </c>
      <c r="O17" s="60" t="n"/>
      <c r="P17" s="61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  <c r="AG17" s="62" t="n"/>
      <c r="AH17" s="62" t="n"/>
      <c r="AI17" s="62" t="n"/>
      <c r="AJ17" s="62" t="n"/>
      <c r="AK17" s="62" t="n"/>
      <c r="AL17" s="62" t="n"/>
      <c r="AM17" s="62" t="n"/>
      <c r="AN17" s="62" t="n"/>
      <c r="AO17" s="62" t="n"/>
      <c r="AP17" s="62" t="n"/>
      <c r="AQ17" s="62" t="n"/>
      <c r="AR17" s="62" t="n"/>
      <c r="AS17" s="62" t="n"/>
      <c r="AT17" s="62" t="n"/>
      <c r="AU17" s="62" t="n"/>
      <c r="AV17" s="62" t="n"/>
      <c r="AW17" s="62" t="n"/>
      <c r="AX17" s="62" t="n"/>
      <c r="AY17" s="62" t="n"/>
    </row>
    <row r="18">
      <c r="A18" s="38">
        <f>IF(D18="","",COUNTA($D$9:D18))</f>
        <v/>
      </c>
      <c r="B18" s="52" t="n"/>
      <c r="C18" s="53" t="inlineStr">
        <is>
          <t>마케팅1팀</t>
        </is>
      </c>
      <c r="D18" s="52" t="n"/>
      <c r="E18" s="54" t="n"/>
      <c r="F18" s="52" t="n"/>
      <c r="G18" s="55" t="n"/>
      <c r="H18" s="54" t="n"/>
      <c r="I18" s="54" t="n"/>
      <c r="J18" s="54" t="n"/>
      <c r="K18" s="56">
        <f>IF(SUM(U18:AY18)=0,"",SUM(U18:AY18))</f>
        <v/>
      </c>
      <c r="L18" s="57">
        <f>IFERROR(INDEX(U$2:AY$2,MATCH(TRUE,U18:AY18&lt;&gt;"",0)),"")</f>
        <v/>
      </c>
      <c r="M18" s="58">
        <f>IFERROR(LOOKUP(2,1/(U18:AY18&lt;&gt;""),U$2:AY$2),"")</f>
        <v/>
      </c>
      <c r="N18" s="59">
        <f>IF(OR(G18="",M18=""),"",G18-M18)</f>
        <v/>
      </c>
      <c r="O18" s="60" t="n"/>
      <c r="P18" s="61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  <c r="AG18" s="62" t="n"/>
      <c r="AH18" s="62" t="n"/>
      <c r="AI18" s="62" t="n"/>
      <c r="AJ18" s="62" t="n"/>
      <c r="AK18" s="62" t="n"/>
      <c r="AL18" s="62" t="n"/>
      <c r="AM18" s="62" t="n"/>
      <c r="AN18" s="62" t="n"/>
      <c r="AO18" s="62" t="n"/>
      <c r="AP18" s="62" t="n"/>
      <c r="AQ18" s="62" t="n"/>
      <c r="AR18" s="62" t="n"/>
      <c r="AS18" s="62" t="n"/>
      <c r="AT18" s="62" t="n"/>
      <c r="AU18" s="62" t="n"/>
      <c r="AV18" s="62" t="n"/>
      <c r="AW18" s="62" t="n"/>
      <c r="AX18" s="62" t="n"/>
      <c r="AY18" s="62" t="n"/>
    </row>
    <row r="19">
      <c r="A19" s="38">
        <f>IF(D19="","",COUNTA($D$9:D19))</f>
        <v/>
      </c>
      <c r="B19" s="52" t="n"/>
      <c r="C19" s="53" t="inlineStr">
        <is>
          <t>마케팅1팀</t>
        </is>
      </c>
      <c r="D19" s="52" t="n"/>
      <c r="E19" s="54" t="n"/>
      <c r="F19" s="52" t="n"/>
      <c r="G19" s="55" t="n"/>
      <c r="H19" s="54" t="n"/>
      <c r="I19" s="54" t="n"/>
      <c r="J19" s="54" t="n"/>
      <c r="K19" s="56">
        <f>IF(SUM(U19:AY19)=0,"",SUM(U19:AY19))</f>
        <v/>
      </c>
      <c r="L19" s="57">
        <f>IFERROR(INDEX(U$2:AY$2,MATCH(TRUE,U19:AY19&lt;&gt;"",0)),"")</f>
        <v/>
      </c>
      <c r="M19" s="58">
        <f>IFERROR(LOOKUP(2,1/(U19:AY19&lt;&gt;""),U$2:AY$2),"")</f>
        <v/>
      </c>
      <c r="N19" s="59">
        <f>IF(OR(G19="",M19=""),"",G19-M19)</f>
        <v/>
      </c>
      <c r="O19" s="60" t="n"/>
      <c r="P19" s="61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  <c r="AG19" s="62" t="n"/>
      <c r="AH19" s="62" t="n"/>
      <c r="AI19" s="62" t="n"/>
      <c r="AJ19" s="62" t="n"/>
      <c r="AK19" s="62" t="n"/>
      <c r="AL19" s="62" t="n"/>
      <c r="AM19" s="62" t="n"/>
      <c r="AN19" s="62" t="n"/>
      <c r="AO19" s="62" t="n"/>
      <c r="AP19" s="62" t="n"/>
      <c r="AQ19" s="62" t="n"/>
      <c r="AR19" s="62" t="n"/>
      <c r="AS19" s="62" t="n"/>
      <c r="AT19" s="62" t="n"/>
      <c r="AU19" s="62" t="n"/>
      <c r="AV19" s="62" t="n"/>
      <c r="AW19" s="62" t="n"/>
      <c r="AX19" s="62" t="n"/>
      <c r="AY19" s="62" t="n"/>
    </row>
    <row r="20">
      <c r="A20" s="38">
        <f>IF(D20="","",COUNTA($D$9:D20))</f>
        <v/>
      </c>
      <c r="B20" s="52" t="n"/>
      <c r="C20" s="53" t="inlineStr">
        <is>
          <t>마케팅1팀</t>
        </is>
      </c>
      <c r="D20" s="52" t="n"/>
      <c r="E20" s="54" t="n"/>
      <c r="F20" s="52" t="n"/>
      <c r="G20" s="55" t="n"/>
      <c r="H20" s="54" t="n"/>
      <c r="I20" s="54" t="n"/>
      <c r="J20" s="54" t="n"/>
      <c r="K20" s="56">
        <f>IF(SUM(U20:AY20)=0,"",SUM(U20:AY20))</f>
        <v/>
      </c>
      <c r="L20" s="57">
        <f>IFERROR(INDEX(U$2:AY$2,MATCH(TRUE,U20:AY20&lt;&gt;"",0)),"")</f>
        <v/>
      </c>
      <c r="M20" s="58">
        <f>IFERROR(LOOKUP(2,1/(U20:AY20&lt;&gt;""),U$2:AY$2),"")</f>
        <v/>
      </c>
      <c r="N20" s="59">
        <f>IF(OR(G20="",M20=""),"",G20-M20)</f>
        <v/>
      </c>
      <c r="O20" s="60" t="n"/>
      <c r="P20" s="61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  <c r="AG20" s="62" t="n"/>
      <c r="AH20" s="62" t="n"/>
      <c r="AI20" s="62" t="n"/>
      <c r="AJ20" s="62" t="n"/>
      <c r="AK20" s="62" t="n"/>
      <c r="AL20" s="62" t="n"/>
      <c r="AM20" s="62" t="n"/>
      <c r="AN20" s="62" t="n"/>
      <c r="AO20" s="62" t="n"/>
      <c r="AP20" s="62" t="n"/>
      <c r="AQ20" s="62" t="n"/>
      <c r="AR20" s="62" t="n"/>
      <c r="AS20" s="62" t="n"/>
      <c r="AT20" s="62" t="n"/>
      <c r="AU20" s="62" t="n"/>
      <c r="AV20" s="62" t="n"/>
      <c r="AW20" s="62" t="n"/>
      <c r="AX20" s="62" t="n"/>
      <c r="AY20" s="62" t="n"/>
    </row>
    <row r="21">
      <c r="A21" s="38">
        <f>IF(D21="","",COUNTA($D$9:D21))</f>
        <v/>
      </c>
      <c r="B21" s="52" t="n"/>
      <c r="C21" s="53" t="inlineStr">
        <is>
          <t>마케팅1팀</t>
        </is>
      </c>
      <c r="D21" s="52" t="n"/>
      <c r="E21" s="54" t="n"/>
      <c r="F21" s="52" t="n"/>
      <c r="G21" s="55" t="n"/>
      <c r="H21" s="54" t="n"/>
      <c r="I21" s="54" t="n"/>
      <c r="J21" s="54" t="n"/>
      <c r="K21" s="56">
        <f>IF(SUM(U21:AY21)=0,"",SUM(U21:AY21))</f>
        <v/>
      </c>
      <c r="L21" s="57">
        <f>IFERROR(INDEX(U$2:AY$2,MATCH(TRUE,U21:AY21&lt;&gt;"",0)),"")</f>
        <v/>
      </c>
      <c r="M21" s="58">
        <f>IFERROR(LOOKUP(2,1/(U21:AY21&lt;&gt;""),U$2:AY$2),"")</f>
        <v/>
      </c>
      <c r="N21" s="59">
        <f>IF(OR(G21="",M21=""),"",G21-M21)</f>
        <v/>
      </c>
      <c r="O21" s="60" t="n"/>
      <c r="P21" s="61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  <c r="AG21" s="62" t="n"/>
      <c r="AH21" s="62" t="n"/>
      <c r="AI21" s="62" t="n"/>
      <c r="AJ21" s="62" t="n"/>
      <c r="AK21" s="62" t="n"/>
      <c r="AL21" s="62" t="n"/>
      <c r="AM21" s="62" t="n"/>
      <c r="AN21" s="62" t="n"/>
      <c r="AO21" s="62" t="n"/>
      <c r="AP21" s="62" t="n"/>
      <c r="AQ21" s="62" t="n"/>
      <c r="AR21" s="62" t="n"/>
      <c r="AS21" s="62" t="n"/>
      <c r="AT21" s="62" t="n"/>
      <c r="AU21" s="62" t="n"/>
      <c r="AV21" s="62" t="n"/>
      <c r="AW21" s="62" t="n"/>
      <c r="AX21" s="62" t="n"/>
      <c r="AY21" s="62" t="n"/>
    </row>
    <row r="22">
      <c r="A22" s="38">
        <f>IF(D22="","",COUNTA($D$9:D22))</f>
        <v/>
      </c>
      <c r="B22" s="52" t="n"/>
      <c r="C22" s="53" t="inlineStr">
        <is>
          <t>마케팅1팀</t>
        </is>
      </c>
      <c r="D22" s="52" t="n"/>
      <c r="E22" s="54" t="n"/>
      <c r="F22" s="52" t="n"/>
      <c r="G22" s="55" t="n"/>
      <c r="H22" s="54" t="n"/>
      <c r="I22" s="54" t="n"/>
      <c r="J22" s="54" t="n"/>
      <c r="K22" s="56">
        <f>IF(SUM(U22:AY22)=0,"",SUM(U22:AY22))</f>
        <v/>
      </c>
      <c r="L22" s="57">
        <f>IFERROR(INDEX(U$2:AY$2,MATCH(TRUE,U22:AY22&lt;&gt;"",0)),"")</f>
        <v/>
      </c>
      <c r="M22" s="58">
        <f>IFERROR(LOOKUP(2,1/(U22:AY22&lt;&gt;""),U$2:AY$2),"")</f>
        <v/>
      </c>
      <c r="N22" s="59">
        <f>IF(OR(G22="",M22=""),"",G22-M22)</f>
        <v/>
      </c>
      <c r="O22" s="60" t="n"/>
      <c r="P22" s="61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  <c r="AG22" s="62" t="n"/>
      <c r="AH22" s="62" t="n"/>
      <c r="AI22" s="62" t="n"/>
      <c r="AJ22" s="62" t="n"/>
      <c r="AK22" s="62" t="n"/>
      <c r="AL22" s="62" t="n"/>
      <c r="AM22" s="62" t="n"/>
      <c r="AN22" s="62" t="n"/>
      <c r="AO22" s="62" t="n"/>
      <c r="AP22" s="62" t="n"/>
      <c r="AQ22" s="62" t="n"/>
      <c r="AR22" s="62" t="n"/>
      <c r="AS22" s="62" t="n"/>
      <c r="AT22" s="62" t="n"/>
      <c r="AU22" s="62" t="n"/>
      <c r="AV22" s="62" t="n"/>
      <c r="AW22" s="62" t="n"/>
      <c r="AX22" s="62" t="n"/>
      <c r="AY22" s="62" t="n"/>
    </row>
    <row r="23">
      <c r="A23" s="38">
        <f>IF(D23="","",COUNTA($D$9:D23))</f>
        <v/>
      </c>
      <c r="B23" s="52" t="n"/>
      <c r="C23" s="53" t="inlineStr">
        <is>
          <t>마케팅1팀</t>
        </is>
      </c>
      <c r="D23" s="52" t="n"/>
      <c r="E23" s="54" t="n"/>
      <c r="F23" s="52" t="n"/>
      <c r="G23" s="55" t="n"/>
      <c r="H23" s="54" t="n"/>
      <c r="I23" s="54" t="n"/>
      <c r="J23" s="54" t="n"/>
      <c r="K23" s="56">
        <f>IF(SUM(U23:AY23)=0,"",SUM(U23:AY23))</f>
        <v/>
      </c>
      <c r="L23" s="57">
        <f>IFERROR(INDEX(U$2:AY$2,MATCH(TRUE,U23:AY23&lt;&gt;"",0)),"")</f>
        <v/>
      </c>
      <c r="M23" s="58">
        <f>IFERROR(LOOKUP(2,1/(U23:AY23&lt;&gt;""),U$2:AY$2),"")</f>
        <v/>
      </c>
      <c r="N23" s="59">
        <f>IF(OR(G23="",M23=""),"",G23-M23)</f>
        <v/>
      </c>
      <c r="O23" s="60" t="n"/>
      <c r="P23" s="61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  <c r="AG23" s="62" t="n"/>
      <c r="AH23" s="62" t="n"/>
      <c r="AI23" s="62" t="n"/>
      <c r="AJ23" s="62" t="n"/>
      <c r="AK23" s="62" t="n"/>
      <c r="AL23" s="62" t="n"/>
      <c r="AM23" s="62" t="n"/>
      <c r="AN23" s="62" t="n"/>
      <c r="AO23" s="62" t="n"/>
      <c r="AP23" s="62" t="n"/>
      <c r="AQ23" s="62" t="n"/>
      <c r="AR23" s="62" t="n"/>
      <c r="AS23" s="62" t="n"/>
      <c r="AT23" s="62" t="n"/>
      <c r="AU23" s="62" t="n"/>
      <c r="AV23" s="62" t="n"/>
      <c r="AW23" s="62" t="n"/>
      <c r="AX23" s="62" t="n"/>
      <c r="AY23" s="62" t="n"/>
    </row>
    <row r="24">
      <c r="A24" s="38">
        <f>IF(D24="","",COUNTA($D$9:D24))</f>
        <v/>
      </c>
      <c r="B24" s="52" t="n"/>
      <c r="C24" s="53" t="inlineStr">
        <is>
          <t>마케팅1팀</t>
        </is>
      </c>
      <c r="D24" s="52" t="n"/>
      <c r="E24" s="54" t="n"/>
      <c r="F24" s="52" t="n"/>
      <c r="G24" s="55" t="n"/>
      <c r="H24" s="54" t="n"/>
      <c r="I24" s="54" t="n"/>
      <c r="J24" s="54" t="n"/>
      <c r="K24" s="56">
        <f>IF(SUM(U24:AY24)=0,"",SUM(U24:AY24))</f>
        <v/>
      </c>
      <c r="L24" s="57">
        <f>IFERROR(INDEX(U$2:AY$2,MATCH(TRUE,U24:AY24&lt;&gt;"",0)),"")</f>
        <v/>
      </c>
      <c r="M24" s="58">
        <f>IFERROR(LOOKUP(2,1/(U24:AY24&lt;&gt;""),U$2:AY$2),"")</f>
        <v/>
      </c>
      <c r="N24" s="59">
        <f>IF(OR(G24="",M24=""),"",G24-M24)</f>
        <v/>
      </c>
      <c r="O24" s="60" t="n"/>
      <c r="P24" s="61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  <c r="AG24" s="62" t="n"/>
      <c r="AH24" s="62" t="n"/>
      <c r="AI24" s="62" t="n"/>
      <c r="AJ24" s="62" t="n"/>
      <c r="AK24" s="62" t="n"/>
      <c r="AL24" s="62" t="n"/>
      <c r="AM24" s="62" t="n"/>
      <c r="AN24" s="62" t="n"/>
      <c r="AO24" s="62" t="n"/>
      <c r="AP24" s="62" t="n"/>
      <c r="AQ24" s="62" t="n"/>
      <c r="AR24" s="62" t="n"/>
      <c r="AS24" s="62" t="n"/>
      <c r="AT24" s="62" t="n"/>
      <c r="AU24" s="62" t="n"/>
      <c r="AV24" s="62" t="n"/>
      <c r="AW24" s="62" t="n"/>
      <c r="AX24" s="62" t="n"/>
      <c r="AY24" s="62" t="n"/>
    </row>
    <row r="25">
      <c r="A25" s="38">
        <f>IF(D25="","",COUNTA($D$9:D25))</f>
        <v/>
      </c>
      <c r="B25" s="52" t="n"/>
      <c r="C25" s="53" t="inlineStr">
        <is>
          <t>마케팅1팀</t>
        </is>
      </c>
      <c r="D25" s="52" t="n"/>
      <c r="E25" s="54" t="n"/>
      <c r="F25" s="52" t="n"/>
      <c r="G25" s="55" t="n"/>
      <c r="H25" s="54" t="n"/>
      <c r="I25" s="54" t="n"/>
      <c r="J25" s="54" t="n"/>
      <c r="K25" s="56">
        <f>IF(SUM(U25:AY25)=0,"",SUM(U25:AY25))</f>
        <v/>
      </c>
      <c r="L25" s="57">
        <f>IFERROR(INDEX(U$2:AY$2,MATCH(TRUE,U25:AY25&lt;&gt;"",0)),"")</f>
        <v/>
      </c>
      <c r="M25" s="58">
        <f>IFERROR(LOOKUP(2,1/(U25:AY25&lt;&gt;""),U$2:AY$2),"")</f>
        <v/>
      </c>
      <c r="N25" s="59">
        <f>IF(OR(G25="",M25=""),"",G25-M25)</f>
        <v/>
      </c>
      <c r="O25" s="60" t="n"/>
      <c r="P25" s="61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  <c r="AG25" s="62" t="n"/>
      <c r="AH25" s="62" t="n"/>
      <c r="AI25" s="62" t="n"/>
      <c r="AJ25" s="62" t="n"/>
      <c r="AK25" s="62" t="n"/>
      <c r="AL25" s="62" t="n"/>
      <c r="AM25" s="62" t="n"/>
      <c r="AN25" s="62" t="n"/>
      <c r="AO25" s="62" t="n"/>
      <c r="AP25" s="62" t="n"/>
      <c r="AQ25" s="62" t="n"/>
      <c r="AR25" s="62" t="n"/>
      <c r="AS25" s="62" t="n"/>
      <c r="AT25" s="62" t="n"/>
      <c r="AU25" s="62" t="n"/>
      <c r="AV25" s="62" t="n"/>
      <c r="AW25" s="62" t="n"/>
      <c r="AX25" s="62" t="n"/>
      <c r="AY25" s="62" t="n"/>
    </row>
    <row r="26">
      <c r="A26" s="38">
        <f>IF(D26="","",COUNTA($D$9:D26))</f>
        <v/>
      </c>
      <c r="B26" s="52" t="n"/>
      <c r="C26" s="53" t="inlineStr">
        <is>
          <t>마케팅1팀</t>
        </is>
      </c>
      <c r="D26" s="52" t="n"/>
      <c r="E26" s="54" t="n"/>
      <c r="F26" s="52" t="n"/>
      <c r="G26" s="55" t="n"/>
      <c r="H26" s="54" t="n"/>
      <c r="I26" s="54" t="n"/>
      <c r="J26" s="54" t="n"/>
      <c r="K26" s="56">
        <f>IF(SUM(U26:AY26)=0,"",SUM(U26:AY26))</f>
        <v/>
      </c>
      <c r="L26" s="57">
        <f>IFERROR(INDEX(U$2:AY$2,MATCH(TRUE,U26:AY26&lt;&gt;"",0)),"")</f>
        <v/>
      </c>
      <c r="M26" s="58">
        <f>IFERROR(LOOKUP(2,1/(U26:AY26&lt;&gt;""),U$2:AY$2),"")</f>
        <v/>
      </c>
      <c r="N26" s="59">
        <f>IF(OR(G26="",M26=""),"",G26-M26)</f>
        <v/>
      </c>
      <c r="O26" s="60" t="n"/>
      <c r="P26" s="61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  <c r="AG26" s="62" t="n"/>
      <c r="AH26" s="62" t="n"/>
      <c r="AI26" s="62" t="n"/>
      <c r="AJ26" s="62" t="n"/>
      <c r="AK26" s="62" t="n"/>
      <c r="AL26" s="62" t="n"/>
      <c r="AM26" s="62" t="n"/>
      <c r="AN26" s="62" t="n"/>
      <c r="AO26" s="62" t="n"/>
      <c r="AP26" s="62" t="n"/>
      <c r="AQ26" s="62" t="n"/>
      <c r="AR26" s="62" t="n"/>
      <c r="AS26" s="62" t="n"/>
      <c r="AT26" s="62" t="n"/>
      <c r="AU26" s="62" t="n"/>
      <c r="AV26" s="62" t="n"/>
      <c r="AW26" s="62" t="n"/>
      <c r="AX26" s="62" t="n"/>
      <c r="AY26" s="62" t="n"/>
    </row>
    <row r="27">
      <c r="A27" s="38">
        <f>IF(D27="","",COUNTA($D$9:D27))</f>
        <v/>
      </c>
      <c r="B27" s="52" t="n"/>
      <c r="C27" s="53" t="inlineStr">
        <is>
          <t>마케팅1팀</t>
        </is>
      </c>
      <c r="D27" s="52" t="n"/>
      <c r="E27" s="54" t="n"/>
      <c r="F27" s="52" t="n"/>
      <c r="G27" s="55" t="n"/>
      <c r="H27" s="54" t="n"/>
      <c r="I27" s="54" t="n"/>
      <c r="J27" s="54" t="n"/>
      <c r="K27" s="56">
        <f>IF(SUM(U27:AY27)=0,"",SUM(U27:AY27))</f>
        <v/>
      </c>
      <c r="L27" s="57">
        <f>IFERROR(INDEX(U$2:AY$2,MATCH(TRUE,U27:AY27&lt;&gt;"",0)),"")</f>
        <v/>
      </c>
      <c r="M27" s="58">
        <f>IFERROR(LOOKUP(2,1/(U27:AY27&lt;&gt;""),U$2:AY$2),"")</f>
        <v/>
      </c>
      <c r="N27" s="59">
        <f>IF(OR(G27="",M27=""),"",G27-M27)</f>
        <v/>
      </c>
      <c r="O27" s="60" t="n"/>
      <c r="P27" s="61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  <c r="AG27" s="62" t="n"/>
      <c r="AH27" s="62" t="n"/>
      <c r="AI27" s="62" t="n"/>
      <c r="AJ27" s="62" t="n"/>
      <c r="AK27" s="62" t="n"/>
      <c r="AL27" s="62" t="n"/>
      <c r="AM27" s="62" t="n"/>
      <c r="AN27" s="62" t="n"/>
      <c r="AO27" s="62" t="n"/>
      <c r="AP27" s="62" t="n"/>
      <c r="AQ27" s="62" t="n"/>
      <c r="AR27" s="62" t="n"/>
      <c r="AS27" s="62" t="n"/>
      <c r="AT27" s="62" t="n"/>
      <c r="AU27" s="62" t="n"/>
      <c r="AV27" s="62" t="n"/>
      <c r="AW27" s="62" t="n"/>
      <c r="AX27" s="62" t="n"/>
      <c r="AY27" s="62" t="n"/>
    </row>
    <row r="28">
      <c r="A28" s="38">
        <f>IF(D28="","",COUNTA($D$9:D28))</f>
        <v/>
      </c>
      <c r="B28" s="52" t="n"/>
      <c r="C28" s="53" t="inlineStr">
        <is>
          <t>마케팅1팀</t>
        </is>
      </c>
      <c r="D28" s="52" t="n"/>
      <c r="E28" s="54" t="n"/>
      <c r="F28" s="52" t="n"/>
      <c r="G28" s="55" t="n"/>
      <c r="H28" s="54" t="n"/>
      <c r="I28" s="54" t="n"/>
      <c r="J28" s="54" t="n"/>
      <c r="K28" s="56">
        <f>IF(SUM(U28:AY28)=0,"",SUM(U28:AY28))</f>
        <v/>
      </c>
      <c r="L28" s="57">
        <f>IFERROR(INDEX(U$2:AY$2,MATCH(TRUE,U28:AY28&lt;&gt;"",0)),"")</f>
        <v/>
      </c>
      <c r="M28" s="58">
        <f>IFERROR(LOOKUP(2,1/(U28:AY28&lt;&gt;""),U$2:AY$2),"")</f>
        <v/>
      </c>
      <c r="N28" s="59">
        <f>IF(OR(G28="",M28=""),"",G28-M28)</f>
        <v/>
      </c>
      <c r="O28" s="60" t="n"/>
      <c r="P28" s="61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  <c r="AG28" s="62" t="n"/>
      <c r="AH28" s="62" t="n"/>
      <c r="AI28" s="62" t="n"/>
      <c r="AJ28" s="62" t="n"/>
      <c r="AK28" s="62" t="n"/>
      <c r="AL28" s="62" t="n"/>
      <c r="AM28" s="62" t="n"/>
      <c r="AN28" s="62" t="n"/>
      <c r="AO28" s="62" t="n"/>
      <c r="AP28" s="62" t="n"/>
      <c r="AQ28" s="62" t="n"/>
      <c r="AR28" s="62" t="n"/>
      <c r="AS28" s="62" t="n"/>
      <c r="AT28" s="62" t="n"/>
      <c r="AU28" s="62" t="n"/>
      <c r="AV28" s="62" t="n"/>
      <c r="AW28" s="62" t="n"/>
      <c r="AX28" s="62" t="n"/>
      <c r="AY28" s="62" t="n"/>
    </row>
    <row r="29">
      <c r="A29" s="38">
        <f>IF(D29="","",COUNTA($D$9:D29))</f>
        <v/>
      </c>
      <c r="B29" s="52" t="n"/>
      <c r="C29" s="53" t="inlineStr">
        <is>
          <t>마케팅1팀</t>
        </is>
      </c>
      <c r="D29" s="52" t="n"/>
      <c r="E29" s="54" t="n"/>
      <c r="F29" s="52" t="n"/>
      <c r="G29" s="55" t="n"/>
      <c r="H29" s="54" t="n"/>
      <c r="I29" s="54" t="n"/>
      <c r="J29" s="54" t="n"/>
      <c r="K29" s="56">
        <f>IF(SUM(U29:AY29)=0,"",SUM(U29:AY29))</f>
        <v/>
      </c>
      <c r="L29" s="57">
        <f>IFERROR(INDEX(U$2:AY$2,MATCH(TRUE,U29:AY29&lt;&gt;"",0)),"")</f>
        <v/>
      </c>
      <c r="M29" s="58">
        <f>IFERROR(LOOKUP(2,1/(U29:AY29&lt;&gt;""),U$2:AY$2),"")</f>
        <v/>
      </c>
      <c r="N29" s="59">
        <f>IF(OR(G29="",M29=""),"",G29-M29)</f>
        <v/>
      </c>
      <c r="O29" s="60" t="n"/>
      <c r="P29" s="61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  <c r="AG29" s="62" t="n"/>
      <c r="AH29" s="62" t="n"/>
      <c r="AI29" s="62" t="n"/>
      <c r="AJ29" s="62" t="n"/>
      <c r="AK29" s="62" t="n"/>
      <c r="AL29" s="62" t="n"/>
      <c r="AM29" s="62" t="n"/>
      <c r="AN29" s="62" t="n"/>
      <c r="AO29" s="62" t="n"/>
      <c r="AP29" s="62" t="n"/>
      <c r="AQ29" s="62" t="n"/>
      <c r="AR29" s="62" t="n"/>
      <c r="AS29" s="62" t="n"/>
      <c r="AT29" s="62" t="n"/>
      <c r="AU29" s="62" t="n"/>
      <c r="AV29" s="62" t="n"/>
      <c r="AW29" s="62" t="n"/>
      <c r="AX29" s="62" t="n"/>
      <c r="AY29" s="62" t="n"/>
    </row>
    <row r="30">
      <c r="A30" s="38">
        <f>IF(D30="","",COUNTA($D$9:D30))</f>
        <v/>
      </c>
      <c r="B30" s="52" t="n"/>
      <c r="C30" s="53" t="inlineStr">
        <is>
          <t>마케팅1팀</t>
        </is>
      </c>
      <c r="D30" s="52" t="n"/>
      <c r="E30" s="54" t="n"/>
      <c r="F30" s="52" t="n"/>
      <c r="G30" s="55" t="n"/>
      <c r="H30" s="54" t="n"/>
      <c r="I30" s="54" t="n"/>
      <c r="J30" s="54" t="n"/>
      <c r="K30" s="56">
        <f>IF(SUM(U30:AY30)=0,"",SUM(U30:AY30))</f>
        <v/>
      </c>
      <c r="L30" s="57">
        <f>IFERROR(INDEX(U$2:AY$2,MATCH(TRUE,U30:AY30&lt;&gt;"",0)),"")</f>
        <v/>
      </c>
      <c r="M30" s="58">
        <f>IFERROR(LOOKUP(2,1/(U30:AY30&lt;&gt;""),U$2:AY$2),"")</f>
        <v/>
      </c>
      <c r="N30" s="59">
        <f>IF(OR(G30="",M30=""),"",G30-M30)</f>
        <v/>
      </c>
      <c r="O30" s="60" t="n"/>
      <c r="P30" s="61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  <c r="AG30" s="62" t="n"/>
      <c r="AH30" s="62" t="n"/>
      <c r="AI30" s="62" t="n"/>
      <c r="AJ30" s="62" t="n"/>
      <c r="AK30" s="62" t="n"/>
      <c r="AL30" s="62" t="n"/>
      <c r="AM30" s="62" t="n"/>
      <c r="AN30" s="62" t="n"/>
      <c r="AO30" s="62" t="n"/>
      <c r="AP30" s="62" t="n"/>
      <c r="AQ30" s="62" t="n"/>
      <c r="AR30" s="62" t="n"/>
      <c r="AS30" s="62" t="n"/>
      <c r="AT30" s="62" t="n"/>
      <c r="AU30" s="62" t="n"/>
      <c r="AV30" s="62" t="n"/>
      <c r="AW30" s="62" t="n"/>
      <c r="AX30" s="62" t="n"/>
      <c r="AY30" s="62" t="n"/>
    </row>
    <row r="31">
      <c r="A31" s="38">
        <f>IF(D31="","",COUNTA($D$9:D31))</f>
        <v/>
      </c>
      <c r="B31" s="52" t="n"/>
      <c r="C31" s="53" t="inlineStr">
        <is>
          <t>마케팅1팀</t>
        </is>
      </c>
      <c r="D31" s="52" t="n"/>
      <c r="E31" s="54" t="n"/>
      <c r="F31" s="52" t="n"/>
      <c r="G31" s="55" t="n"/>
      <c r="H31" s="54" t="n"/>
      <c r="I31" s="54" t="n"/>
      <c r="J31" s="54" t="n"/>
      <c r="K31" s="56">
        <f>IF(SUM(U31:AY31)=0,"",SUM(U31:AY31))</f>
        <v/>
      </c>
      <c r="L31" s="57">
        <f>IFERROR(INDEX(U$2:AY$2,MATCH(TRUE,U31:AY31&lt;&gt;"",0)),"")</f>
        <v/>
      </c>
      <c r="M31" s="58">
        <f>IFERROR(LOOKUP(2,1/(U31:AY31&lt;&gt;""),U$2:AY$2),"")</f>
        <v/>
      </c>
      <c r="N31" s="59">
        <f>IF(OR(G31="",M31=""),"",G31-M31)</f>
        <v/>
      </c>
      <c r="O31" s="60" t="n"/>
      <c r="P31" s="61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  <c r="AG31" s="62" t="n"/>
      <c r="AH31" s="62" t="n"/>
      <c r="AI31" s="62" t="n"/>
      <c r="AJ31" s="62" t="n"/>
      <c r="AK31" s="62" t="n"/>
      <c r="AL31" s="62" t="n"/>
      <c r="AM31" s="62" t="n"/>
      <c r="AN31" s="62" t="n"/>
      <c r="AO31" s="62" t="n"/>
      <c r="AP31" s="62" t="n"/>
      <c r="AQ31" s="62" t="n"/>
      <c r="AR31" s="62" t="n"/>
      <c r="AS31" s="62" t="n"/>
      <c r="AT31" s="62" t="n"/>
      <c r="AU31" s="62" t="n"/>
      <c r="AV31" s="62" t="n"/>
      <c r="AW31" s="62" t="n"/>
      <c r="AX31" s="62" t="n"/>
      <c r="AY31" s="62" t="n"/>
    </row>
    <row r="32">
      <c r="A32" s="38">
        <f>IF(D32="","",COUNTA($D$9:D32))</f>
        <v/>
      </c>
      <c r="B32" s="52" t="n"/>
      <c r="C32" s="53" t="inlineStr">
        <is>
          <t>마케팅1팀</t>
        </is>
      </c>
      <c r="D32" s="52" t="n"/>
      <c r="E32" s="54" t="n"/>
      <c r="F32" s="52" t="n"/>
      <c r="G32" s="55" t="n"/>
      <c r="H32" s="54" t="n"/>
      <c r="I32" s="54" t="n"/>
      <c r="J32" s="54" t="n"/>
      <c r="K32" s="56">
        <f>IF(SUM(U32:AY32)=0,"",SUM(U32:AY32))</f>
        <v/>
      </c>
      <c r="L32" s="57">
        <f>IFERROR(INDEX(U$2:AY$2,MATCH(TRUE,U32:AY32&lt;&gt;"",0)),"")</f>
        <v/>
      </c>
      <c r="M32" s="58">
        <f>IFERROR(LOOKUP(2,1/(U32:AY32&lt;&gt;""),U$2:AY$2),"")</f>
        <v/>
      </c>
      <c r="N32" s="59">
        <f>IF(OR(G32="",M32=""),"",G32-M32)</f>
        <v/>
      </c>
      <c r="O32" s="60" t="n"/>
      <c r="P32" s="61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  <c r="AG32" s="62" t="n"/>
      <c r="AH32" s="62" t="n"/>
      <c r="AI32" s="62" t="n"/>
      <c r="AJ32" s="62" t="n"/>
      <c r="AK32" s="62" t="n"/>
      <c r="AL32" s="62" t="n"/>
      <c r="AM32" s="62" t="n"/>
      <c r="AN32" s="62" t="n"/>
      <c r="AO32" s="62" t="n"/>
      <c r="AP32" s="62" t="n"/>
      <c r="AQ32" s="62" t="n"/>
      <c r="AR32" s="62" t="n"/>
      <c r="AS32" s="62" t="n"/>
      <c r="AT32" s="62" t="n"/>
      <c r="AU32" s="62" t="n"/>
      <c r="AV32" s="62" t="n"/>
      <c r="AW32" s="62" t="n"/>
      <c r="AX32" s="62" t="n"/>
      <c r="AY32" s="62" t="n"/>
    </row>
    <row r="33">
      <c r="A33" s="38">
        <f>IF(D33="","",COUNTA($D$9:D33))</f>
        <v/>
      </c>
      <c r="B33" s="52" t="n"/>
      <c r="C33" s="53" t="inlineStr">
        <is>
          <t>마케팅1팀</t>
        </is>
      </c>
      <c r="D33" s="52" t="n"/>
      <c r="E33" s="54" t="n"/>
      <c r="F33" s="52" t="n"/>
      <c r="G33" s="55" t="n"/>
      <c r="H33" s="54" t="n"/>
      <c r="I33" s="54" t="n"/>
      <c r="J33" s="54" t="n"/>
      <c r="K33" s="56">
        <f>IF(SUM(U33:AY33)=0,"",SUM(U33:AY33))</f>
        <v/>
      </c>
      <c r="L33" s="57">
        <f>IFERROR(INDEX(U$2:AY$2,MATCH(TRUE,U33:AY33&lt;&gt;"",0)),"")</f>
        <v/>
      </c>
      <c r="M33" s="58">
        <f>IFERROR(LOOKUP(2,1/(U33:AY33&lt;&gt;""),U$2:AY$2),"")</f>
        <v/>
      </c>
      <c r="N33" s="59">
        <f>IF(OR(G33="",M33=""),"",G33-M33)</f>
        <v/>
      </c>
      <c r="O33" s="60" t="n"/>
      <c r="P33" s="61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  <c r="AG33" s="62" t="n"/>
      <c r="AH33" s="62" t="n"/>
      <c r="AI33" s="62" t="n"/>
      <c r="AJ33" s="62" t="n"/>
      <c r="AK33" s="62" t="n"/>
      <c r="AL33" s="62" t="n"/>
      <c r="AM33" s="62" t="n"/>
      <c r="AN33" s="62" t="n"/>
      <c r="AO33" s="62" t="n"/>
      <c r="AP33" s="62" t="n"/>
      <c r="AQ33" s="62" t="n"/>
      <c r="AR33" s="62" t="n"/>
      <c r="AS33" s="62" t="n"/>
      <c r="AT33" s="62" t="n"/>
      <c r="AU33" s="62" t="n"/>
      <c r="AV33" s="62" t="n"/>
      <c r="AW33" s="62" t="n"/>
      <c r="AX33" s="62" t="n"/>
      <c r="AY33" s="62" t="n"/>
    </row>
    <row r="34">
      <c r="A34" s="38">
        <f>IF(D34="","",COUNTA($D$9:D34))</f>
        <v/>
      </c>
      <c r="B34" s="52" t="n"/>
      <c r="C34" s="53" t="inlineStr">
        <is>
          <t>마케팅1팀</t>
        </is>
      </c>
      <c r="D34" s="52" t="n"/>
      <c r="E34" s="54" t="n"/>
      <c r="F34" s="52" t="n"/>
      <c r="G34" s="55" t="n"/>
      <c r="H34" s="54" t="n"/>
      <c r="I34" s="54" t="n"/>
      <c r="J34" s="54" t="n"/>
      <c r="K34" s="56">
        <f>IF(SUM(U34:AY34)=0,"",SUM(U34:AY34))</f>
        <v/>
      </c>
      <c r="L34" s="57">
        <f>IFERROR(INDEX(U$2:AY$2,MATCH(TRUE,U34:AY34&lt;&gt;"",0)),"")</f>
        <v/>
      </c>
      <c r="M34" s="58">
        <f>IFERROR(LOOKUP(2,1/(U34:AY34&lt;&gt;""),U$2:AY$2),"")</f>
        <v/>
      </c>
      <c r="N34" s="59">
        <f>IF(OR(G34="",M34=""),"",G34-M34)</f>
        <v/>
      </c>
      <c r="O34" s="60" t="n"/>
      <c r="P34" s="61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  <c r="AG34" s="62" t="n"/>
      <c r="AH34" s="62" t="n"/>
      <c r="AI34" s="62" t="n"/>
      <c r="AJ34" s="62" t="n"/>
      <c r="AK34" s="62" t="n"/>
      <c r="AL34" s="62" t="n"/>
      <c r="AM34" s="62" t="n"/>
      <c r="AN34" s="62" t="n"/>
      <c r="AO34" s="62" t="n"/>
      <c r="AP34" s="62" t="n"/>
      <c r="AQ34" s="62" t="n"/>
      <c r="AR34" s="62" t="n"/>
      <c r="AS34" s="62" t="n"/>
      <c r="AT34" s="62" t="n"/>
      <c r="AU34" s="62" t="n"/>
      <c r="AV34" s="62" t="n"/>
      <c r="AW34" s="62" t="n"/>
      <c r="AX34" s="62" t="n"/>
      <c r="AY34" s="62" t="n"/>
    </row>
    <row r="35">
      <c r="A35" s="38">
        <f>IF(D35="","",COUNTA($D$9:D35))</f>
        <v/>
      </c>
      <c r="B35" s="52" t="n"/>
      <c r="C35" s="53" t="inlineStr">
        <is>
          <t>마케팅1팀</t>
        </is>
      </c>
      <c r="D35" s="52" t="n"/>
      <c r="E35" s="54" t="n"/>
      <c r="F35" s="52" t="n"/>
      <c r="G35" s="55" t="n"/>
      <c r="H35" s="54" t="n"/>
      <c r="I35" s="54" t="n"/>
      <c r="J35" s="54" t="n"/>
      <c r="K35" s="56">
        <f>IF(SUM(U35:AY35)=0,"",SUM(U35:AY35))</f>
        <v/>
      </c>
      <c r="L35" s="57">
        <f>IFERROR(INDEX(U$2:AY$2,MATCH(TRUE,U35:AY35&lt;&gt;"",0)),"")</f>
        <v/>
      </c>
      <c r="M35" s="58">
        <f>IFERROR(LOOKUP(2,1/(U35:AY35&lt;&gt;""),U$2:AY$2),"")</f>
        <v/>
      </c>
      <c r="N35" s="59">
        <f>IF(OR(G35="",M35=""),"",G35-M35)</f>
        <v/>
      </c>
      <c r="O35" s="60" t="n"/>
      <c r="P35" s="61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  <c r="AG35" s="62" t="n"/>
      <c r="AH35" s="62" t="n"/>
      <c r="AI35" s="62" t="n"/>
      <c r="AJ35" s="62" t="n"/>
      <c r="AK35" s="62" t="n"/>
      <c r="AL35" s="62" t="n"/>
      <c r="AM35" s="62" t="n"/>
      <c r="AN35" s="62" t="n"/>
      <c r="AO35" s="62" t="n"/>
      <c r="AP35" s="62" t="n"/>
      <c r="AQ35" s="62" t="n"/>
      <c r="AR35" s="62" t="n"/>
      <c r="AS35" s="62" t="n"/>
      <c r="AT35" s="62" t="n"/>
      <c r="AU35" s="62" t="n"/>
      <c r="AV35" s="62" t="n"/>
      <c r="AW35" s="62" t="n"/>
      <c r="AX35" s="62" t="n"/>
      <c r="AY35" s="62" t="n"/>
    </row>
    <row r="36">
      <c r="A36" s="38">
        <f>IF(D36="","",COUNTA($D$9:D36))</f>
        <v/>
      </c>
      <c r="B36" s="52" t="n"/>
      <c r="C36" s="53" t="inlineStr">
        <is>
          <t>마케팅1팀</t>
        </is>
      </c>
      <c r="D36" s="52" t="n"/>
      <c r="E36" s="54" t="n"/>
      <c r="F36" s="52" t="n"/>
      <c r="G36" s="55" t="n"/>
      <c r="H36" s="54" t="n"/>
      <c r="I36" s="54" t="n"/>
      <c r="J36" s="54" t="n"/>
      <c r="K36" s="56">
        <f>IF(SUM(U36:AY36)=0,"",SUM(U36:AY36))</f>
        <v/>
      </c>
      <c r="L36" s="57">
        <f>IFERROR(INDEX(U$2:AY$2,MATCH(TRUE,U36:AY36&lt;&gt;"",0)),"")</f>
        <v/>
      </c>
      <c r="M36" s="58">
        <f>IFERROR(LOOKUP(2,1/(U36:AY36&lt;&gt;""),U$2:AY$2),"")</f>
        <v/>
      </c>
      <c r="N36" s="59">
        <f>IF(OR(G36="",M36=""),"",G36-M36)</f>
        <v/>
      </c>
      <c r="O36" s="60" t="n"/>
      <c r="P36" s="61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  <c r="AG36" s="62" t="n"/>
      <c r="AH36" s="62" t="n"/>
      <c r="AI36" s="62" t="n"/>
      <c r="AJ36" s="62" t="n"/>
      <c r="AK36" s="62" t="n"/>
      <c r="AL36" s="62" t="n"/>
      <c r="AM36" s="62" t="n"/>
      <c r="AN36" s="62" t="n"/>
      <c r="AO36" s="62" t="n"/>
      <c r="AP36" s="62" t="n"/>
      <c r="AQ36" s="62" t="n"/>
      <c r="AR36" s="62" t="n"/>
      <c r="AS36" s="62" t="n"/>
      <c r="AT36" s="62" t="n"/>
      <c r="AU36" s="62" t="n"/>
      <c r="AV36" s="62" t="n"/>
      <c r="AW36" s="62" t="n"/>
      <c r="AX36" s="62" t="n"/>
      <c r="AY36" s="62" t="n"/>
    </row>
    <row r="37">
      <c r="A37" s="38">
        <f>IF(D37="","",COUNTA($D$9:D37))</f>
        <v/>
      </c>
      <c r="B37" s="52" t="n"/>
      <c r="C37" s="53" t="inlineStr">
        <is>
          <t>마케팅1팀</t>
        </is>
      </c>
      <c r="D37" s="52" t="n"/>
      <c r="E37" s="54" t="n"/>
      <c r="F37" s="52" t="n"/>
      <c r="G37" s="55" t="n"/>
      <c r="H37" s="54" t="n"/>
      <c r="I37" s="54" t="n"/>
      <c r="J37" s="54" t="n"/>
      <c r="K37" s="56">
        <f>IF(SUM(U37:AY37)=0,"",SUM(U37:AY37))</f>
        <v/>
      </c>
      <c r="L37" s="57">
        <f>IFERROR(INDEX(U$2:AY$2,MATCH(TRUE,U37:AY37&lt;&gt;"",0)),"")</f>
        <v/>
      </c>
      <c r="M37" s="58">
        <f>IFERROR(LOOKUP(2,1/(U37:AY37&lt;&gt;""),U$2:AY$2),"")</f>
        <v/>
      </c>
      <c r="N37" s="59">
        <f>IF(OR(G37="",M37=""),"",G37-M37)</f>
        <v/>
      </c>
      <c r="O37" s="60" t="n"/>
      <c r="P37" s="61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  <c r="AG37" s="62" t="n"/>
      <c r="AH37" s="62" t="n"/>
      <c r="AI37" s="62" t="n"/>
      <c r="AJ37" s="62" t="n"/>
      <c r="AK37" s="62" t="n"/>
      <c r="AL37" s="62" t="n"/>
      <c r="AM37" s="62" t="n"/>
      <c r="AN37" s="62" t="n"/>
      <c r="AO37" s="62" t="n"/>
      <c r="AP37" s="62" t="n"/>
      <c r="AQ37" s="62" t="n"/>
      <c r="AR37" s="62" t="n"/>
      <c r="AS37" s="62" t="n"/>
      <c r="AT37" s="62" t="n"/>
      <c r="AU37" s="62" t="n"/>
      <c r="AV37" s="62" t="n"/>
      <c r="AW37" s="62" t="n"/>
      <c r="AX37" s="62" t="n"/>
      <c r="AY37" s="62" t="n"/>
    </row>
    <row r="38">
      <c r="A38" s="38">
        <f>IF(D38="","",COUNTA($D$9:D38))</f>
        <v/>
      </c>
      <c r="B38" s="52" t="n"/>
      <c r="C38" s="53" t="inlineStr">
        <is>
          <t>마케팅1팀</t>
        </is>
      </c>
      <c r="D38" s="52" t="n"/>
      <c r="E38" s="54" t="n"/>
      <c r="F38" s="52" t="n"/>
      <c r="G38" s="55" t="n"/>
      <c r="H38" s="54" t="n"/>
      <c r="I38" s="54" t="n"/>
      <c r="J38" s="54" t="n"/>
      <c r="K38" s="56">
        <f>IF(SUM(U38:AY38)=0,"",SUM(U38:AY38))</f>
        <v/>
      </c>
      <c r="L38" s="57">
        <f>IFERROR(INDEX(U$2:AY$2,MATCH(TRUE,U38:AY38&lt;&gt;"",0)),"")</f>
        <v/>
      </c>
      <c r="M38" s="58">
        <f>IFERROR(LOOKUP(2,1/(U38:AY38&lt;&gt;""),U$2:AY$2),"")</f>
        <v/>
      </c>
      <c r="N38" s="59">
        <f>IF(OR(G38="",M38=""),"",G38-M38)</f>
        <v/>
      </c>
      <c r="O38" s="60" t="n"/>
      <c r="P38" s="61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  <c r="AG38" s="62" t="n"/>
      <c r="AH38" s="62" t="n"/>
      <c r="AI38" s="62" t="n"/>
      <c r="AJ38" s="62" t="n"/>
      <c r="AK38" s="62" t="n"/>
      <c r="AL38" s="62" t="n"/>
      <c r="AM38" s="62" t="n"/>
      <c r="AN38" s="62" t="n"/>
      <c r="AO38" s="62" t="n"/>
      <c r="AP38" s="62" t="n"/>
      <c r="AQ38" s="62" t="n"/>
      <c r="AR38" s="62" t="n"/>
      <c r="AS38" s="62" t="n"/>
      <c r="AT38" s="62" t="n"/>
      <c r="AU38" s="62" t="n"/>
      <c r="AV38" s="62" t="n"/>
      <c r="AW38" s="62" t="n"/>
      <c r="AX38" s="62" t="n"/>
      <c r="AY38" s="62" t="n"/>
    </row>
    <row r="39">
      <c r="A39" s="63" t="inlineStr">
        <is>
          <t>마케팅2팀  (40~69행)</t>
        </is>
      </c>
      <c r="U39" s="64" t="n"/>
      <c r="V39" s="64" t="n"/>
      <c r="W39" s="64" t="n"/>
      <c r="X39" s="64" t="n"/>
      <c r="Y39" s="64" t="n"/>
      <c r="Z39" s="64" t="n"/>
      <c r="AA39" s="64" t="n"/>
      <c r="AB39" s="64" t="n"/>
      <c r="AC39" s="64" t="n"/>
      <c r="AD39" s="64" t="n"/>
      <c r="AE39" s="64" t="n"/>
      <c r="AF39" s="64" t="n"/>
      <c r="AG39" s="64" t="n"/>
      <c r="AH39" s="64" t="n"/>
      <c r="AI39" s="64" t="n"/>
      <c r="AJ39" s="64" t="n"/>
      <c r="AK39" s="64" t="n"/>
      <c r="AL39" s="64" t="n"/>
      <c r="AM39" s="64" t="n"/>
      <c r="AN39" s="64" t="n"/>
      <c r="AO39" s="64" t="n"/>
      <c r="AP39" s="64" t="n"/>
      <c r="AQ39" s="64" t="n"/>
      <c r="AR39" s="64" t="n"/>
      <c r="AS39" s="64" t="n"/>
      <c r="AT39" s="64" t="n"/>
      <c r="AU39" s="64" t="n"/>
      <c r="AV39" s="64" t="n"/>
      <c r="AW39" s="64" t="n"/>
      <c r="AX39" s="64" t="n"/>
      <c r="AY39" s="64" t="n"/>
    </row>
    <row r="40">
      <c r="A40" s="38">
        <f>IF(D40="","",COUNTA($D$40:D40))</f>
        <v/>
      </c>
      <c r="B40" s="52" t="n"/>
      <c r="C40" s="65" t="inlineStr">
        <is>
          <t>마케팅2팀</t>
        </is>
      </c>
      <c r="D40" s="52" t="n"/>
      <c r="E40" s="54" t="n"/>
      <c r="F40" s="52" t="n"/>
      <c r="G40" s="55" t="n"/>
      <c r="H40" s="54" t="n"/>
      <c r="I40" s="54" t="n"/>
      <c r="J40" s="54" t="n"/>
      <c r="K40" s="56">
        <f>IF(SUM(U40:AY40)=0,"",SUM(U40:AY40))</f>
        <v/>
      </c>
      <c r="L40" s="57">
        <f>IFERROR(INDEX(U$2:AY$2,MATCH(TRUE,U40:AY40&lt;&gt;"",0)),"")</f>
        <v/>
      </c>
      <c r="M40" s="58">
        <f>IFERROR(LOOKUP(2,1/(U40:AY40&lt;&gt;""),U$2:AY$2),"")</f>
        <v/>
      </c>
      <c r="N40" s="59">
        <f>IF(OR(G40="",M40=""),"",G40-M40)</f>
        <v/>
      </c>
      <c r="O40" s="60" t="n"/>
      <c r="P40" s="61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  <c r="AG40" s="62" t="n"/>
      <c r="AH40" s="62" t="n"/>
      <c r="AI40" s="62" t="n"/>
      <c r="AJ40" s="62" t="n"/>
      <c r="AK40" s="62" t="n"/>
      <c r="AL40" s="62" t="n"/>
      <c r="AM40" s="62" t="n"/>
      <c r="AN40" s="62" t="n"/>
      <c r="AO40" s="62" t="n"/>
      <c r="AP40" s="62" t="n"/>
      <c r="AQ40" s="62" t="n"/>
      <c r="AR40" s="62" t="n"/>
      <c r="AS40" s="62" t="n"/>
      <c r="AT40" s="62" t="n"/>
      <c r="AU40" s="62" t="n"/>
      <c r="AV40" s="62" t="n"/>
      <c r="AW40" s="62" t="n"/>
      <c r="AX40" s="62" t="n"/>
      <c r="AY40" s="62" t="n"/>
    </row>
    <row r="41">
      <c r="A41" s="38">
        <f>IF(D41="","",COUNTA($D$40:D41))</f>
        <v/>
      </c>
      <c r="B41" s="52" t="n"/>
      <c r="C41" s="65" t="inlineStr">
        <is>
          <t>마케팅2팀</t>
        </is>
      </c>
      <c r="D41" s="52" t="n"/>
      <c r="E41" s="54" t="n"/>
      <c r="F41" s="52" t="n"/>
      <c r="G41" s="55" t="n"/>
      <c r="H41" s="54" t="n"/>
      <c r="I41" s="54" t="n"/>
      <c r="J41" s="54" t="n"/>
      <c r="K41" s="56">
        <f>IF(SUM(U41:AY41)=0,"",SUM(U41:AY41))</f>
        <v/>
      </c>
      <c r="L41" s="57">
        <f>IFERROR(INDEX(U$2:AY$2,MATCH(TRUE,U41:AY41&lt;&gt;"",0)),"")</f>
        <v/>
      </c>
      <c r="M41" s="58">
        <f>IFERROR(LOOKUP(2,1/(U41:AY41&lt;&gt;""),U$2:AY$2),"")</f>
        <v/>
      </c>
      <c r="N41" s="59">
        <f>IF(OR(G41="",M41=""),"",G41-M41)</f>
        <v/>
      </c>
      <c r="O41" s="60" t="n"/>
      <c r="P41" s="61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  <c r="AG41" s="62" t="n"/>
      <c r="AH41" s="62" t="n"/>
      <c r="AI41" s="62" t="n"/>
      <c r="AJ41" s="62" t="n"/>
      <c r="AK41" s="62" t="n"/>
      <c r="AL41" s="62" t="n"/>
      <c r="AM41" s="62" t="n"/>
      <c r="AN41" s="62" t="n"/>
      <c r="AO41" s="62" t="n"/>
      <c r="AP41" s="62" t="n"/>
      <c r="AQ41" s="62" t="n"/>
      <c r="AR41" s="62" t="n"/>
      <c r="AS41" s="62" t="n"/>
      <c r="AT41" s="62" t="n"/>
      <c r="AU41" s="62" t="n"/>
      <c r="AV41" s="62" t="n"/>
      <c r="AW41" s="62" t="n"/>
      <c r="AX41" s="62" t="n"/>
      <c r="AY41" s="62" t="n"/>
    </row>
    <row r="42">
      <c r="A42" s="38">
        <f>IF(D42="","",COUNTA($D$40:D42))</f>
        <v/>
      </c>
      <c r="B42" s="52" t="n"/>
      <c r="C42" s="65" t="inlineStr">
        <is>
          <t>마케팅2팀</t>
        </is>
      </c>
      <c r="D42" s="52" t="n"/>
      <c r="E42" s="54" t="n"/>
      <c r="F42" s="52" t="n"/>
      <c r="G42" s="55" t="n"/>
      <c r="H42" s="54" t="n"/>
      <c r="I42" s="54" t="n"/>
      <c r="J42" s="54" t="n"/>
      <c r="K42" s="56">
        <f>IF(SUM(U42:AY42)=0,"",SUM(U42:AY42))</f>
        <v/>
      </c>
      <c r="L42" s="57">
        <f>IFERROR(INDEX(U$2:AY$2,MATCH(TRUE,U42:AY42&lt;&gt;"",0)),"")</f>
        <v/>
      </c>
      <c r="M42" s="58">
        <f>IFERROR(LOOKUP(2,1/(U42:AY42&lt;&gt;""),U$2:AY$2),"")</f>
        <v/>
      </c>
      <c r="N42" s="59">
        <f>IF(OR(G42="",M42=""),"",G42-M42)</f>
        <v/>
      </c>
      <c r="O42" s="60" t="n"/>
      <c r="P42" s="61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  <c r="AG42" s="62" t="n"/>
      <c r="AH42" s="62" t="n"/>
      <c r="AI42" s="62" t="n"/>
      <c r="AJ42" s="62" t="n"/>
      <c r="AK42" s="62" t="n"/>
      <c r="AL42" s="62" t="n"/>
      <c r="AM42" s="62" t="n"/>
      <c r="AN42" s="62" t="n"/>
      <c r="AO42" s="62" t="n"/>
      <c r="AP42" s="62" t="n"/>
      <c r="AQ42" s="62" t="n"/>
      <c r="AR42" s="62" t="n"/>
      <c r="AS42" s="62" t="n"/>
      <c r="AT42" s="62" t="n"/>
      <c r="AU42" s="62" t="n"/>
      <c r="AV42" s="62" t="n"/>
      <c r="AW42" s="62" t="n"/>
      <c r="AX42" s="62" t="n"/>
      <c r="AY42" s="62" t="n"/>
    </row>
    <row r="43">
      <c r="A43" s="38">
        <f>IF(D43="","",COUNTA($D$40:D43))</f>
        <v/>
      </c>
      <c r="B43" s="52" t="n"/>
      <c r="C43" s="65" t="inlineStr">
        <is>
          <t>마케팅2팀</t>
        </is>
      </c>
      <c r="D43" s="52" t="n"/>
      <c r="E43" s="54" t="n"/>
      <c r="F43" s="52" t="n"/>
      <c r="G43" s="55" t="n"/>
      <c r="H43" s="54" t="n"/>
      <c r="I43" s="54" t="n"/>
      <c r="J43" s="54" t="n"/>
      <c r="K43" s="56">
        <f>IF(SUM(U43:AY43)=0,"",SUM(U43:AY43))</f>
        <v/>
      </c>
      <c r="L43" s="57">
        <f>IFERROR(INDEX(U$2:AY$2,MATCH(TRUE,U43:AY43&lt;&gt;"",0)),"")</f>
        <v/>
      </c>
      <c r="M43" s="58">
        <f>IFERROR(LOOKUP(2,1/(U43:AY43&lt;&gt;""),U$2:AY$2),"")</f>
        <v/>
      </c>
      <c r="N43" s="59">
        <f>IF(OR(G43="",M43=""),"",G43-M43)</f>
        <v/>
      </c>
      <c r="O43" s="60" t="n"/>
      <c r="P43" s="61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  <c r="AG43" s="62" t="n"/>
      <c r="AH43" s="62" t="n"/>
      <c r="AI43" s="62" t="n"/>
      <c r="AJ43" s="62" t="n"/>
      <c r="AK43" s="62" t="n"/>
      <c r="AL43" s="62" t="n"/>
      <c r="AM43" s="62" t="n"/>
      <c r="AN43" s="62" t="n"/>
      <c r="AO43" s="62" t="n"/>
      <c r="AP43" s="62" t="n"/>
      <c r="AQ43" s="62" t="n"/>
      <c r="AR43" s="62" t="n"/>
      <c r="AS43" s="62" t="n"/>
      <c r="AT43" s="62" t="n"/>
      <c r="AU43" s="62" t="n"/>
      <c r="AV43" s="62" t="n"/>
      <c r="AW43" s="62" t="n"/>
      <c r="AX43" s="62" t="n"/>
      <c r="AY43" s="62" t="n"/>
    </row>
    <row r="44">
      <c r="A44" s="38">
        <f>IF(D44="","",COUNTA($D$40:D44))</f>
        <v/>
      </c>
      <c r="B44" s="52" t="n"/>
      <c r="C44" s="65" t="inlineStr">
        <is>
          <t>마케팅2팀</t>
        </is>
      </c>
      <c r="D44" s="52" t="n"/>
      <c r="E44" s="54" t="n"/>
      <c r="F44" s="52" t="n"/>
      <c r="G44" s="55" t="n"/>
      <c r="H44" s="54" t="n"/>
      <c r="I44" s="54" t="n"/>
      <c r="J44" s="54" t="n"/>
      <c r="K44" s="56">
        <f>IF(SUM(U44:AY44)=0,"",SUM(U44:AY44))</f>
        <v/>
      </c>
      <c r="L44" s="57">
        <f>IFERROR(INDEX(U$2:AY$2,MATCH(TRUE,U44:AY44&lt;&gt;"",0)),"")</f>
        <v/>
      </c>
      <c r="M44" s="58">
        <f>IFERROR(LOOKUP(2,1/(U44:AY44&lt;&gt;""),U$2:AY$2),"")</f>
        <v/>
      </c>
      <c r="N44" s="59">
        <f>IF(OR(G44="",M44=""),"",G44-M44)</f>
        <v/>
      </c>
      <c r="O44" s="60" t="n"/>
      <c r="P44" s="61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  <c r="AG44" s="62" t="n"/>
      <c r="AH44" s="62" t="n"/>
      <c r="AI44" s="62" t="n"/>
      <c r="AJ44" s="62" t="n"/>
      <c r="AK44" s="62" t="n"/>
      <c r="AL44" s="62" t="n"/>
      <c r="AM44" s="62" t="n"/>
      <c r="AN44" s="62" t="n"/>
      <c r="AO44" s="62" t="n"/>
      <c r="AP44" s="62" t="n"/>
      <c r="AQ44" s="62" t="n"/>
      <c r="AR44" s="62" t="n"/>
      <c r="AS44" s="62" t="n"/>
      <c r="AT44" s="62" t="n"/>
      <c r="AU44" s="62" t="n"/>
      <c r="AV44" s="62" t="n"/>
      <c r="AW44" s="62" t="n"/>
      <c r="AX44" s="62" t="n"/>
      <c r="AY44" s="62" t="n"/>
    </row>
    <row r="45">
      <c r="A45" s="38">
        <f>IF(D45="","",COUNTA($D$40:D45))</f>
        <v/>
      </c>
      <c r="B45" s="52" t="n"/>
      <c r="C45" s="65" t="inlineStr">
        <is>
          <t>마케팅2팀</t>
        </is>
      </c>
      <c r="D45" s="52" t="n"/>
      <c r="E45" s="54" t="n"/>
      <c r="F45" s="52" t="n"/>
      <c r="G45" s="55" t="n"/>
      <c r="H45" s="54" t="n"/>
      <c r="I45" s="54" t="n"/>
      <c r="J45" s="54" t="n"/>
      <c r="K45" s="56">
        <f>IF(SUM(U45:AY45)=0,"",SUM(U45:AY45))</f>
        <v/>
      </c>
      <c r="L45" s="57">
        <f>IFERROR(INDEX(U$2:AY$2,MATCH(TRUE,U45:AY45&lt;&gt;"",0)),"")</f>
        <v/>
      </c>
      <c r="M45" s="58">
        <f>IFERROR(LOOKUP(2,1/(U45:AY45&lt;&gt;""),U$2:AY$2),"")</f>
        <v/>
      </c>
      <c r="N45" s="59">
        <f>IF(OR(G45="",M45=""),"",G45-M45)</f>
        <v/>
      </c>
      <c r="O45" s="60" t="n"/>
      <c r="P45" s="61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  <c r="AG45" s="62" t="n"/>
      <c r="AH45" s="62" t="n"/>
      <c r="AI45" s="62" t="n"/>
      <c r="AJ45" s="62" t="n"/>
      <c r="AK45" s="62" t="n"/>
      <c r="AL45" s="62" t="n"/>
      <c r="AM45" s="62" t="n"/>
      <c r="AN45" s="62" t="n"/>
      <c r="AO45" s="62" t="n"/>
      <c r="AP45" s="62" t="n"/>
      <c r="AQ45" s="62" t="n"/>
      <c r="AR45" s="62" t="n"/>
      <c r="AS45" s="62" t="n"/>
      <c r="AT45" s="62" t="n"/>
      <c r="AU45" s="62" t="n"/>
      <c r="AV45" s="62" t="n"/>
      <c r="AW45" s="62" t="n"/>
      <c r="AX45" s="62" t="n"/>
      <c r="AY45" s="62" t="n"/>
    </row>
    <row r="46">
      <c r="A46" s="38">
        <f>IF(D46="","",COUNTA($D$40:D46))</f>
        <v/>
      </c>
      <c r="B46" s="52" t="n"/>
      <c r="C46" s="65" t="inlineStr">
        <is>
          <t>마케팅2팀</t>
        </is>
      </c>
      <c r="D46" s="52" t="n"/>
      <c r="E46" s="54" t="n"/>
      <c r="F46" s="52" t="n"/>
      <c r="G46" s="55" t="n"/>
      <c r="H46" s="54" t="n"/>
      <c r="I46" s="54" t="n"/>
      <c r="J46" s="54" t="n"/>
      <c r="K46" s="56">
        <f>IF(SUM(U46:AY46)=0,"",SUM(U46:AY46))</f>
        <v/>
      </c>
      <c r="L46" s="57">
        <f>IFERROR(INDEX(U$2:AY$2,MATCH(TRUE,U46:AY46&lt;&gt;"",0)),"")</f>
        <v/>
      </c>
      <c r="M46" s="58">
        <f>IFERROR(LOOKUP(2,1/(U46:AY46&lt;&gt;""),U$2:AY$2),"")</f>
        <v/>
      </c>
      <c r="N46" s="59">
        <f>IF(OR(G46="",M46=""),"",G46-M46)</f>
        <v/>
      </c>
      <c r="O46" s="60" t="n"/>
      <c r="P46" s="61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  <c r="AG46" s="62" t="n"/>
      <c r="AH46" s="62" t="n"/>
      <c r="AI46" s="62" t="n"/>
      <c r="AJ46" s="62" t="n"/>
      <c r="AK46" s="62" t="n"/>
      <c r="AL46" s="62" t="n"/>
      <c r="AM46" s="62" t="n"/>
      <c r="AN46" s="62" t="n"/>
      <c r="AO46" s="62" t="n"/>
      <c r="AP46" s="62" t="n"/>
      <c r="AQ46" s="62" t="n"/>
      <c r="AR46" s="62" t="n"/>
      <c r="AS46" s="62" t="n"/>
      <c r="AT46" s="62" t="n"/>
      <c r="AU46" s="62" t="n"/>
      <c r="AV46" s="62" t="n"/>
      <c r="AW46" s="62" t="n"/>
      <c r="AX46" s="62" t="n"/>
      <c r="AY46" s="62" t="n"/>
    </row>
    <row r="47">
      <c r="A47" s="38">
        <f>IF(D47="","",COUNTA($D$40:D47))</f>
        <v/>
      </c>
      <c r="B47" s="52" t="n"/>
      <c r="C47" s="65" t="inlineStr">
        <is>
          <t>마케팅2팀</t>
        </is>
      </c>
      <c r="D47" s="52" t="n"/>
      <c r="E47" s="54" t="n"/>
      <c r="F47" s="52" t="n"/>
      <c r="G47" s="55" t="n"/>
      <c r="H47" s="54" t="n"/>
      <c r="I47" s="54" t="n"/>
      <c r="J47" s="54" t="n"/>
      <c r="K47" s="56">
        <f>IF(SUM(U47:AY47)=0,"",SUM(U47:AY47))</f>
        <v/>
      </c>
      <c r="L47" s="57">
        <f>IFERROR(INDEX(U$2:AY$2,MATCH(TRUE,U47:AY47&lt;&gt;"",0)),"")</f>
        <v/>
      </c>
      <c r="M47" s="58">
        <f>IFERROR(LOOKUP(2,1/(U47:AY47&lt;&gt;""),U$2:AY$2),"")</f>
        <v/>
      </c>
      <c r="N47" s="59">
        <f>IF(OR(G47="",M47=""),"",G47-M47)</f>
        <v/>
      </c>
      <c r="O47" s="60" t="n"/>
      <c r="P47" s="61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  <c r="AG47" s="62" t="n"/>
      <c r="AH47" s="62" t="n"/>
      <c r="AI47" s="62" t="n"/>
      <c r="AJ47" s="62" t="n"/>
      <c r="AK47" s="62" t="n"/>
      <c r="AL47" s="62" t="n"/>
      <c r="AM47" s="62" t="n"/>
      <c r="AN47" s="62" t="n"/>
      <c r="AO47" s="62" t="n"/>
      <c r="AP47" s="62" t="n"/>
      <c r="AQ47" s="62" t="n"/>
      <c r="AR47" s="62" t="n"/>
      <c r="AS47" s="62" t="n"/>
      <c r="AT47" s="62" t="n"/>
      <c r="AU47" s="62" t="n"/>
      <c r="AV47" s="62" t="n"/>
      <c r="AW47" s="62" t="n"/>
      <c r="AX47" s="62" t="n"/>
      <c r="AY47" s="62" t="n"/>
    </row>
    <row r="48">
      <c r="A48" s="38">
        <f>IF(D48="","",COUNTA($D$40:D48))</f>
        <v/>
      </c>
      <c r="B48" s="52" t="n"/>
      <c r="C48" s="65" t="inlineStr">
        <is>
          <t>마케팅2팀</t>
        </is>
      </c>
      <c r="D48" s="52" t="n"/>
      <c r="E48" s="54" t="n"/>
      <c r="F48" s="52" t="n"/>
      <c r="G48" s="55" t="n"/>
      <c r="H48" s="54" t="n"/>
      <c r="I48" s="54" t="n"/>
      <c r="J48" s="54" t="n"/>
      <c r="K48" s="56">
        <f>IF(SUM(U48:AY48)=0,"",SUM(U48:AY48))</f>
        <v/>
      </c>
      <c r="L48" s="57">
        <f>IFERROR(INDEX(U$2:AY$2,MATCH(TRUE,U48:AY48&lt;&gt;"",0)),"")</f>
        <v/>
      </c>
      <c r="M48" s="58">
        <f>IFERROR(LOOKUP(2,1/(U48:AY48&lt;&gt;""),U$2:AY$2),"")</f>
        <v/>
      </c>
      <c r="N48" s="59">
        <f>IF(OR(G48="",M48=""),"",G48-M48)</f>
        <v/>
      </c>
      <c r="O48" s="60" t="n"/>
      <c r="P48" s="61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  <c r="AG48" s="62" t="n"/>
      <c r="AH48" s="62" t="n"/>
      <c r="AI48" s="62" t="n"/>
      <c r="AJ48" s="62" t="n"/>
      <c r="AK48" s="62" t="n"/>
      <c r="AL48" s="62" t="n"/>
      <c r="AM48" s="62" t="n"/>
      <c r="AN48" s="62" t="n"/>
      <c r="AO48" s="62" t="n"/>
      <c r="AP48" s="62" t="n"/>
      <c r="AQ48" s="62" t="n"/>
      <c r="AR48" s="62" t="n"/>
      <c r="AS48" s="62" t="n"/>
      <c r="AT48" s="62" t="n"/>
      <c r="AU48" s="62" t="n"/>
      <c r="AV48" s="62" t="n"/>
      <c r="AW48" s="62" t="n"/>
      <c r="AX48" s="62" t="n"/>
      <c r="AY48" s="62" t="n"/>
    </row>
    <row r="49">
      <c r="A49" s="38">
        <f>IF(D49="","",COUNTA($D$40:D49))</f>
        <v/>
      </c>
      <c r="B49" s="52" t="n"/>
      <c r="C49" s="65" t="inlineStr">
        <is>
          <t>마케팅2팀</t>
        </is>
      </c>
      <c r="D49" s="52" t="n"/>
      <c r="E49" s="54" t="n"/>
      <c r="F49" s="52" t="n"/>
      <c r="G49" s="55" t="n"/>
      <c r="H49" s="54" t="n"/>
      <c r="I49" s="54" t="n"/>
      <c r="J49" s="54" t="n"/>
      <c r="K49" s="56">
        <f>IF(SUM(U49:AY49)=0,"",SUM(U49:AY49))</f>
        <v/>
      </c>
      <c r="L49" s="57">
        <f>IFERROR(INDEX(U$2:AY$2,MATCH(TRUE,U49:AY49&lt;&gt;"",0)),"")</f>
        <v/>
      </c>
      <c r="M49" s="58">
        <f>IFERROR(LOOKUP(2,1/(U49:AY49&lt;&gt;""),U$2:AY$2),"")</f>
        <v/>
      </c>
      <c r="N49" s="59">
        <f>IF(OR(G49="",M49=""),"",G49-M49)</f>
        <v/>
      </c>
      <c r="O49" s="60" t="n"/>
      <c r="P49" s="61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  <c r="AG49" s="62" t="n"/>
      <c r="AH49" s="62" t="n"/>
      <c r="AI49" s="62" t="n"/>
      <c r="AJ49" s="62" t="n"/>
      <c r="AK49" s="62" t="n"/>
      <c r="AL49" s="62" t="n"/>
      <c r="AM49" s="62" t="n"/>
      <c r="AN49" s="62" t="n"/>
      <c r="AO49" s="62" t="n"/>
      <c r="AP49" s="62" t="n"/>
      <c r="AQ49" s="62" t="n"/>
      <c r="AR49" s="62" t="n"/>
      <c r="AS49" s="62" t="n"/>
      <c r="AT49" s="62" t="n"/>
      <c r="AU49" s="62" t="n"/>
      <c r="AV49" s="62" t="n"/>
      <c r="AW49" s="62" t="n"/>
      <c r="AX49" s="62" t="n"/>
      <c r="AY49" s="62" t="n"/>
    </row>
    <row r="50">
      <c r="A50" s="38">
        <f>IF(D50="","",COUNTA($D$40:D50))</f>
        <v/>
      </c>
      <c r="B50" s="52" t="n"/>
      <c r="C50" s="65" t="inlineStr">
        <is>
          <t>마케팅2팀</t>
        </is>
      </c>
      <c r="D50" s="52" t="n"/>
      <c r="E50" s="54" t="n"/>
      <c r="F50" s="52" t="n"/>
      <c r="G50" s="55" t="n"/>
      <c r="H50" s="54" t="n"/>
      <c r="I50" s="54" t="n"/>
      <c r="J50" s="54" t="n"/>
      <c r="K50" s="56">
        <f>IF(SUM(U50:AY50)=0,"",SUM(U50:AY50))</f>
        <v/>
      </c>
      <c r="L50" s="57">
        <f>IFERROR(INDEX(U$2:AY$2,MATCH(TRUE,U50:AY50&lt;&gt;"",0)),"")</f>
        <v/>
      </c>
      <c r="M50" s="58">
        <f>IFERROR(LOOKUP(2,1/(U50:AY50&lt;&gt;""),U$2:AY$2),"")</f>
        <v/>
      </c>
      <c r="N50" s="59">
        <f>IF(OR(G50="",M50=""),"",G50-M50)</f>
        <v/>
      </c>
      <c r="O50" s="60" t="n"/>
      <c r="P50" s="61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  <c r="AG50" s="62" t="n"/>
      <c r="AH50" s="62" t="n"/>
      <c r="AI50" s="62" t="n"/>
      <c r="AJ50" s="62" t="n"/>
      <c r="AK50" s="62" t="n"/>
      <c r="AL50" s="62" t="n"/>
      <c r="AM50" s="62" t="n"/>
      <c r="AN50" s="62" t="n"/>
      <c r="AO50" s="62" t="n"/>
      <c r="AP50" s="62" t="n"/>
      <c r="AQ50" s="62" t="n"/>
      <c r="AR50" s="62" t="n"/>
      <c r="AS50" s="62" t="n"/>
      <c r="AT50" s="62" t="n"/>
      <c r="AU50" s="62" t="n"/>
      <c r="AV50" s="62" t="n"/>
      <c r="AW50" s="62" t="n"/>
      <c r="AX50" s="62" t="n"/>
      <c r="AY50" s="62" t="n"/>
    </row>
    <row r="51">
      <c r="A51" s="38">
        <f>IF(D51="","",COUNTA($D$40:D51))</f>
        <v/>
      </c>
      <c r="B51" s="52" t="n"/>
      <c r="C51" s="65" t="inlineStr">
        <is>
          <t>마케팅2팀</t>
        </is>
      </c>
      <c r="D51" s="52" t="n"/>
      <c r="E51" s="54" t="n"/>
      <c r="F51" s="52" t="n"/>
      <c r="G51" s="55" t="n"/>
      <c r="H51" s="54" t="n"/>
      <c r="I51" s="54" t="n"/>
      <c r="J51" s="54" t="n"/>
      <c r="K51" s="56">
        <f>IF(SUM(U51:AY51)=0,"",SUM(U51:AY51))</f>
        <v/>
      </c>
      <c r="L51" s="57">
        <f>IFERROR(INDEX(U$2:AY$2,MATCH(TRUE,U51:AY51&lt;&gt;"",0)),"")</f>
        <v/>
      </c>
      <c r="M51" s="58">
        <f>IFERROR(LOOKUP(2,1/(U51:AY51&lt;&gt;""),U$2:AY$2),"")</f>
        <v/>
      </c>
      <c r="N51" s="59">
        <f>IF(OR(G51="",M51=""),"",G51-M51)</f>
        <v/>
      </c>
      <c r="O51" s="60" t="n"/>
      <c r="P51" s="61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  <c r="AG51" s="62" t="n"/>
      <c r="AH51" s="62" t="n"/>
      <c r="AI51" s="62" t="n"/>
      <c r="AJ51" s="62" t="n"/>
      <c r="AK51" s="62" t="n"/>
      <c r="AL51" s="62" t="n"/>
      <c r="AM51" s="62" t="n"/>
      <c r="AN51" s="62" t="n"/>
      <c r="AO51" s="62" t="n"/>
      <c r="AP51" s="62" t="n"/>
      <c r="AQ51" s="62" t="n"/>
      <c r="AR51" s="62" t="n"/>
      <c r="AS51" s="62" t="n"/>
      <c r="AT51" s="62" t="n"/>
      <c r="AU51" s="62" t="n"/>
      <c r="AV51" s="62" t="n"/>
      <c r="AW51" s="62" t="n"/>
      <c r="AX51" s="62" t="n"/>
      <c r="AY51" s="62" t="n"/>
    </row>
    <row r="52">
      <c r="A52" s="38">
        <f>IF(D52="","",COUNTA($D$40:D52))</f>
        <v/>
      </c>
      <c r="B52" s="52" t="n"/>
      <c r="C52" s="65" t="inlineStr">
        <is>
          <t>마케팅2팀</t>
        </is>
      </c>
      <c r="D52" s="52" t="n"/>
      <c r="E52" s="54" t="n"/>
      <c r="F52" s="52" t="n"/>
      <c r="G52" s="55" t="n"/>
      <c r="H52" s="54" t="n"/>
      <c r="I52" s="54" t="n"/>
      <c r="J52" s="54" t="n"/>
      <c r="K52" s="56">
        <f>IF(SUM(U52:AY52)=0,"",SUM(U52:AY52))</f>
        <v/>
      </c>
      <c r="L52" s="57">
        <f>IFERROR(INDEX(U$2:AY$2,MATCH(TRUE,U52:AY52&lt;&gt;"",0)),"")</f>
        <v/>
      </c>
      <c r="M52" s="58">
        <f>IFERROR(LOOKUP(2,1/(U52:AY52&lt;&gt;""),U$2:AY$2),"")</f>
        <v/>
      </c>
      <c r="N52" s="59">
        <f>IF(OR(G52="",M52=""),"",G52-M52)</f>
        <v/>
      </c>
      <c r="O52" s="60" t="n"/>
      <c r="P52" s="61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  <c r="AG52" s="62" t="n"/>
      <c r="AH52" s="62" t="n"/>
      <c r="AI52" s="62" t="n"/>
      <c r="AJ52" s="62" t="n"/>
      <c r="AK52" s="62" t="n"/>
      <c r="AL52" s="62" t="n"/>
      <c r="AM52" s="62" t="n"/>
      <c r="AN52" s="62" t="n"/>
      <c r="AO52" s="62" t="n"/>
      <c r="AP52" s="62" t="n"/>
      <c r="AQ52" s="62" t="n"/>
      <c r="AR52" s="62" t="n"/>
      <c r="AS52" s="62" t="n"/>
      <c r="AT52" s="62" t="n"/>
      <c r="AU52" s="62" t="n"/>
      <c r="AV52" s="62" t="n"/>
      <c r="AW52" s="62" t="n"/>
      <c r="AX52" s="62" t="n"/>
      <c r="AY52" s="62" t="n"/>
    </row>
    <row r="53">
      <c r="A53" s="38">
        <f>IF(D53="","",COUNTA($D$40:D53))</f>
        <v/>
      </c>
      <c r="B53" s="52" t="n"/>
      <c r="C53" s="65" t="inlineStr">
        <is>
          <t>마케팅2팀</t>
        </is>
      </c>
      <c r="D53" s="52" t="n"/>
      <c r="E53" s="54" t="n"/>
      <c r="F53" s="52" t="n"/>
      <c r="G53" s="55" t="n"/>
      <c r="H53" s="54" t="n"/>
      <c r="I53" s="54" t="n"/>
      <c r="J53" s="54" t="n"/>
      <c r="K53" s="56">
        <f>IF(SUM(U53:AY53)=0,"",SUM(U53:AY53))</f>
        <v/>
      </c>
      <c r="L53" s="57">
        <f>IFERROR(INDEX(U$2:AY$2,MATCH(TRUE,U53:AY53&lt;&gt;"",0)),"")</f>
        <v/>
      </c>
      <c r="M53" s="58">
        <f>IFERROR(LOOKUP(2,1/(U53:AY53&lt;&gt;""),U$2:AY$2),"")</f>
        <v/>
      </c>
      <c r="N53" s="59">
        <f>IF(OR(G53="",M53=""),"",G53-M53)</f>
        <v/>
      </c>
      <c r="O53" s="60" t="n"/>
      <c r="P53" s="61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  <c r="AG53" s="62" t="n"/>
      <c r="AH53" s="62" t="n"/>
      <c r="AI53" s="62" t="n"/>
      <c r="AJ53" s="62" t="n"/>
      <c r="AK53" s="62" t="n"/>
      <c r="AL53" s="62" t="n"/>
      <c r="AM53" s="62" t="n"/>
      <c r="AN53" s="62" t="n"/>
      <c r="AO53" s="62" t="n"/>
      <c r="AP53" s="62" t="n"/>
      <c r="AQ53" s="62" t="n"/>
      <c r="AR53" s="62" t="n"/>
      <c r="AS53" s="62" t="n"/>
      <c r="AT53" s="62" t="n"/>
      <c r="AU53" s="62" t="n"/>
      <c r="AV53" s="62" t="n"/>
      <c r="AW53" s="62" t="n"/>
      <c r="AX53" s="62" t="n"/>
      <c r="AY53" s="62" t="n"/>
    </row>
    <row r="54">
      <c r="A54" s="38">
        <f>IF(D54="","",COUNTA($D$40:D54))</f>
        <v/>
      </c>
      <c r="B54" s="52" t="n"/>
      <c r="C54" s="65" t="inlineStr">
        <is>
          <t>마케팅2팀</t>
        </is>
      </c>
      <c r="D54" s="52" t="n"/>
      <c r="E54" s="54" t="n"/>
      <c r="F54" s="52" t="n"/>
      <c r="G54" s="55" t="n"/>
      <c r="H54" s="54" t="n"/>
      <c r="I54" s="54" t="n"/>
      <c r="J54" s="54" t="n"/>
      <c r="K54" s="56">
        <f>IF(SUM(U54:AY54)=0,"",SUM(U54:AY54))</f>
        <v/>
      </c>
      <c r="L54" s="57">
        <f>IFERROR(INDEX(U$2:AY$2,MATCH(TRUE,U54:AY54&lt;&gt;"",0)),"")</f>
        <v/>
      </c>
      <c r="M54" s="58">
        <f>IFERROR(LOOKUP(2,1/(U54:AY54&lt;&gt;""),U$2:AY$2),"")</f>
        <v/>
      </c>
      <c r="N54" s="59">
        <f>IF(OR(G54="",M54=""),"",G54-M54)</f>
        <v/>
      </c>
      <c r="O54" s="60" t="n"/>
      <c r="P54" s="61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  <c r="AG54" s="62" t="n"/>
      <c r="AH54" s="62" t="n"/>
      <c r="AI54" s="62" t="n"/>
      <c r="AJ54" s="62" t="n"/>
      <c r="AK54" s="62" t="n"/>
      <c r="AL54" s="62" t="n"/>
      <c r="AM54" s="62" t="n"/>
      <c r="AN54" s="62" t="n"/>
      <c r="AO54" s="62" t="n"/>
      <c r="AP54" s="62" t="n"/>
      <c r="AQ54" s="62" t="n"/>
      <c r="AR54" s="62" t="n"/>
      <c r="AS54" s="62" t="n"/>
      <c r="AT54" s="62" t="n"/>
      <c r="AU54" s="62" t="n"/>
      <c r="AV54" s="62" t="n"/>
      <c r="AW54" s="62" t="n"/>
      <c r="AX54" s="62" t="n"/>
      <c r="AY54" s="62" t="n"/>
    </row>
    <row r="55">
      <c r="A55" s="38">
        <f>IF(D55="","",COUNTA($D$40:D55))</f>
        <v/>
      </c>
      <c r="B55" s="52" t="n"/>
      <c r="C55" s="65" t="inlineStr">
        <is>
          <t>마케팅2팀</t>
        </is>
      </c>
      <c r="D55" s="52" t="n"/>
      <c r="E55" s="54" t="n"/>
      <c r="F55" s="52" t="n"/>
      <c r="G55" s="55" t="n"/>
      <c r="H55" s="54" t="n"/>
      <c r="I55" s="54" t="n"/>
      <c r="J55" s="54" t="n"/>
      <c r="K55" s="56">
        <f>IF(SUM(U55:AY55)=0,"",SUM(U55:AY55))</f>
        <v/>
      </c>
      <c r="L55" s="57">
        <f>IFERROR(INDEX(U$2:AY$2,MATCH(TRUE,U55:AY55&lt;&gt;"",0)),"")</f>
        <v/>
      </c>
      <c r="M55" s="58">
        <f>IFERROR(LOOKUP(2,1/(U55:AY55&lt;&gt;""),U$2:AY$2),"")</f>
        <v/>
      </c>
      <c r="N55" s="59">
        <f>IF(OR(G55="",M55=""),"",G55-M55)</f>
        <v/>
      </c>
      <c r="O55" s="60" t="n"/>
      <c r="P55" s="61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  <c r="AG55" s="62" t="n"/>
      <c r="AH55" s="62" t="n"/>
      <c r="AI55" s="62" t="n"/>
      <c r="AJ55" s="62" t="n"/>
      <c r="AK55" s="62" t="n"/>
      <c r="AL55" s="62" t="n"/>
      <c r="AM55" s="62" t="n"/>
      <c r="AN55" s="62" t="n"/>
      <c r="AO55" s="62" t="n"/>
      <c r="AP55" s="62" t="n"/>
      <c r="AQ55" s="62" t="n"/>
      <c r="AR55" s="62" t="n"/>
      <c r="AS55" s="62" t="n"/>
      <c r="AT55" s="62" t="n"/>
      <c r="AU55" s="62" t="n"/>
      <c r="AV55" s="62" t="n"/>
      <c r="AW55" s="62" t="n"/>
      <c r="AX55" s="62" t="n"/>
      <c r="AY55" s="62" t="n"/>
    </row>
    <row r="56">
      <c r="A56" s="38">
        <f>IF(D56="","",COUNTA($D$40:D56))</f>
        <v/>
      </c>
      <c r="B56" s="52" t="n"/>
      <c r="C56" s="65" t="inlineStr">
        <is>
          <t>마케팅2팀</t>
        </is>
      </c>
      <c r="D56" s="52" t="n"/>
      <c r="E56" s="54" t="n"/>
      <c r="F56" s="52" t="n"/>
      <c r="G56" s="55" t="n"/>
      <c r="H56" s="54" t="n"/>
      <c r="I56" s="54" t="n"/>
      <c r="J56" s="54" t="n"/>
      <c r="K56" s="56">
        <f>IF(SUM(U56:AY56)=0,"",SUM(U56:AY56))</f>
        <v/>
      </c>
      <c r="L56" s="57">
        <f>IFERROR(INDEX(U$2:AY$2,MATCH(TRUE,U56:AY56&lt;&gt;"",0)),"")</f>
        <v/>
      </c>
      <c r="M56" s="58">
        <f>IFERROR(LOOKUP(2,1/(U56:AY56&lt;&gt;""),U$2:AY$2),"")</f>
        <v/>
      </c>
      <c r="N56" s="59">
        <f>IF(OR(G56="",M56=""),"",G56-M56)</f>
        <v/>
      </c>
      <c r="O56" s="60" t="n"/>
      <c r="P56" s="61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  <c r="AG56" s="62" t="n"/>
      <c r="AH56" s="62" t="n"/>
      <c r="AI56" s="62" t="n"/>
      <c r="AJ56" s="62" t="n"/>
      <c r="AK56" s="62" t="n"/>
      <c r="AL56" s="62" t="n"/>
      <c r="AM56" s="62" t="n"/>
      <c r="AN56" s="62" t="n"/>
      <c r="AO56" s="62" t="n"/>
      <c r="AP56" s="62" t="n"/>
      <c r="AQ56" s="62" t="n"/>
      <c r="AR56" s="62" t="n"/>
      <c r="AS56" s="62" t="n"/>
      <c r="AT56" s="62" t="n"/>
      <c r="AU56" s="62" t="n"/>
      <c r="AV56" s="62" t="n"/>
      <c r="AW56" s="62" t="n"/>
      <c r="AX56" s="62" t="n"/>
      <c r="AY56" s="62" t="n"/>
    </row>
    <row r="57">
      <c r="A57" s="38">
        <f>IF(D57="","",COUNTA($D$40:D57))</f>
        <v/>
      </c>
      <c r="B57" s="52" t="n"/>
      <c r="C57" s="65" t="inlineStr">
        <is>
          <t>마케팅2팀</t>
        </is>
      </c>
      <c r="D57" s="52" t="n"/>
      <c r="E57" s="54" t="n"/>
      <c r="F57" s="52" t="n"/>
      <c r="G57" s="55" t="n"/>
      <c r="H57" s="54" t="n"/>
      <c r="I57" s="54" t="n"/>
      <c r="J57" s="54" t="n"/>
      <c r="K57" s="56">
        <f>IF(SUM(U57:AY57)=0,"",SUM(U57:AY57))</f>
        <v/>
      </c>
      <c r="L57" s="57">
        <f>IFERROR(INDEX(U$2:AY$2,MATCH(TRUE,U57:AY57&lt;&gt;"",0)),"")</f>
        <v/>
      </c>
      <c r="M57" s="58">
        <f>IFERROR(LOOKUP(2,1/(U57:AY57&lt;&gt;""),U$2:AY$2),"")</f>
        <v/>
      </c>
      <c r="N57" s="59">
        <f>IF(OR(G57="",M57=""),"",G57-M57)</f>
        <v/>
      </c>
      <c r="O57" s="60" t="n"/>
      <c r="P57" s="61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  <c r="AG57" s="62" t="n"/>
      <c r="AH57" s="62" t="n"/>
      <c r="AI57" s="62" t="n"/>
      <c r="AJ57" s="62" t="n"/>
      <c r="AK57" s="62" t="n"/>
      <c r="AL57" s="62" t="n"/>
      <c r="AM57" s="62" t="n"/>
      <c r="AN57" s="62" t="n"/>
      <c r="AO57" s="62" t="n"/>
      <c r="AP57" s="62" t="n"/>
      <c r="AQ57" s="62" t="n"/>
      <c r="AR57" s="62" t="n"/>
      <c r="AS57" s="62" t="n"/>
      <c r="AT57" s="62" t="n"/>
      <c r="AU57" s="62" t="n"/>
      <c r="AV57" s="62" t="n"/>
      <c r="AW57" s="62" t="n"/>
      <c r="AX57" s="62" t="n"/>
      <c r="AY57" s="62" t="n"/>
    </row>
    <row r="58">
      <c r="A58" s="38">
        <f>IF(D58="","",COUNTA($D$40:D58))</f>
        <v/>
      </c>
      <c r="B58" s="52" t="n"/>
      <c r="C58" s="65" t="inlineStr">
        <is>
          <t>마케팅2팀</t>
        </is>
      </c>
      <c r="D58" s="52" t="n"/>
      <c r="E58" s="54" t="n"/>
      <c r="F58" s="52" t="n"/>
      <c r="G58" s="55" t="n"/>
      <c r="H58" s="54" t="n"/>
      <c r="I58" s="54" t="n"/>
      <c r="J58" s="54" t="n"/>
      <c r="K58" s="56">
        <f>IF(SUM(U58:AY58)=0,"",SUM(U58:AY58))</f>
        <v/>
      </c>
      <c r="L58" s="57">
        <f>IFERROR(INDEX(U$2:AY$2,MATCH(TRUE,U58:AY58&lt;&gt;"",0)),"")</f>
        <v/>
      </c>
      <c r="M58" s="58">
        <f>IFERROR(LOOKUP(2,1/(U58:AY58&lt;&gt;""),U$2:AY$2),"")</f>
        <v/>
      </c>
      <c r="N58" s="59">
        <f>IF(OR(G58="",M58=""),"",G58-M58)</f>
        <v/>
      </c>
      <c r="O58" s="60" t="n"/>
      <c r="P58" s="61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  <c r="AG58" s="62" t="n"/>
      <c r="AH58" s="62" t="n"/>
      <c r="AI58" s="62" t="n"/>
      <c r="AJ58" s="62" t="n"/>
      <c r="AK58" s="62" t="n"/>
      <c r="AL58" s="62" t="n"/>
      <c r="AM58" s="62" t="n"/>
      <c r="AN58" s="62" t="n"/>
      <c r="AO58" s="62" t="n"/>
      <c r="AP58" s="62" t="n"/>
      <c r="AQ58" s="62" t="n"/>
      <c r="AR58" s="62" t="n"/>
      <c r="AS58" s="62" t="n"/>
      <c r="AT58" s="62" t="n"/>
      <c r="AU58" s="62" t="n"/>
      <c r="AV58" s="62" t="n"/>
      <c r="AW58" s="62" t="n"/>
      <c r="AX58" s="62" t="n"/>
      <c r="AY58" s="62" t="n"/>
    </row>
    <row r="59">
      <c r="A59" s="38">
        <f>IF(D59="","",COUNTA($D$40:D59))</f>
        <v/>
      </c>
      <c r="B59" s="52" t="n"/>
      <c r="C59" s="65" t="inlineStr">
        <is>
          <t>마케팅2팀</t>
        </is>
      </c>
      <c r="D59" s="52" t="n"/>
      <c r="E59" s="54" t="n"/>
      <c r="F59" s="52" t="n"/>
      <c r="G59" s="55" t="n"/>
      <c r="H59" s="54" t="n"/>
      <c r="I59" s="54" t="n"/>
      <c r="J59" s="54" t="n"/>
      <c r="K59" s="56">
        <f>IF(SUM(U59:AY59)=0,"",SUM(U59:AY59))</f>
        <v/>
      </c>
      <c r="L59" s="57">
        <f>IFERROR(INDEX(U$2:AY$2,MATCH(TRUE,U59:AY59&lt;&gt;"",0)),"")</f>
        <v/>
      </c>
      <c r="M59" s="58">
        <f>IFERROR(LOOKUP(2,1/(U59:AY59&lt;&gt;""),U$2:AY$2),"")</f>
        <v/>
      </c>
      <c r="N59" s="59">
        <f>IF(OR(G59="",M59=""),"",G59-M59)</f>
        <v/>
      </c>
      <c r="O59" s="60" t="n"/>
      <c r="P59" s="61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  <c r="AG59" s="62" t="n"/>
      <c r="AH59" s="62" t="n"/>
      <c r="AI59" s="62" t="n"/>
      <c r="AJ59" s="62" t="n"/>
      <c r="AK59" s="62" t="n"/>
      <c r="AL59" s="62" t="n"/>
      <c r="AM59" s="62" t="n"/>
      <c r="AN59" s="62" t="n"/>
      <c r="AO59" s="62" t="n"/>
      <c r="AP59" s="62" t="n"/>
      <c r="AQ59" s="62" t="n"/>
      <c r="AR59" s="62" t="n"/>
      <c r="AS59" s="62" t="n"/>
      <c r="AT59" s="62" t="n"/>
      <c r="AU59" s="62" t="n"/>
      <c r="AV59" s="62" t="n"/>
      <c r="AW59" s="62" t="n"/>
      <c r="AX59" s="62" t="n"/>
      <c r="AY59" s="62" t="n"/>
    </row>
    <row r="60">
      <c r="A60" s="38">
        <f>IF(D60="","",COUNTA($D$40:D60))</f>
        <v/>
      </c>
      <c r="B60" s="52" t="n"/>
      <c r="C60" s="65" t="inlineStr">
        <is>
          <t>마케팅2팀</t>
        </is>
      </c>
      <c r="D60" s="52" t="n"/>
      <c r="E60" s="54" t="n"/>
      <c r="F60" s="52" t="n"/>
      <c r="G60" s="55" t="n"/>
      <c r="H60" s="54" t="n"/>
      <c r="I60" s="54" t="n"/>
      <c r="J60" s="54" t="n"/>
      <c r="K60" s="56">
        <f>IF(SUM(U60:AY60)=0,"",SUM(U60:AY60))</f>
        <v/>
      </c>
      <c r="L60" s="57">
        <f>IFERROR(INDEX(U$2:AY$2,MATCH(TRUE,U60:AY60&lt;&gt;"",0)),"")</f>
        <v/>
      </c>
      <c r="M60" s="58">
        <f>IFERROR(LOOKUP(2,1/(U60:AY60&lt;&gt;""),U$2:AY$2),"")</f>
        <v/>
      </c>
      <c r="N60" s="59">
        <f>IF(OR(G60="",M60=""),"",G60-M60)</f>
        <v/>
      </c>
      <c r="O60" s="60" t="n"/>
      <c r="P60" s="61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  <c r="AG60" s="62" t="n"/>
      <c r="AH60" s="62" t="n"/>
      <c r="AI60" s="62" t="n"/>
      <c r="AJ60" s="62" t="n"/>
      <c r="AK60" s="62" t="n"/>
      <c r="AL60" s="62" t="n"/>
      <c r="AM60" s="62" t="n"/>
      <c r="AN60" s="62" t="n"/>
      <c r="AO60" s="62" t="n"/>
      <c r="AP60" s="62" t="n"/>
      <c r="AQ60" s="62" t="n"/>
      <c r="AR60" s="62" t="n"/>
      <c r="AS60" s="62" t="n"/>
      <c r="AT60" s="62" t="n"/>
      <c r="AU60" s="62" t="n"/>
      <c r="AV60" s="62" t="n"/>
      <c r="AW60" s="62" t="n"/>
      <c r="AX60" s="62" t="n"/>
      <c r="AY60" s="62" t="n"/>
    </row>
    <row r="61">
      <c r="A61" s="38">
        <f>IF(D61="","",COUNTA($D$40:D61))</f>
        <v/>
      </c>
      <c r="B61" s="52" t="n"/>
      <c r="C61" s="65" t="inlineStr">
        <is>
          <t>마케팅2팀</t>
        </is>
      </c>
      <c r="D61" s="52" t="n"/>
      <c r="E61" s="54" t="n"/>
      <c r="F61" s="52" t="n"/>
      <c r="G61" s="55" t="n"/>
      <c r="H61" s="54" t="n"/>
      <c r="I61" s="54" t="n"/>
      <c r="J61" s="54" t="n"/>
      <c r="K61" s="56">
        <f>IF(SUM(U61:AY61)=0,"",SUM(U61:AY61))</f>
        <v/>
      </c>
      <c r="L61" s="57">
        <f>IFERROR(INDEX(U$2:AY$2,MATCH(TRUE,U61:AY61&lt;&gt;"",0)),"")</f>
        <v/>
      </c>
      <c r="M61" s="58">
        <f>IFERROR(LOOKUP(2,1/(U61:AY61&lt;&gt;""),U$2:AY$2),"")</f>
        <v/>
      </c>
      <c r="N61" s="59">
        <f>IF(OR(G61="",M61=""),"",G61-M61)</f>
        <v/>
      </c>
      <c r="O61" s="60" t="n"/>
      <c r="P61" s="61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  <c r="AG61" s="62" t="n"/>
      <c r="AH61" s="62" t="n"/>
      <c r="AI61" s="62" t="n"/>
      <c r="AJ61" s="62" t="n"/>
      <c r="AK61" s="62" t="n"/>
      <c r="AL61" s="62" t="n"/>
      <c r="AM61" s="62" t="n"/>
      <c r="AN61" s="62" t="n"/>
      <c r="AO61" s="62" t="n"/>
      <c r="AP61" s="62" t="n"/>
      <c r="AQ61" s="62" t="n"/>
      <c r="AR61" s="62" t="n"/>
      <c r="AS61" s="62" t="n"/>
      <c r="AT61" s="62" t="n"/>
      <c r="AU61" s="62" t="n"/>
      <c r="AV61" s="62" t="n"/>
      <c r="AW61" s="62" t="n"/>
      <c r="AX61" s="62" t="n"/>
      <c r="AY61" s="62" t="n"/>
    </row>
    <row r="62">
      <c r="A62" s="38">
        <f>IF(D62="","",COUNTA($D$40:D62))</f>
        <v/>
      </c>
      <c r="B62" s="52" t="n"/>
      <c r="C62" s="65" t="inlineStr">
        <is>
          <t>마케팅2팀</t>
        </is>
      </c>
      <c r="D62" s="52" t="n"/>
      <c r="E62" s="54" t="n"/>
      <c r="F62" s="52" t="n"/>
      <c r="G62" s="55" t="n"/>
      <c r="H62" s="54" t="n"/>
      <c r="I62" s="54" t="n"/>
      <c r="J62" s="54" t="n"/>
      <c r="K62" s="56">
        <f>IF(SUM(U62:AY62)=0,"",SUM(U62:AY62))</f>
        <v/>
      </c>
      <c r="L62" s="57">
        <f>IFERROR(INDEX(U$2:AY$2,MATCH(TRUE,U62:AY62&lt;&gt;"",0)),"")</f>
        <v/>
      </c>
      <c r="M62" s="58">
        <f>IFERROR(LOOKUP(2,1/(U62:AY62&lt;&gt;""),U$2:AY$2),"")</f>
        <v/>
      </c>
      <c r="N62" s="59">
        <f>IF(OR(G62="",M62=""),"",G62-M62)</f>
        <v/>
      </c>
      <c r="O62" s="60" t="n"/>
      <c r="P62" s="61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  <c r="AG62" s="62" t="n"/>
      <c r="AH62" s="62" t="n"/>
      <c r="AI62" s="62" t="n"/>
      <c r="AJ62" s="62" t="n"/>
      <c r="AK62" s="62" t="n"/>
      <c r="AL62" s="62" t="n"/>
      <c r="AM62" s="62" t="n"/>
      <c r="AN62" s="62" t="n"/>
      <c r="AO62" s="62" t="n"/>
      <c r="AP62" s="62" t="n"/>
      <c r="AQ62" s="62" t="n"/>
      <c r="AR62" s="62" t="n"/>
      <c r="AS62" s="62" t="n"/>
      <c r="AT62" s="62" t="n"/>
      <c r="AU62" s="62" t="n"/>
      <c r="AV62" s="62" t="n"/>
      <c r="AW62" s="62" t="n"/>
      <c r="AX62" s="62" t="n"/>
      <c r="AY62" s="62" t="n"/>
    </row>
    <row r="63">
      <c r="A63" s="38">
        <f>IF(D63="","",COUNTA($D$40:D63))</f>
        <v/>
      </c>
      <c r="B63" s="52" t="n"/>
      <c r="C63" s="65" t="inlineStr">
        <is>
          <t>마케팅2팀</t>
        </is>
      </c>
      <c r="D63" s="52" t="n"/>
      <c r="E63" s="54" t="n"/>
      <c r="F63" s="52" t="n"/>
      <c r="G63" s="55" t="n"/>
      <c r="H63" s="54" t="n"/>
      <c r="I63" s="54" t="n"/>
      <c r="J63" s="54" t="n"/>
      <c r="K63" s="56">
        <f>IF(SUM(U63:AY63)=0,"",SUM(U63:AY63))</f>
        <v/>
      </c>
      <c r="L63" s="57">
        <f>IFERROR(INDEX(U$2:AY$2,MATCH(TRUE,U63:AY63&lt;&gt;"",0)),"")</f>
        <v/>
      </c>
      <c r="M63" s="58">
        <f>IFERROR(LOOKUP(2,1/(U63:AY63&lt;&gt;""),U$2:AY$2),"")</f>
        <v/>
      </c>
      <c r="N63" s="59">
        <f>IF(OR(G63="",M63=""),"",G63-M63)</f>
        <v/>
      </c>
      <c r="O63" s="60" t="n"/>
      <c r="P63" s="61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  <c r="AG63" s="62" t="n"/>
      <c r="AH63" s="62" t="n"/>
      <c r="AI63" s="62" t="n"/>
      <c r="AJ63" s="62" t="n"/>
      <c r="AK63" s="62" t="n"/>
      <c r="AL63" s="62" t="n"/>
      <c r="AM63" s="62" t="n"/>
      <c r="AN63" s="62" t="n"/>
      <c r="AO63" s="62" t="n"/>
      <c r="AP63" s="62" t="n"/>
      <c r="AQ63" s="62" t="n"/>
      <c r="AR63" s="62" t="n"/>
      <c r="AS63" s="62" t="n"/>
      <c r="AT63" s="62" t="n"/>
      <c r="AU63" s="62" t="n"/>
      <c r="AV63" s="62" t="n"/>
      <c r="AW63" s="62" t="n"/>
      <c r="AX63" s="62" t="n"/>
      <c r="AY63" s="62" t="n"/>
    </row>
    <row r="64">
      <c r="A64" s="38">
        <f>IF(D64="","",COUNTA($D$40:D64))</f>
        <v/>
      </c>
      <c r="B64" s="52" t="n"/>
      <c r="C64" s="65" t="inlineStr">
        <is>
          <t>마케팅2팀</t>
        </is>
      </c>
      <c r="D64" s="52" t="n"/>
      <c r="E64" s="54" t="n"/>
      <c r="F64" s="52" t="n"/>
      <c r="G64" s="55" t="n"/>
      <c r="H64" s="54" t="n"/>
      <c r="I64" s="54" t="n"/>
      <c r="J64" s="54" t="n"/>
      <c r="K64" s="56">
        <f>IF(SUM(U64:AY64)=0,"",SUM(U64:AY64))</f>
        <v/>
      </c>
      <c r="L64" s="57">
        <f>IFERROR(INDEX(U$2:AY$2,MATCH(TRUE,U64:AY64&lt;&gt;"",0)),"")</f>
        <v/>
      </c>
      <c r="M64" s="58">
        <f>IFERROR(LOOKUP(2,1/(U64:AY64&lt;&gt;""),U$2:AY$2),"")</f>
        <v/>
      </c>
      <c r="N64" s="59">
        <f>IF(OR(G64="",M64=""),"",G64-M64)</f>
        <v/>
      </c>
      <c r="O64" s="60" t="n"/>
      <c r="P64" s="61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  <c r="AG64" s="62" t="n"/>
      <c r="AH64" s="62" t="n"/>
      <c r="AI64" s="62" t="n"/>
      <c r="AJ64" s="62" t="n"/>
      <c r="AK64" s="62" t="n"/>
      <c r="AL64" s="62" t="n"/>
      <c r="AM64" s="62" t="n"/>
      <c r="AN64" s="62" t="n"/>
      <c r="AO64" s="62" t="n"/>
      <c r="AP64" s="62" t="n"/>
      <c r="AQ64" s="62" t="n"/>
      <c r="AR64" s="62" t="n"/>
      <c r="AS64" s="62" t="n"/>
      <c r="AT64" s="62" t="n"/>
      <c r="AU64" s="62" t="n"/>
      <c r="AV64" s="62" t="n"/>
      <c r="AW64" s="62" t="n"/>
      <c r="AX64" s="62" t="n"/>
      <c r="AY64" s="62" t="n"/>
    </row>
    <row r="65">
      <c r="A65" s="38">
        <f>IF(D65="","",COUNTA($D$40:D65))</f>
        <v/>
      </c>
      <c r="B65" s="52" t="n"/>
      <c r="C65" s="65" t="inlineStr">
        <is>
          <t>마케팅2팀</t>
        </is>
      </c>
      <c r="D65" s="52" t="n"/>
      <c r="E65" s="54" t="n"/>
      <c r="F65" s="52" t="n"/>
      <c r="G65" s="55" t="n"/>
      <c r="H65" s="54" t="n"/>
      <c r="I65" s="54" t="n"/>
      <c r="J65" s="54" t="n"/>
      <c r="K65" s="56">
        <f>IF(SUM(U65:AY65)=0,"",SUM(U65:AY65))</f>
        <v/>
      </c>
      <c r="L65" s="57">
        <f>IFERROR(INDEX(U$2:AY$2,MATCH(TRUE,U65:AY65&lt;&gt;"",0)),"")</f>
        <v/>
      </c>
      <c r="M65" s="58">
        <f>IFERROR(LOOKUP(2,1/(U65:AY65&lt;&gt;""),U$2:AY$2),"")</f>
        <v/>
      </c>
      <c r="N65" s="59">
        <f>IF(OR(G65="",M65=""),"",G65-M65)</f>
        <v/>
      </c>
      <c r="O65" s="60" t="n"/>
      <c r="P65" s="61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  <c r="AG65" s="62" t="n"/>
      <c r="AH65" s="62" t="n"/>
      <c r="AI65" s="62" t="n"/>
      <c r="AJ65" s="62" t="n"/>
      <c r="AK65" s="62" t="n"/>
      <c r="AL65" s="62" t="n"/>
      <c r="AM65" s="62" t="n"/>
      <c r="AN65" s="62" t="n"/>
      <c r="AO65" s="62" t="n"/>
      <c r="AP65" s="62" t="n"/>
      <c r="AQ65" s="62" t="n"/>
      <c r="AR65" s="62" t="n"/>
      <c r="AS65" s="62" t="n"/>
      <c r="AT65" s="62" t="n"/>
      <c r="AU65" s="62" t="n"/>
      <c r="AV65" s="62" t="n"/>
      <c r="AW65" s="62" t="n"/>
      <c r="AX65" s="62" t="n"/>
      <c r="AY65" s="62" t="n"/>
    </row>
    <row r="66">
      <c r="A66" s="38">
        <f>IF(D66="","",COUNTA($D$40:D66))</f>
        <v/>
      </c>
      <c r="B66" s="52" t="n"/>
      <c r="C66" s="65" t="inlineStr">
        <is>
          <t>마케팅2팀</t>
        </is>
      </c>
      <c r="D66" s="52" t="n"/>
      <c r="E66" s="54" t="n"/>
      <c r="F66" s="52" t="n"/>
      <c r="G66" s="55" t="n"/>
      <c r="H66" s="54" t="n"/>
      <c r="I66" s="54" t="n"/>
      <c r="J66" s="54" t="n"/>
      <c r="K66" s="56">
        <f>IF(SUM(U66:AY66)=0,"",SUM(U66:AY66))</f>
        <v/>
      </c>
      <c r="L66" s="57">
        <f>IFERROR(INDEX(U$2:AY$2,MATCH(TRUE,U66:AY66&lt;&gt;"",0)),"")</f>
        <v/>
      </c>
      <c r="M66" s="58">
        <f>IFERROR(LOOKUP(2,1/(U66:AY66&lt;&gt;""),U$2:AY$2),"")</f>
        <v/>
      </c>
      <c r="N66" s="59">
        <f>IF(OR(G66="",M66=""),"",G66-M66)</f>
        <v/>
      </c>
      <c r="O66" s="60" t="n"/>
      <c r="P66" s="61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  <c r="AG66" s="62" t="n"/>
      <c r="AH66" s="62" t="n"/>
      <c r="AI66" s="62" t="n"/>
      <c r="AJ66" s="62" t="n"/>
      <c r="AK66" s="62" t="n"/>
      <c r="AL66" s="62" t="n"/>
      <c r="AM66" s="62" t="n"/>
      <c r="AN66" s="62" t="n"/>
      <c r="AO66" s="62" t="n"/>
      <c r="AP66" s="62" t="n"/>
      <c r="AQ66" s="62" t="n"/>
      <c r="AR66" s="62" t="n"/>
      <c r="AS66" s="62" t="n"/>
      <c r="AT66" s="62" t="n"/>
      <c r="AU66" s="62" t="n"/>
      <c r="AV66" s="62" t="n"/>
      <c r="AW66" s="62" t="n"/>
      <c r="AX66" s="62" t="n"/>
      <c r="AY66" s="62" t="n"/>
    </row>
    <row r="67">
      <c r="A67" s="38">
        <f>IF(D67="","",COUNTA($D$40:D67))</f>
        <v/>
      </c>
      <c r="B67" s="52" t="n"/>
      <c r="C67" s="65" t="inlineStr">
        <is>
          <t>마케팅2팀</t>
        </is>
      </c>
      <c r="D67" s="52" t="n"/>
      <c r="E67" s="54" t="n"/>
      <c r="F67" s="52" t="n"/>
      <c r="G67" s="55" t="n"/>
      <c r="H67" s="54" t="n"/>
      <c r="I67" s="54" t="n"/>
      <c r="J67" s="54" t="n"/>
      <c r="K67" s="56">
        <f>IF(SUM(U67:AY67)=0,"",SUM(U67:AY67))</f>
        <v/>
      </c>
      <c r="L67" s="57">
        <f>IFERROR(INDEX(U$2:AY$2,MATCH(TRUE,U67:AY67&lt;&gt;"",0)),"")</f>
        <v/>
      </c>
      <c r="M67" s="58">
        <f>IFERROR(LOOKUP(2,1/(U67:AY67&lt;&gt;""),U$2:AY$2),"")</f>
        <v/>
      </c>
      <c r="N67" s="59">
        <f>IF(OR(G67="",M67=""),"",G67-M67)</f>
        <v/>
      </c>
      <c r="O67" s="60" t="n"/>
      <c r="P67" s="61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  <c r="AG67" s="62" t="n"/>
      <c r="AH67" s="62" t="n"/>
      <c r="AI67" s="62" t="n"/>
      <c r="AJ67" s="62" t="n"/>
      <c r="AK67" s="62" t="n"/>
      <c r="AL67" s="62" t="n"/>
      <c r="AM67" s="62" t="n"/>
      <c r="AN67" s="62" t="n"/>
      <c r="AO67" s="62" t="n"/>
      <c r="AP67" s="62" t="n"/>
      <c r="AQ67" s="62" t="n"/>
      <c r="AR67" s="62" t="n"/>
      <c r="AS67" s="62" t="n"/>
      <c r="AT67" s="62" t="n"/>
      <c r="AU67" s="62" t="n"/>
      <c r="AV67" s="62" t="n"/>
      <c r="AW67" s="62" t="n"/>
      <c r="AX67" s="62" t="n"/>
      <c r="AY67" s="62" t="n"/>
    </row>
    <row r="68">
      <c r="A68" s="38">
        <f>IF(D68="","",COUNTA($D$40:D68))</f>
        <v/>
      </c>
      <c r="B68" s="52" t="n"/>
      <c r="C68" s="65" t="inlineStr">
        <is>
          <t>마케팅2팀</t>
        </is>
      </c>
      <c r="D68" s="52" t="n"/>
      <c r="E68" s="54" t="n"/>
      <c r="F68" s="52" t="n"/>
      <c r="G68" s="55" t="n"/>
      <c r="H68" s="54" t="n"/>
      <c r="I68" s="54" t="n"/>
      <c r="J68" s="54" t="n"/>
      <c r="K68" s="56">
        <f>IF(SUM(U68:AY68)=0,"",SUM(U68:AY68))</f>
        <v/>
      </c>
      <c r="L68" s="57">
        <f>IFERROR(INDEX(U$2:AY$2,MATCH(TRUE,U68:AY68&lt;&gt;"",0)),"")</f>
        <v/>
      </c>
      <c r="M68" s="58">
        <f>IFERROR(LOOKUP(2,1/(U68:AY68&lt;&gt;""),U$2:AY$2),"")</f>
        <v/>
      </c>
      <c r="N68" s="59">
        <f>IF(OR(G68="",M68=""),"",G68-M68)</f>
        <v/>
      </c>
      <c r="O68" s="60" t="n"/>
      <c r="P68" s="61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  <c r="AG68" s="62" t="n"/>
      <c r="AH68" s="62" t="n"/>
      <c r="AI68" s="62" t="n"/>
      <c r="AJ68" s="62" t="n"/>
      <c r="AK68" s="62" t="n"/>
      <c r="AL68" s="62" t="n"/>
      <c r="AM68" s="62" t="n"/>
      <c r="AN68" s="62" t="n"/>
      <c r="AO68" s="62" t="n"/>
      <c r="AP68" s="62" t="n"/>
      <c r="AQ68" s="62" t="n"/>
      <c r="AR68" s="62" t="n"/>
      <c r="AS68" s="62" t="n"/>
      <c r="AT68" s="62" t="n"/>
      <c r="AU68" s="62" t="n"/>
      <c r="AV68" s="62" t="n"/>
      <c r="AW68" s="62" t="n"/>
      <c r="AX68" s="62" t="n"/>
      <c r="AY68" s="62" t="n"/>
    </row>
    <row r="69">
      <c r="A69" s="38">
        <f>IF(D69="","",COUNTA($D$40:D69))</f>
        <v/>
      </c>
      <c r="B69" s="52" t="n"/>
      <c r="C69" s="65" t="inlineStr">
        <is>
          <t>마케팅2팀</t>
        </is>
      </c>
      <c r="D69" s="52" t="n"/>
      <c r="E69" s="54" t="n"/>
      <c r="F69" s="52" t="n"/>
      <c r="G69" s="55" t="n"/>
      <c r="H69" s="54" t="n"/>
      <c r="I69" s="54" t="n"/>
      <c r="J69" s="54" t="n"/>
      <c r="K69" s="56">
        <f>IF(SUM(U69:AY69)=0,"",SUM(U69:AY69))</f>
        <v/>
      </c>
      <c r="L69" s="57">
        <f>IFERROR(INDEX(U$2:AY$2,MATCH(TRUE,U69:AY69&lt;&gt;"",0)),"")</f>
        <v/>
      </c>
      <c r="M69" s="58">
        <f>IFERROR(LOOKUP(2,1/(U69:AY69&lt;&gt;""),U$2:AY$2),"")</f>
        <v/>
      </c>
      <c r="N69" s="59">
        <f>IF(OR(G69="",M69=""),"",G69-M69)</f>
        <v/>
      </c>
      <c r="O69" s="60" t="n"/>
      <c r="P69" s="61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  <c r="AG69" s="62" t="n"/>
      <c r="AH69" s="62" t="n"/>
      <c r="AI69" s="62" t="n"/>
      <c r="AJ69" s="62" t="n"/>
      <c r="AK69" s="62" t="n"/>
      <c r="AL69" s="62" t="n"/>
      <c r="AM69" s="62" t="n"/>
      <c r="AN69" s="62" t="n"/>
      <c r="AO69" s="62" t="n"/>
      <c r="AP69" s="62" t="n"/>
      <c r="AQ69" s="62" t="n"/>
      <c r="AR69" s="62" t="n"/>
      <c r="AS69" s="62" t="n"/>
      <c r="AT69" s="62" t="n"/>
      <c r="AU69" s="62" t="n"/>
      <c r="AV69" s="62" t="n"/>
      <c r="AW69" s="62" t="n"/>
      <c r="AX69" s="62" t="n"/>
      <c r="AY69" s="62" t="n"/>
    </row>
    <row r="70">
      <c r="A70" s="66" t="inlineStr">
        <is>
          <t>마케팅3팀  (71~100행)</t>
        </is>
      </c>
      <c r="U70" s="67" t="n"/>
      <c r="V70" s="67" t="n"/>
      <c r="W70" s="67" t="n"/>
      <c r="X70" s="67" t="n"/>
      <c r="Y70" s="67" t="n"/>
      <c r="Z70" s="67" t="n"/>
      <c r="AA70" s="67" t="n"/>
      <c r="AB70" s="67" t="n"/>
      <c r="AC70" s="67" t="n"/>
      <c r="AD70" s="67" t="n"/>
      <c r="AE70" s="67" t="n"/>
      <c r="AF70" s="67" t="n"/>
      <c r="AG70" s="67" t="n"/>
      <c r="AH70" s="67" t="n"/>
      <c r="AI70" s="67" t="n"/>
      <c r="AJ70" s="67" t="n"/>
      <c r="AK70" s="67" t="n"/>
      <c r="AL70" s="67" t="n"/>
      <c r="AM70" s="67" t="n"/>
      <c r="AN70" s="67" t="n"/>
      <c r="AO70" s="67" t="n"/>
      <c r="AP70" s="67" t="n"/>
      <c r="AQ70" s="67" t="n"/>
      <c r="AR70" s="67" t="n"/>
      <c r="AS70" s="67" t="n"/>
      <c r="AT70" s="67" t="n"/>
      <c r="AU70" s="67" t="n"/>
      <c r="AV70" s="67" t="n"/>
      <c r="AW70" s="67" t="n"/>
      <c r="AX70" s="67" t="n"/>
      <c r="AY70" s="67" t="n"/>
    </row>
    <row r="71">
      <c r="A71" s="38">
        <f>IF(D71="","",COUNTA($D$71:D71))</f>
        <v/>
      </c>
      <c r="B71" s="52" t="n"/>
      <c r="C71" s="68" t="inlineStr">
        <is>
          <t>마케팅3팀</t>
        </is>
      </c>
      <c r="D71" s="52" t="n"/>
      <c r="E71" s="54" t="n"/>
      <c r="F71" s="52" t="n"/>
      <c r="G71" s="55" t="n"/>
      <c r="H71" s="54" t="n"/>
      <c r="I71" s="54" t="n"/>
      <c r="J71" s="54" t="n"/>
      <c r="K71" s="56">
        <f>IF(SUM(U71:AY71)=0,"",SUM(U71:AY71))</f>
        <v/>
      </c>
      <c r="L71" s="57">
        <f>IFERROR(INDEX(U$2:AY$2,MATCH(TRUE,U71:AY71&lt;&gt;"",0)),"")</f>
        <v/>
      </c>
      <c r="M71" s="58">
        <f>IFERROR(LOOKUP(2,1/(U71:AY71&lt;&gt;""),U$2:AY$2),"")</f>
        <v/>
      </c>
      <c r="N71" s="59">
        <f>IF(OR(G71="",M71=""),"",G71-M71)</f>
        <v/>
      </c>
      <c r="O71" s="60" t="n"/>
      <c r="P71" s="61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  <c r="AG71" s="62" t="n"/>
      <c r="AH71" s="62" t="n"/>
      <c r="AI71" s="62" t="n"/>
      <c r="AJ71" s="62" t="n"/>
      <c r="AK71" s="62" t="n"/>
      <c r="AL71" s="62" t="n"/>
      <c r="AM71" s="62" t="n"/>
      <c r="AN71" s="62" t="n"/>
      <c r="AO71" s="62" t="n"/>
      <c r="AP71" s="62" t="n"/>
      <c r="AQ71" s="62" t="n"/>
      <c r="AR71" s="62" t="n"/>
      <c r="AS71" s="62" t="n"/>
      <c r="AT71" s="62" t="n"/>
      <c r="AU71" s="62" t="n"/>
      <c r="AV71" s="62" t="n"/>
      <c r="AW71" s="62" t="n"/>
      <c r="AX71" s="62" t="n"/>
      <c r="AY71" s="62" t="n"/>
    </row>
    <row r="72">
      <c r="A72" s="38">
        <f>IF(D72="","",COUNTA($D$71:D72))</f>
        <v/>
      </c>
      <c r="B72" s="52" t="n"/>
      <c r="C72" s="68" t="inlineStr">
        <is>
          <t>마케팅3팀</t>
        </is>
      </c>
      <c r="D72" s="52" t="n"/>
      <c r="E72" s="54" t="n"/>
      <c r="F72" s="52" t="n"/>
      <c r="G72" s="55" t="n"/>
      <c r="H72" s="54" t="n"/>
      <c r="I72" s="54" t="n"/>
      <c r="J72" s="54" t="n"/>
      <c r="K72" s="56">
        <f>IF(SUM(U72:AY72)=0,"",SUM(U72:AY72))</f>
        <v/>
      </c>
      <c r="L72" s="57">
        <f>IFERROR(INDEX(U$2:AY$2,MATCH(TRUE,U72:AY72&lt;&gt;"",0)),"")</f>
        <v/>
      </c>
      <c r="M72" s="58">
        <f>IFERROR(LOOKUP(2,1/(U72:AY72&lt;&gt;""),U$2:AY$2),"")</f>
        <v/>
      </c>
      <c r="N72" s="59">
        <f>IF(OR(G72="",M72=""),"",G72-M72)</f>
        <v/>
      </c>
      <c r="O72" s="60" t="n"/>
      <c r="P72" s="61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  <c r="AG72" s="62" t="n"/>
      <c r="AH72" s="62" t="n"/>
      <c r="AI72" s="62" t="n"/>
      <c r="AJ72" s="62" t="n"/>
      <c r="AK72" s="62" t="n"/>
      <c r="AL72" s="62" t="n"/>
      <c r="AM72" s="62" t="n"/>
      <c r="AN72" s="62" t="n"/>
      <c r="AO72" s="62" t="n"/>
      <c r="AP72" s="62" t="n"/>
      <c r="AQ72" s="62" t="n"/>
      <c r="AR72" s="62" t="n"/>
      <c r="AS72" s="62" t="n"/>
      <c r="AT72" s="62" t="n"/>
      <c r="AU72" s="62" t="n"/>
      <c r="AV72" s="62" t="n"/>
      <c r="AW72" s="62" t="n"/>
      <c r="AX72" s="62" t="n"/>
      <c r="AY72" s="62" t="n"/>
    </row>
    <row r="73">
      <c r="A73" s="38">
        <f>IF(D73="","",COUNTA($D$71:D73))</f>
        <v/>
      </c>
      <c r="B73" s="52" t="n"/>
      <c r="C73" s="68" t="inlineStr">
        <is>
          <t>마케팅3팀</t>
        </is>
      </c>
      <c r="D73" s="52" t="n"/>
      <c r="E73" s="54" t="n"/>
      <c r="F73" s="52" t="n"/>
      <c r="G73" s="55" t="n"/>
      <c r="H73" s="54" t="n"/>
      <c r="I73" s="54" t="n"/>
      <c r="J73" s="54" t="n"/>
      <c r="K73" s="56">
        <f>IF(SUM(U73:AY73)=0,"",SUM(U73:AY73))</f>
        <v/>
      </c>
      <c r="L73" s="57">
        <f>IFERROR(INDEX(U$2:AY$2,MATCH(TRUE,U73:AY73&lt;&gt;"",0)),"")</f>
        <v/>
      </c>
      <c r="M73" s="58">
        <f>IFERROR(LOOKUP(2,1/(U73:AY73&lt;&gt;""),U$2:AY$2),"")</f>
        <v/>
      </c>
      <c r="N73" s="59">
        <f>IF(OR(G73="",M73=""),"",G73-M73)</f>
        <v/>
      </c>
      <c r="O73" s="60" t="n"/>
      <c r="P73" s="61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  <c r="AG73" s="62" t="n"/>
      <c r="AH73" s="62" t="n"/>
      <c r="AI73" s="62" t="n"/>
      <c r="AJ73" s="62" t="n"/>
      <c r="AK73" s="62" t="n"/>
      <c r="AL73" s="62" t="n"/>
      <c r="AM73" s="62" t="n"/>
      <c r="AN73" s="62" t="n"/>
      <c r="AO73" s="62" t="n"/>
      <c r="AP73" s="62" t="n"/>
      <c r="AQ73" s="62" t="n"/>
      <c r="AR73" s="62" t="n"/>
      <c r="AS73" s="62" t="n"/>
      <c r="AT73" s="62" t="n"/>
      <c r="AU73" s="62" t="n"/>
      <c r="AV73" s="62" t="n"/>
      <c r="AW73" s="62" t="n"/>
      <c r="AX73" s="62" t="n"/>
      <c r="AY73" s="62" t="n"/>
    </row>
    <row r="74">
      <c r="A74" s="38">
        <f>IF(D74="","",COUNTA($D$71:D74))</f>
        <v/>
      </c>
      <c r="B74" s="52" t="n"/>
      <c r="C74" s="68" t="inlineStr">
        <is>
          <t>마케팅3팀</t>
        </is>
      </c>
      <c r="D74" s="52" t="n"/>
      <c r="E74" s="54" t="n"/>
      <c r="F74" s="52" t="n"/>
      <c r="G74" s="55" t="n"/>
      <c r="H74" s="54" t="n"/>
      <c r="I74" s="54" t="n"/>
      <c r="J74" s="54" t="n"/>
      <c r="K74" s="56">
        <f>IF(SUM(U74:AY74)=0,"",SUM(U74:AY74))</f>
        <v/>
      </c>
      <c r="L74" s="57">
        <f>IFERROR(INDEX(U$2:AY$2,MATCH(TRUE,U74:AY74&lt;&gt;"",0)),"")</f>
        <v/>
      </c>
      <c r="M74" s="58">
        <f>IFERROR(LOOKUP(2,1/(U74:AY74&lt;&gt;""),U$2:AY$2),"")</f>
        <v/>
      </c>
      <c r="N74" s="59">
        <f>IF(OR(G74="",M74=""),"",G74-M74)</f>
        <v/>
      </c>
      <c r="O74" s="60" t="n"/>
      <c r="P74" s="61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  <c r="AG74" s="62" t="n"/>
      <c r="AH74" s="62" t="n"/>
      <c r="AI74" s="62" t="n"/>
      <c r="AJ74" s="62" t="n"/>
      <c r="AK74" s="62" t="n"/>
      <c r="AL74" s="62" t="n"/>
      <c r="AM74" s="62" t="n"/>
      <c r="AN74" s="62" t="n"/>
      <c r="AO74" s="62" t="n"/>
      <c r="AP74" s="62" t="n"/>
      <c r="AQ74" s="62" t="n"/>
      <c r="AR74" s="62" t="n"/>
      <c r="AS74" s="62" t="n"/>
      <c r="AT74" s="62" t="n"/>
      <c r="AU74" s="62" t="n"/>
      <c r="AV74" s="62" t="n"/>
      <c r="AW74" s="62" t="n"/>
      <c r="AX74" s="62" t="n"/>
      <c r="AY74" s="62" t="n"/>
    </row>
    <row r="75">
      <c r="A75" s="38">
        <f>IF(D75="","",COUNTA($D$71:D75))</f>
        <v/>
      </c>
      <c r="B75" s="52" t="n"/>
      <c r="C75" s="68" t="inlineStr">
        <is>
          <t>마케팅3팀</t>
        </is>
      </c>
      <c r="D75" s="52" t="n"/>
      <c r="E75" s="54" t="n"/>
      <c r="F75" s="52" t="n"/>
      <c r="G75" s="55" t="n"/>
      <c r="H75" s="54" t="n"/>
      <c r="I75" s="54" t="n"/>
      <c r="J75" s="54" t="n"/>
      <c r="K75" s="56">
        <f>IF(SUM(U75:AY75)=0,"",SUM(U75:AY75))</f>
        <v/>
      </c>
      <c r="L75" s="57">
        <f>IFERROR(INDEX(U$2:AY$2,MATCH(TRUE,U75:AY75&lt;&gt;"",0)),"")</f>
        <v/>
      </c>
      <c r="M75" s="58">
        <f>IFERROR(LOOKUP(2,1/(U75:AY75&lt;&gt;""),U$2:AY$2),"")</f>
        <v/>
      </c>
      <c r="N75" s="59">
        <f>IF(OR(G75="",M75=""),"",G75-M75)</f>
        <v/>
      </c>
      <c r="O75" s="60" t="n"/>
      <c r="P75" s="61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  <c r="AG75" s="62" t="n"/>
      <c r="AH75" s="62" t="n"/>
      <c r="AI75" s="62" t="n"/>
      <c r="AJ75" s="62" t="n"/>
      <c r="AK75" s="62" t="n"/>
      <c r="AL75" s="62" t="n"/>
      <c r="AM75" s="62" t="n"/>
      <c r="AN75" s="62" t="n"/>
      <c r="AO75" s="62" t="n"/>
      <c r="AP75" s="62" t="n"/>
      <c r="AQ75" s="62" t="n"/>
      <c r="AR75" s="62" t="n"/>
      <c r="AS75" s="62" t="n"/>
      <c r="AT75" s="62" t="n"/>
      <c r="AU75" s="62" t="n"/>
      <c r="AV75" s="62" t="n"/>
      <c r="AW75" s="62" t="n"/>
      <c r="AX75" s="62" t="n"/>
      <c r="AY75" s="62" t="n"/>
    </row>
    <row r="76">
      <c r="A76" s="38">
        <f>IF(D76="","",COUNTA($D$71:D76))</f>
        <v/>
      </c>
      <c r="B76" s="52" t="n"/>
      <c r="C76" s="68" t="inlineStr">
        <is>
          <t>마케팅3팀</t>
        </is>
      </c>
      <c r="D76" s="52" t="n"/>
      <c r="E76" s="54" t="n"/>
      <c r="F76" s="52" t="n"/>
      <c r="G76" s="55" t="n"/>
      <c r="H76" s="54" t="n"/>
      <c r="I76" s="54" t="n"/>
      <c r="J76" s="54" t="n"/>
      <c r="K76" s="56">
        <f>IF(SUM(U76:AY76)=0,"",SUM(U76:AY76))</f>
        <v/>
      </c>
      <c r="L76" s="57">
        <f>IFERROR(INDEX(U$2:AY$2,MATCH(TRUE,U76:AY76&lt;&gt;"",0)),"")</f>
        <v/>
      </c>
      <c r="M76" s="58">
        <f>IFERROR(LOOKUP(2,1/(U76:AY76&lt;&gt;""),U$2:AY$2),"")</f>
        <v/>
      </c>
      <c r="N76" s="59">
        <f>IF(OR(G76="",M76=""),"",G76-M76)</f>
        <v/>
      </c>
      <c r="O76" s="60" t="n"/>
      <c r="P76" s="61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  <c r="AG76" s="62" t="n"/>
      <c r="AH76" s="62" t="n"/>
      <c r="AI76" s="62" t="n"/>
      <c r="AJ76" s="62" t="n"/>
      <c r="AK76" s="62" t="n"/>
      <c r="AL76" s="62" t="n"/>
      <c r="AM76" s="62" t="n"/>
      <c r="AN76" s="62" t="n"/>
      <c r="AO76" s="62" t="n"/>
      <c r="AP76" s="62" t="n"/>
      <c r="AQ76" s="62" t="n"/>
      <c r="AR76" s="62" t="n"/>
      <c r="AS76" s="62" t="n"/>
      <c r="AT76" s="62" t="n"/>
      <c r="AU76" s="62" t="n"/>
      <c r="AV76" s="62" t="n"/>
      <c r="AW76" s="62" t="n"/>
      <c r="AX76" s="62" t="n"/>
      <c r="AY76" s="62" t="n"/>
    </row>
    <row r="77">
      <c r="A77" s="38">
        <f>IF(D77="","",COUNTA($D$71:D77))</f>
        <v/>
      </c>
      <c r="B77" s="52" t="n"/>
      <c r="C77" s="68" t="inlineStr">
        <is>
          <t>마케팅3팀</t>
        </is>
      </c>
      <c r="D77" s="52" t="n"/>
      <c r="E77" s="54" t="n"/>
      <c r="F77" s="52" t="n"/>
      <c r="G77" s="55" t="n"/>
      <c r="H77" s="54" t="n"/>
      <c r="I77" s="54" t="n"/>
      <c r="J77" s="54" t="n"/>
      <c r="K77" s="56">
        <f>IF(SUM(U77:AY77)=0,"",SUM(U77:AY77))</f>
        <v/>
      </c>
      <c r="L77" s="57">
        <f>IFERROR(INDEX(U$2:AY$2,MATCH(TRUE,U77:AY77&lt;&gt;"",0)),"")</f>
        <v/>
      </c>
      <c r="M77" s="58">
        <f>IFERROR(LOOKUP(2,1/(U77:AY77&lt;&gt;""),U$2:AY$2),"")</f>
        <v/>
      </c>
      <c r="N77" s="59">
        <f>IF(OR(G77="",M77=""),"",G77-M77)</f>
        <v/>
      </c>
      <c r="O77" s="60" t="n"/>
      <c r="P77" s="61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  <c r="AG77" s="62" t="n"/>
      <c r="AH77" s="62" t="n"/>
      <c r="AI77" s="62" t="n"/>
      <c r="AJ77" s="62" t="n"/>
      <c r="AK77" s="62" t="n"/>
      <c r="AL77" s="62" t="n"/>
      <c r="AM77" s="62" t="n"/>
      <c r="AN77" s="62" t="n"/>
      <c r="AO77" s="62" t="n"/>
      <c r="AP77" s="62" t="n"/>
      <c r="AQ77" s="62" t="n"/>
      <c r="AR77" s="62" t="n"/>
      <c r="AS77" s="62" t="n"/>
      <c r="AT77" s="62" t="n"/>
      <c r="AU77" s="62" t="n"/>
      <c r="AV77" s="62" t="n"/>
      <c r="AW77" s="62" t="n"/>
      <c r="AX77" s="62" t="n"/>
      <c r="AY77" s="62" t="n"/>
    </row>
    <row r="78">
      <c r="A78" s="38">
        <f>IF(D78="","",COUNTA($D$71:D78))</f>
        <v/>
      </c>
      <c r="B78" s="52" t="n"/>
      <c r="C78" s="68" t="inlineStr">
        <is>
          <t>마케팅3팀</t>
        </is>
      </c>
      <c r="D78" s="52" t="n"/>
      <c r="E78" s="54" t="n"/>
      <c r="F78" s="52" t="n"/>
      <c r="G78" s="55" t="n"/>
      <c r="H78" s="54" t="n"/>
      <c r="I78" s="54" t="n"/>
      <c r="J78" s="54" t="n"/>
      <c r="K78" s="56">
        <f>IF(SUM(U78:AY78)=0,"",SUM(U78:AY78))</f>
        <v/>
      </c>
      <c r="L78" s="57">
        <f>IFERROR(INDEX(U$2:AY$2,MATCH(TRUE,U78:AY78&lt;&gt;"",0)),"")</f>
        <v/>
      </c>
      <c r="M78" s="58">
        <f>IFERROR(LOOKUP(2,1/(U78:AY78&lt;&gt;""),U$2:AY$2),"")</f>
        <v/>
      </c>
      <c r="N78" s="59">
        <f>IF(OR(G78="",M78=""),"",G78-M78)</f>
        <v/>
      </c>
      <c r="O78" s="60" t="n"/>
      <c r="P78" s="61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  <c r="AG78" s="62" t="n"/>
      <c r="AH78" s="62" t="n"/>
      <c r="AI78" s="62" t="n"/>
      <c r="AJ78" s="62" t="n"/>
      <c r="AK78" s="62" t="n"/>
      <c r="AL78" s="62" t="n"/>
      <c r="AM78" s="62" t="n"/>
      <c r="AN78" s="62" t="n"/>
      <c r="AO78" s="62" t="n"/>
      <c r="AP78" s="62" t="n"/>
      <c r="AQ78" s="62" t="n"/>
      <c r="AR78" s="62" t="n"/>
      <c r="AS78" s="62" t="n"/>
      <c r="AT78" s="62" t="n"/>
      <c r="AU78" s="62" t="n"/>
      <c r="AV78" s="62" t="n"/>
      <c r="AW78" s="62" t="n"/>
      <c r="AX78" s="62" t="n"/>
      <c r="AY78" s="62" t="n"/>
    </row>
    <row r="79">
      <c r="A79" s="38">
        <f>IF(D79="","",COUNTA($D$71:D79))</f>
        <v/>
      </c>
      <c r="B79" s="52" t="n"/>
      <c r="C79" s="68" t="inlineStr">
        <is>
          <t>마케팅3팀</t>
        </is>
      </c>
      <c r="D79" s="52" t="n"/>
      <c r="E79" s="54" t="n"/>
      <c r="F79" s="52" t="n"/>
      <c r="G79" s="55" t="n"/>
      <c r="H79" s="54" t="n"/>
      <c r="I79" s="54" t="n"/>
      <c r="J79" s="54" t="n"/>
      <c r="K79" s="56">
        <f>IF(SUM(U79:AY79)=0,"",SUM(U79:AY79))</f>
        <v/>
      </c>
      <c r="L79" s="57">
        <f>IFERROR(INDEX(U$2:AY$2,MATCH(TRUE,U79:AY79&lt;&gt;"",0)),"")</f>
        <v/>
      </c>
      <c r="M79" s="58">
        <f>IFERROR(LOOKUP(2,1/(U79:AY79&lt;&gt;""),U$2:AY$2),"")</f>
        <v/>
      </c>
      <c r="N79" s="59">
        <f>IF(OR(G79="",M79=""),"",G79-M79)</f>
        <v/>
      </c>
      <c r="O79" s="60" t="n"/>
      <c r="P79" s="61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  <c r="AG79" s="62" t="n"/>
      <c r="AH79" s="62" t="n"/>
      <c r="AI79" s="62" t="n"/>
      <c r="AJ79" s="62" t="n"/>
      <c r="AK79" s="62" t="n"/>
      <c r="AL79" s="62" t="n"/>
      <c r="AM79" s="62" t="n"/>
      <c r="AN79" s="62" t="n"/>
      <c r="AO79" s="62" t="n"/>
      <c r="AP79" s="62" t="n"/>
      <c r="AQ79" s="62" t="n"/>
      <c r="AR79" s="62" t="n"/>
      <c r="AS79" s="62" t="n"/>
      <c r="AT79" s="62" t="n"/>
      <c r="AU79" s="62" t="n"/>
      <c r="AV79" s="62" t="n"/>
      <c r="AW79" s="62" t="n"/>
      <c r="AX79" s="62" t="n"/>
      <c r="AY79" s="62" t="n"/>
    </row>
    <row r="80">
      <c r="A80" s="38">
        <f>IF(D80="","",COUNTA($D$71:D80))</f>
        <v/>
      </c>
      <c r="B80" s="52" t="n"/>
      <c r="C80" s="68" t="inlineStr">
        <is>
          <t>마케팅3팀</t>
        </is>
      </c>
      <c r="D80" s="52" t="n"/>
      <c r="E80" s="54" t="n"/>
      <c r="F80" s="52" t="n"/>
      <c r="G80" s="55" t="n"/>
      <c r="H80" s="54" t="n"/>
      <c r="I80" s="54" t="n"/>
      <c r="J80" s="54" t="n"/>
      <c r="K80" s="56">
        <f>IF(SUM(U80:AY80)=0,"",SUM(U80:AY80))</f>
        <v/>
      </c>
      <c r="L80" s="57">
        <f>IFERROR(INDEX(U$2:AY$2,MATCH(TRUE,U80:AY80&lt;&gt;"",0)),"")</f>
        <v/>
      </c>
      <c r="M80" s="58">
        <f>IFERROR(LOOKUP(2,1/(U80:AY80&lt;&gt;""),U$2:AY$2),"")</f>
        <v/>
      </c>
      <c r="N80" s="59">
        <f>IF(OR(G80="",M80=""),"",G80-M80)</f>
        <v/>
      </c>
      <c r="O80" s="60" t="n"/>
      <c r="P80" s="61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  <c r="AG80" s="62" t="n"/>
      <c r="AH80" s="62" t="n"/>
      <c r="AI80" s="62" t="n"/>
      <c r="AJ80" s="62" t="n"/>
      <c r="AK80" s="62" t="n"/>
      <c r="AL80" s="62" t="n"/>
      <c r="AM80" s="62" t="n"/>
      <c r="AN80" s="62" t="n"/>
      <c r="AO80" s="62" t="n"/>
      <c r="AP80" s="62" t="n"/>
      <c r="AQ80" s="62" t="n"/>
      <c r="AR80" s="62" t="n"/>
      <c r="AS80" s="62" t="n"/>
      <c r="AT80" s="62" t="n"/>
      <c r="AU80" s="62" t="n"/>
      <c r="AV80" s="62" t="n"/>
      <c r="AW80" s="62" t="n"/>
      <c r="AX80" s="62" t="n"/>
      <c r="AY80" s="62" t="n"/>
    </row>
    <row r="81">
      <c r="A81" s="38">
        <f>IF(D81="","",COUNTA($D$71:D81))</f>
        <v/>
      </c>
      <c r="B81" s="52" t="n"/>
      <c r="C81" s="68" t="inlineStr">
        <is>
          <t>마케팅3팀</t>
        </is>
      </c>
      <c r="D81" s="52" t="n"/>
      <c r="E81" s="54" t="n"/>
      <c r="F81" s="52" t="n"/>
      <c r="G81" s="55" t="n"/>
      <c r="H81" s="54" t="n"/>
      <c r="I81" s="54" t="n"/>
      <c r="J81" s="54" t="n"/>
      <c r="K81" s="56">
        <f>IF(SUM(U81:AY81)=0,"",SUM(U81:AY81))</f>
        <v/>
      </c>
      <c r="L81" s="57">
        <f>IFERROR(INDEX(U$2:AY$2,MATCH(TRUE,U81:AY81&lt;&gt;"",0)),"")</f>
        <v/>
      </c>
      <c r="M81" s="58">
        <f>IFERROR(LOOKUP(2,1/(U81:AY81&lt;&gt;""),U$2:AY$2),"")</f>
        <v/>
      </c>
      <c r="N81" s="59">
        <f>IF(OR(G81="",M81=""),"",G81-M81)</f>
        <v/>
      </c>
      <c r="O81" s="60" t="n"/>
      <c r="P81" s="61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  <c r="AG81" s="62" t="n"/>
      <c r="AH81" s="62" t="n"/>
      <c r="AI81" s="62" t="n"/>
      <c r="AJ81" s="62" t="n"/>
      <c r="AK81" s="62" t="n"/>
      <c r="AL81" s="62" t="n"/>
      <c r="AM81" s="62" t="n"/>
      <c r="AN81" s="62" t="n"/>
      <c r="AO81" s="62" t="n"/>
      <c r="AP81" s="62" t="n"/>
      <c r="AQ81" s="62" t="n"/>
      <c r="AR81" s="62" t="n"/>
      <c r="AS81" s="62" t="n"/>
      <c r="AT81" s="62" t="n"/>
      <c r="AU81" s="62" t="n"/>
      <c r="AV81" s="62" t="n"/>
      <c r="AW81" s="62" t="n"/>
      <c r="AX81" s="62" t="n"/>
      <c r="AY81" s="62" t="n"/>
    </row>
    <row r="82">
      <c r="A82" s="38">
        <f>IF(D82="","",COUNTA($D$71:D82))</f>
        <v/>
      </c>
      <c r="B82" s="52" t="n"/>
      <c r="C82" s="68" t="inlineStr">
        <is>
          <t>마케팅3팀</t>
        </is>
      </c>
      <c r="D82" s="52" t="n"/>
      <c r="E82" s="54" t="n"/>
      <c r="F82" s="52" t="n"/>
      <c r="G82" s="55" t="n"/>
      <c r="H82" s="54" t="n"/>
      <c r="I82" s="54" t="n"/>
      <c r="J82" s="54" t="n"/>
      <c r="K82" s="56">
        <f>IF(SUM(U82:AY82)=0,"",SUM(U82:AY82))</f>
        <v/>
      </c>
      <c r="L82" s="57">
        <f>IFERROR(INDEX(U$2:AY$2,MATCH(TRUE,U82:AY82&lt;&gt;"",0)),"")</f>
        <v/>
      </c>
      <c r="M82" s="58">
        <f>IFERROR(LOOKUP(2,1/(U82:AY82&lt;&gt;""),U$2:AY$2),"")</f>
        <v/>
      </c>
      <c r="N82" s="59">
        <f>IF(OR(G82="",M82=""),"",G82-M82)</f>
        <v/>
      </c>
      <c r="O82" s="60" t="n"/>
      <c r="P82" s="61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  <c r="AG82" s="62" t="n"/>
      <c r="AH82" s="62" t="n"/>
      <c r="AI82" s="62" t="n"/>
      <c r="AJ82" s="62" t="n"/>
      <c r="AK82" s="62" t="n"/>
      <c r="AL82" s="62" t="n"/>
      <c r="AM82" s="62" t="n"/>
      <c r="AN82" s="62" t="n"/>
      <c r="AO82" s="62" t="n"/>
      <c r="AP82" s="62" t="n"/>
      <c r="AQ82" s="62" t="n"/>
      <c r="AR82" s="62" t="n"/>
      <c r="AS82" s="62" t="n"/>
      <c r="AT82" s="62" t="n"/>
      <c r="AU82" s="62" t="n"/>
      <c r="AV82" s="62" t="n"/>
      <c r="AW82" s="62" t="n"/>
      <c r="AX82" s="62" t="n"/>
      <c r="AY82" s="62" t="n"/>
    </row>
    <row r="83">
      <c r="A83" s="38">
        <f>IF(D83="","",COUNTA($D$71:D83))</f>
        <v/>
      </c>
      <c r="B83" s="52" t="n"/>
      <c r="C83" s="68" t="inlineStr">
        <is>
          <t>마케팅3팀</t>
        </is>
      </c>
      <c r="D83" s="52" t="n"/>
      <c r="E83" s="54" t="n"/>
      <c r="F83" s="52" t="n"/>
      <c r="G83" s="55" t="n"/>
      <c r="H83" s="54" t="n"/>
      <c r="I83" s="54" t="n"/>
      <c r="J83" s="54" t="n"/>
      <c r="K83" s="56">
        <f>IF(SUM(U83:AY83)=0,"",SUM(U83:AY83))</f>
        <v/>
      </c>
      <c r="L83" s="57">
        <f>IFERROR(INDEX(U$2:AY$2,MATCH(TRUE,U83:AY83&lt;&gt;"",0)),"")</f>
        <v/>
      </c>
      <c r="M83" s="58">
        <f>IFERROR(LOOKUP(2,1/(U83:AY83&lt;&gt;""),U$2:AY$2),"")</f>
        <v/>
      </c>
      <c r="N83" s="59">
        <f>IF(OR(G83="",M83=""),"",G83-M83)</f>
        <v/>
      </c>
      <c r="O83" s="60" t="n"/>
      <c r="P83" s="61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  <c r="AG83" s="62" t="n"/>
      <c r="AH83" s="62" t="n"/>
      <c r="AI83" s="62" t="n"/>
      <c r="AJ83" s="62" t="n"/>
      <c r="AK83" s="62" t="n"/>
      <c r="AL83" s="62" t="n"/>
      <c r="AM83" s="62" t="n"/>
      <c r="AN83" s="62" t="n"/>
      <c r="AO83" s="62" t="n"/>
      <c r="AP83" s="62" t="n"/>
      <c r="AQ83" s="62" t="n"/>
      <c r="AR83" s="62" t="n"/>
      <c r="AS83" s="62" t="n"/>
      <c r="AT83" s="62" t="n"/>
      <c r="AU83" s="62" t="n"/>
      <c r="AV83" s="62" t="n"/>
      <c r="AW83" s="62" t="n"/>
      <c r="AX83" s="62" t="n"/>
      <c r="AY83" s="62" t="n"/>
    </row>
    <row r="84">
      <c r="A84" s="38">
        <f>IF(D84="","",COUNTA($D$71:D84))</f>
        <v/>
      </c>
      <c r="B84" s="52" t="n"/>
      <c r="C84" s="68" t="inlineStr">
        <is>
          <t>마케팅3팀</t>
        </is>
      </c>
      <c r="D84" s="52" t="n"/>
      <c r="E84" s="54" t="n"/>
      <c r="F84" s="52" t="n"/>
      <c r="G84" s="55" t="n"/>
      <c r="H84" s="54" t="n"/>
      <c r="I84" s="54" t="n"/>
      <c r="J84" s="54" t="n"/>
      <c r="K84" s="56">
        <f>IF(SUM(U84:AY84)=0,"",SUM(U84:AY84))</f>
        <v/>
      </c>
      <c r="L84" s="57">
        <f>IFERROR(INDEX(U$2:AY$2,MATCH(TRUE,U84:AY84&lt;&gt;"",0)),"")</f>
        <v/>
      </c>
      <c r="M84" s="58">
        <f>IFERROR(LOOKUP(2,1/(U84:AY84&lt;&gt;""),U$2:AY$2),"")</f>
        <v/>
      </c>
      <c r="N84" s="59">
        <f>IF(OR(G84="",M84=""),"",G84-M84)</f>
        <v/>
      </c>
      <c r="O84" s="60" t="n"/>
      <c r="P84" s="61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  <c r="AG84" s="62" t="n"/>
      <c r="AH84" s="62" t="n"/>
      <c r="AI84" s="62" t="n"/>
      <c r="AJ84" s="62" t="n"/>
      <c r="AK84" s="62" t="n"/>
      <c r="AL84" s="62" t="n"/>
      <c r="AM84" s="62" t="n"/>
      <c r="AN84" s="62" t="n"/>
      <c r="AO84" s="62" t="n"/>
      <c r="AP84" s="62" t="n"/>
      <c r="AQ84" s="62" t="n"/>
      <c r="AR84" s="62" t="n"/>
      <c r="AS84" s="62" t="n"/>
      <c r="AT84" s="62" t="n"/>
      <c r="AU84" s="62" t="n"/>
      <c r="AV84" s="62" t="n"/>
      <c r="AW84" s="62" t="n"/>
      <c r="AX84" s="62" t="n"/>
      <c r="AY84" s="62" t="n"/>
    </row>
    <row r="85">
      <c r="A85" s="38">
        <f>IF(D85="","",COUNTA($D$71:D85))</f>
        <v/>
      </c>
      <c r="B85" s="52" t="n"/>
      <c r="C85" s="68" t="inlineStr">
        <is>
          <t>마케팅3팀</t>
        </is>
      </c>
      <c r="D85" s="52" t="n"/>
      <c r="E85" s="54" t="n"/>
      <c r="F85" s="52" t="n"/>
      <c r="G85" s="55" t="n"/>
      <c r="H85" s="54" t="n"/>
      <c r="I85" s="54" t="n"/>
      <c r="J85" s="54" t="n"/>
      <c r="K85" s="56">
        <f>IF(SUM(U85:AY85)=0,"",SUM(U85:AY85))</f>
        <v/>
      </c>
      <c r="L85" s="57">
        <f>IFERROR(INDEX(U$2:AY$2,MATCH(TRUE,U85:AY85&lt;&gt;"",0)),"")</f>
        <v/>
      </c>
      <c r="M85" s="58">
        <f>IFERROR(LOOKUP(2,1/(U85:AY85&lt;&gt;""),U$2:AY$2),"")</f>
        <v/>
      </c>
      <c r="N85" s="59">
        <f>IF(OR(G85="",M85=""),"",G85-M85)</f>
        <v/>
      </c>
      <c r="O85" s="60" t="n"/>
      <c r="P85" s="61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  <c r="AG85" s="62" t="n"/>
      <c r="AH85" s="62" t="n"/>
      <c r="AI85" s="62" t="n"/>
      <c r="AJ85" s="62" t="n"/>
      <c r="AK85" s="62" t="n"/>
      <c r="AL85" s="62" t="n"/>
      <c r="AM85" s="62" t="n"/>
      <c r="AN85" s="62" t="n"/>
      <c r="AO85" s="62" t="n"/>
      <c r="AP85" s="62" t="n"/>
      <c r="AQ85" s="62" t="n"/>
      <c r="AR85" s="62" t="n"/>
      <c r="AS85" s="62" t="n"/>
      <c r="AT85" s="62" t="n"/>
      <c r="AU85" s="62" t="n"/>
      <c r="AV85" s="62" t="n"/>
      <c r="AW85" s="62" t="n"/>
      <c r="AX85" s="62" t="n"/>
      <c r="AY85" s="62" t="n"/>
    </row>
    <row r="86">
      <c r="A86" s="38">
        <f>IF(D86="","",COUNTA($D$71:D86))</f>
        <v/>
      </c>
      <c r="B86" s="52" t="n"/>
      <c r="C86" s="68" t="inlineStr">
        <is>
          <t>마케팅3팀</t>
        </is>
      </c>
      <c r="D86" s="52" t="n"/>
      <c r="E86" s="54" t="n"/>
      <c r="F86" s="52" t="n"/>
      <c r="G86" s="55" t="n"/>
      <c r="H86" s="54" t="n"/>
      <c r="I86" s="54" t="n"/>
      <c r="J86" s="54" t="n"/>
      <c r="K86" s="56">
        <f>IF(SUM(U86:AY86)=0,"",SUM(U86:AY86))</f>
        <v/>
      </c>
      <c r="L86" s="57">
        <f>IFERROR(INDEX(U$2:AY$2,MATCH(TRUE,U86:AY86&lt;&gt;"",0)),"")</f>
        <v/>
      </c>
      <c r="M86" s="58">
        <f>IFERROR(LOOKUP(2,1/(U86:AY86&lt;&gt;""),U$2:AY$2),"")</f>
        <v/>
      </c>
      <c r="N86" s="59">
        <f>IF(OR(G86="",M86=""),"",G86-M86)</f>
        <v/>
      </c>
      <c r="O86" s="60" t="n"/>
      <c r="P86" s="61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  <c r="AG86" s="62" t="n"/>
      <c r="AH86" s="62" t="n"/>
      <c r="AI86" s="62" t="n"/>
      <c r="AJ86" s="62" t="n"/>
      <c r="AK86" s="62" t="n"/>
      <c r="AL86" s="62" t="n"/>
      <c r="AM86" s="62" t="n"/>
      <c r="AN86" s="62" t="n"/>
      <c r="AO86" s="62" t="n"/>
      <c r="AP86" s="62" t="n"/>
      <c r="AQ86" s="62" t="n"/>
      <c r="AR86" s="62" t="n"/>
      <c r="AS86" s="62" t="n"/>
      <c r="AT86" s="62" t="n"/>
      <c r="AU86" s="62" t="n"/>
      <c r="AV86" s="62" t="n"/>
      <c r="AW86" s="62" t="n"/>
      <c r="AX86" s="62" t="n"/>
      <c r="AY86" s="62" t="n"/>
    </row>
    <row r="87">
      <c r="A87" s="38">
        <f>IF(D87="","",COUNTA($D$71:D87))</f>
        <v/>
      </c>
      <c r="B87" s="52" t="n"/>
      <c r="C87" s="68" t="inlineStr">
        <is>
          <t>마케팅3팀</t>
        </is>
      </c>
      <c r="D87" s="52" t="n"/>
      <c r="E87" s="54" t="n"/>
      <c r="F87" s="52" t="n"/>
      <c r="G87" s="55" t="n"/>
      <c r="H87" s="54" t="n"/>
      <c r="I87" s="54" t="n"/>
      <c r="J87" s="54" t="n"/>
      <c r="K87" s="56">
        <f>IF(SUM(U87:AY87)=0,"",SUM(U87:AY87))</f>
        <v/>
      </c>
      <c r="L87" s="57">
        <f>IFERROR(INDEX(U$2:AY$2,MATCH(TRUE,U87:AY87&lt;&gt;"",0)),"")</f>
        <v/>
      </c>
      <c r="M87" s="58">
        <f>IFERROR(LOOKUP(2,1/(U87:AY87&lt;&gt;""),U$2:AY$2),"")</f>
        <v/>
      </c>
      <c r="N87" s="59">
        <f>IF(OR(G87="",M87=""),"",G87-M87)</f>
        <v/>
      </c>
      <c r="O87" s="60" t="n"/>
      <c r="P87" s="61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  <c r="AG87" s="62" t="n"/>
      <c r="AH87" s="62" t="n"/>
      <c r="AI87" s="62" t="n"/>
      <c r="AJ87" s="62" t="n"/>
      <c r="AK87" s="62" t="n"/>
      <c r="AL87" s="62" t="n"/>
      <c r="AM87" s="62" t="n"/>
      <c r="AN87" s="62" t="n"/>
      <c r="AO87" s="62" t="n"/>
      <c r="AP87" s="62" t="n"/>
      <c r="AQ87" s="62" t="n"/>
      <c r="AR87" s="62" t="n"/>
      <c r="AS87" s="62" t="n"/>
      <c r="AT87" s="62" t="n"/>
      <c r="AU87" s="62" t="n"/>
      <c r="AV87" s="62" t="n"/>
      <c r="AW87" s="62" t="n"/>
      <c r="AX87" s="62" t="n"/>
      <c r="AY87" s="62" t="n"/>
    </row>
    <row r="88">
      <c r="A88" s="38">
        <f>IF(D88="","",COUNTA($D$71:D88))</f>
        <v/>
      </c>
      <c r="B88" s="52" t="n"/>
      <c r="C88" s="68" t="inlineStr">
        <is>
          <t>마케팅3팀</t>
        </is>
      </c>
      <c r="D88" s="52" t="n"/>
      <c r="E88" s="54" t="n"/>
      <c r="F88" s="52" t="n"/>
      <c r="G88" s="55" t="n"/>
      <c r="H88" s="54" t="n"/>
      <c r="I88" s="54" t="n"/>
      <c r="J88" s="54" t="n"/>
      <c r="K88" s="56">
        <f>IF(SUM(U88:AY88)=0,"",SUM(U88:AY88))</f>
        <v/>
      </c>
      <c r="L88" s="57">
        <f>IFERROR(INDEX(U$2:AY$2,MATCH(TRUE,U88:AY88&lt;&gt;"",0)),"")</f>
        <v/>
      </c>
      <c r="M88" s="58">
        <f>IFERROR(LOOKUP(2,1/(U88:AY88&lt;&gt;""),U$2:AY$2),"")</f>
        <v/>
      </c>
      <c r="N88" s="59">
        <f>IF(OR(G88="",M88=""),"",G88-M88)</f>
        <v/>
      </c>
      <c r="O88" s="60" t="n"/>
      <c r="P88" s="61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  <c r="AG88" s="62" t="n"/>
      <c r="AH88" s="62" t="n"/>
      <c r="AI88" s="62" t="n"/>
      <c r="AJ88" s="62" t="n"/>
      <c r="AK88" s="62" t="n"/>
      <c r="AL88" s="62" t="n"/>
      <c r="AM88" s="62" t="n"/>
      <c r="AN88" s="62" t="n"/>
      <c r="AO88" s="62" t="n"/>
      <c r="AP88" s="62" t="n"/>
      <c r="AQ88" s="62" t="n"/>
      <c r="AR88" s="62" t="n"/>
      <c r="AS88" s="62" t="n"/>
      <c r="AT88" s="62" t="n"/>
      <c r="AU88" s="62" t="n"/>
      <c r="AV88" s="62" t="n"/>
      <c r="AW88" s="62" t="n"/>
      <c r="AX88" s="62" t="n"/>
      <c r="AY88" s="62" t="n"/>
    </row>
    <row r="89">
      <c r="A89" s="38">
        <f>IF(D89="","",COUNTA($D$71:D89))</f>
        <v/>
      </c>
      <c r="B89" s="52" t="n"/>
      <c r="C89" s="68" t="inlineStr">
        <is>
          <t>마케팅3팀</t>
        </is>
      </c>
      <c r="D89" s="52" t="n"/>
      <c r="E89" s="54" t="n"/>
      <c r="F89" s="52" t="n"/>
      <c r="G89" s="55" t="n"/>
      <c r="H89" s="54" t="n"/>
      <c r="I89" s="54" t="n"/>
      <c r="J89" s="54" t="n"/>
      <c r="K89" s="56">
        <f>IF(SUM(U89:AY89)=0,"",SUM(U89:AY89))</f>
        <v/>
      </c>
      <c r="L89" s="57">
        <f>IFERROR(INDEX(U$2:AY$2,MATCH(TRUE,U89:AY89&lt;&gt;"",0)),"")</f>
        <v/>
      </c>
      <c r="M89" s="58">
        <f>IFERROR(LOOKUP(2,1/(U89:AY89&lt;&gt;""),U$2:AY$2),"")</f>
        <v/>
      </c>
      <c r="N89" s="59">
        <f>IF(OR(G89="",M89=""),"",G89-M89)</f>
        <v/>
      </c>
      <c r="O89" s="60" t="n"/>
      <c r="P89" s="61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  <c r="AG89" s="62" t="n"/>
      <c r="AH89" s="62" t="n"/>
      <c r="AI89" s="62" t="n"/>
      <c r="AJ89" s="62" t="n"/>
      <c r="AK89" s="62" t="n"/>
      <c r="AL89" s="62" t="n"/>
      <c r="AM89" s="62" t="n"/>
      <c r="AN89" s="62" t="n"/>
      <c r="AO89" s="62" t="n"/>
      <c r="AP89" s="62" t="n"/>
      <c r="AQ89" s="62" t="n"/>
      <c r="AR89" s="62" t="n"/>
      <c r="AS89" s="62" t="n"/>
      <c r="AT89" s="62" t="n"/>
      <c r="AU89" s="62" t="n"/>
      <c r="AV89" s="62" t="n"/>
      <c r="AW89" s="62" t="n"/>
      <c r="AX89" s="62" t="n"/>
      <c r="AY89" s="62" t="n"/>
    </row>
    <row r="90">
      <c r="A90" s="38">
        <f>IF(D90="","",COUNTA($D$71:D90))</f>
        <v/>
      </c>
      <c r="B90" s="52" t="n"/>
      <c r="C90" s="68" t="inlineStr">
        <is>
          <t>마케팅3팀</t>
        </is>
      </c>
      <c r="D90" s="52" t="n"/>
      <c r="E90" s="54" t="n"/>
      <c r="F90" s="52" t="n"/>
      <c r="G90" s="55" t="n"/>
      <c r="H90" s="54" t="n"/>
      <c r="I90" s="54" t="n"/>
      <c r="J90" s="54" t="n"/>
      <c r="K90" s="56">
        <f>IF(SUM(U90:AY90)=0,"",SUM(U90:AY90))</f>
        <v/>
      </c>
      <c r="L90" s="57">
        <f>IFERROR(INDEX(U$2:AY$2,MATCH(TRUE,U90:AY90&lt;&gt;"",0)),"")</f>
        <v/>
      </c>
      <c r="M90" s="58">
        <f>IFERROR(LOOKUP(2,1/(U90:AY90&lt;&gt;""),U$2:AY$2),"")</f>
        <v/>
      </c>
      <c r="N90" s="59">
        <f>IF(OR(G90="",M90=""),"",G90-M90)</f>
        <v/>
      </c>
      <c r="O90" s="60" t="n"/>
      <c r="P90" s="61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  <c r="AG90" s="62" t="n"/>
      <c r="AH90" s="62" t="n"/>
      <c r="AI90" s="62" t="n"/>
      <c r="AJ90" s="62" t="n"/>
      <c r="AK90" s="62" t="n"/>
      <c r="AL90" s="62" t="n"/>
      <c r="AM90" s="62" t="n"/>
      <c r="AN90" s="62" t="n"/>
      <c r="AO90" s="62" t="n"/>
      <c r="AP90" s="62" t="n"/>
      <c r="AQ90" s="62" t="n"/>
      <c r="AR90" s="62" t="n"/>
      <c r="AS90" s="62" t="n"/>
      <c r="AT90" s="62" t="n"/>
      <c r="AU90" s="62" t="n"/>
      <c r="AV90" s="62" t="n"/>
      <c r="AW90" s="62" t="n"/>
      <c r="AX90" s="62" t="n"/>
      <c r="AY90" s="62" t="n"/>
    </row>
    <row r="91">
      <c r="A91" s="38">
        <f>IF(D91="","",COUNTA($D$71:D91))</f>
        <v/>
      </c>
      <c r="B91" s="52" t="n"/>
      <c r="C91" s="68" t="inlineStr">
        <is>
          <t>마케팅3팀</t>
        </is>
      </c>
      <c r="D91" s="52" t="n"/>
      <c r="E91" s="54" t="n"/>
      <c r="F91" s="52" t="n"/>
      <c r="G91" s="55" t="n"/>
      <c r="H91" s="54" t="n"/>
      <c r="I91" s="54" t="n"/>
      <c r="J91" s="54" t="n"/>
      <c r="K91" s="56">
        <f>IF(SUM(U91:AY91)=0,"",SUM(U91:AY91))</f>
        <v/>
      </c>
      <c r="L91" s="57">
        <f>IFERROR(INDEX(U$2:AY$2,MATCH(TRUE,U91:AY91&lt;&gt;"",0)),"")</f>
        <v/>
      </c>
      <c r="M91" s="58">
        <f>IFERROR(LOOKUP(2,1/(U91:AY91&lt;&gt;""),U$2:AY$2),"")</f>
        <v/>
      </c>
      <c r="N91" s="59">
        <f>IF(OR(G91="",M91=""),"",G91-M91)</f>
        <v/>
      </c>
      <c r="O91" s="60" t="n"/>
      <c r="P91" s="61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  <c r="AG91" s="62" t="n"/>
      <c r="AH91" s="62" t="n"/>
      <c r="AI91" s="62" t="n"/>
      <c r="AJ91" s="62" t="n"/>
      <c r="AK91" s="62" t="n"/>
      <c r="AL91" s="62" t="n"/>
      <c r="AM91" s="62" t="n"/>
      <c r="AN91" s="62" t="n"/>
      <c r="AO91" s="62" t="n"/>
      <c r="AP91" s="62" t="n"/>
      <c r="AQ91" s="62" t="n"/>
      <c r="AR91" s="62" t="n"/>
      <c r="AS91" s="62" t="n"/>
      <c r="AT91" s="62" t="n"/>
      <c r="AU91" s="62" t="n"/>
      <c r="AV91" s="62" t="n"/>
      <c r="AW91" s="62" t="n"/>
      <c r="AX91" s="62" t="n"/>
      <c r="AY91" s="62" t="n"/>
    </row>
    <row r="92">
      <c r="A92" s="38">
        <f>IF(D92="","",COUNTA($D$71:D92))</f>
        <v/>
      </c>
      <c r="B92" s="52" t="n"/>
      <c r="C92" s="68" t="inlineStr">
        <is>
          <t>마케팅3팀</t>
        </is>
      </c>
      <c r="D92" s="52" t="n"/>
      <c r="E92" s="54" t="n"/>
      <c r="F92" s="52" t="n"/>
      <c r="G92" s="55" t="n"/>
      <c r="H92" s="54" t="n"/>
      <c r="I92" s="54" t="n"/>
      <c r="J92" s="54" t="n"/>
      <c r="K92" s="56">
        <f>IF(SUM(U92:AY92)=0,"",SUM(U92:AY92))</f>
        <v/>
      </c>
      <c r="L92" s="57">
        <f>IFERROR(INDEX(U$2:AY$2,MATCH(TRUE,U92:AY92&lt;&gt;"",0)),"")</f>
        <v/>
      </c>
      <c r="M92" s="58">
        <f>IFERROR(LOOKUP(2,1/(U92:AY92&lt;&gt;""),U$2:AY$2),"")</f>
        <v/>
      </c>
      <c r="N92" s="59">
        <f>IF(OR(G92="",M92=""),"",G92-M92)</f>
        <v/>
      </c>
      <c r="O92" s="60" t="n"/>
      <c r="P92" s="61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  <c r="AG92" s="62" t="n"/>
      <c r="AH92" s="62" t="n"/>
      <c r="AI92" s="62" t="n"/>
      <c r="AJ92" s="62" t="n"/>
      <c r="AK92" s="62" t="n"/>
      <c r="AL92" s="62" t="n"/>
      <c r="AM92" s="62" t="n"/>
      <c r="AN92" s="62" t="n"/>
      <c r="AO92" s="62" t="n"/>
      <c r="AP92" s="62" t="n"/>
      <c r="AQ92" s="62" t="n"/>
      <c r="AR92" s="62" t="n"/>
      <c r="AS92" s="62" t="n"/>
      <c r="AT92" s="62" t="n"/>
      <c r="AU92" s="62" t="n"/>
      <c r="AV92" s="62" t="n"/>
      <c r="AW92" s="62" t="n"/>
      <c r="AX92" s="62" t="n"/>
      <c r="AY92" s="62" t="n"/>
    </row>
    <row r="93">
      <c r="A93" s="38">
        <f>IF(D93="","",COUNTA($D$71:D93))</f>
        <v/>
      </c>
      <c r="B93" s="52" t="n"/>
      <c r="C93" s="68" t="inlineStr">
        <is>
          <t>마케팅3팀</t>
        </is>
      </c>
      <c r="D93" s="52" t="n"/>
      <c r="E93" s="54" t="n"/>
      <c r="F93" s="52" t="n"/>
      <c r="G93" s="55" t="n"/>
      <c r="H93" s="54" t="n"/>
      <c r="I93" s="54" t="n"/>
      <c r="J93" s="54" t="n"/>
      <c r="K93" s="56">
        <f>IF(SUM(U93:AY93)=0,"",SUM(U93:AY93))</f>
        <v/>
      </c>
      <c r="L93" s="57">
        <f>IFERROR(INDEX(U$2:AY$2,MATCH(TRUE,U93:AY93&lt;&gt;"",0)),"")</f>
        <v/>
      </c>
      <c r="M93" s="58">
        <f>IFERROR(LOOKUP(2,1/(U93:AY93&lt;&gt;""),U$2:AY$2),"")</f>
        <v/>
      </c>
      <c r="N93" s="59">
        <f>IF(OR(G93="",M93=""),"",G93-M93)</f>
        <v/>
      </c>
      <c r="O93" s="60" t="n"/>
      <c r="P93" s="61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  <c r="AG93" s="62" t="n"/>
      <c r="AH93" s="62" t="n"/>
      <c r="AI93" s="62" t="n"/>
      <c r="AJ93" s="62" t="n"/>
      <c r="AK93" s="62" t="n"/>
      <c r="AL93" s="62" t="n"/>
      <c r="AM93" s="62" t="n"/>
      <c r="AN93" s="62" t="n"/>
      <c r="AO93" s="62" t="n"/>
      <c r="AP93" s="62" t="n"/>
      <c r="AQ93" s="62" t="n"/>
      <c r="AR93" s="62" t="n"/>
      <c r="AS93" s="62" t="n"/>
      <c r="AT93" s="62" t="n"/>
      <c r="AU93" s="62" t="n"/>
      <c r="AV93" s="62" t="n"/>
      <c r="AW93" s="62" t="n"/>
      <c r="AX93" s="62" t="n"/>
      <c r="AY93" s="62" t="n"/>
    </row>
    <row r="94">
      <c r="A94" s="38">
        <f>IF(D94="","",COUNTA($D$71:D94))</f>
        <v/>
      </c>
      <c r="B94" s="52" t="n"/>
      <c r="C94" s="68" t="inlineStr">
        <is>
          <t>마케팅3팀</t>
        </is>
      </c>
      <c r="D94" s="52" t="n"/>
      <c r="E94" s="54" t="n"/>
      <c r="F94" s="52" t="n"/>
      <c r="G94" s="55" t="n"/>
      <c r="H94" s="54" t="n"/>
      <c r="I94" s="54" t="n"/>
      <c r="J94" s="54" t="n"/>
      <c r="K94" s="56">
        <f>IF(SUM(U94:AY94)=0,"",SUM(U94:AY94))</f>
        <v/>
      </c>
      <c r="L94" s="57">
        <f>IFERROR(INDEX(U$2:AY$2,MATCH(TRUE,U94:AY94&lt;&gt;"",0)),"")</f>
        <v/>
      </c>
      <c r="M94" s="58">
        <f>IFERROR(LOOKUP(2,1/(U94:AY94&lt;&gt;""),U$2:AY$2),"")</f>
        <v/>
      </c>
      <c r="N94" s="59">
        <f>IF(OR(G94="",M94=""),"",G94-M94)</f>
        <v/>
      </c>
      <c r="O94" s="60" t="n"/>
      <c r="P94" s="61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  <c r="AG94" s="62" t="n"/>
      <c r="AH94" s="62" t="n"/>
      <c r="AI94" s="62" t="n"/>
      <c r="AJ94" s="62" t="n"/>
      <c r="AK94" s="62" t="n"/>
      <c r="AL94" s="62" t="n"/>
      <c r="AM94" s="62" t="n"/>
      <c r="AN94" s="62" t="n"/>
      <c r="AO94" s="62" t="n"/>
      <c r="AP94" s="62" t="n"/>
      <c r="AQ94" s="62" t="n"/>
      <c r="AR94" s="62" t="n"/>
      <c r="AS94" s="62" t="n"/>
      <c r="AT94" s="62" t="n"/>
      <c r="AU94" s="62" t="n"/>
      <c r="AV94" s="62" t="n"/>
      <c r="AW94" s="62" t="n"/>
      <c r="AX94" s="62" t="n"/>
      <c r="AY94" s="62" t="n"/>
    </row>
    <row r="95">
      <c r="A95" s="38">
        <f>IF(D95="","",COUNTA($D$71:D95))</f>
        <v/>
      </c>
      <c r="B95" s="52" t="n"/>
      <c r="C95" s="68" t="inlineStr">
        <is>
          <t>마케팅3팀</t>
        </is>
      </c>
      <c r="D95" s="52" t="n"/>
      <c r="E95" s="54" t="n"/>
      <c r="F95" s="52" t="n"/>
      <c r="G95" s="55" t="n"/>
      <c r="H95" s="54" t="n"/>
      <c r="I95" s="54" t="n"/>
      <c r="J95" s="54" t="n"/>
      <c r="K95" s="56">
        <f>IF(SUM(U95:AY95)=0,"",SUM(U95:AY95))</f>
        <v/>
      </c>
      <c r="L95" s="57">
        <f>IFERROR(INDEX(U$2:AY$2,MATCH(TRUE,U95:AY95&lt;&gt;"",0)),"")</f>
        <v/>
      </c>
      <c r="M95" s="58">
        <f>IFERROR(LOOKUP(2,1/(U95:AY95&lt;&gt;""),U$2:AY$2),"")</f>
        <v/>
      </c>
      <c r="N95" s="59">
        <f>IF(OR(G95="",M95=""),"",G95-M95)</f>
        <v/>
      </c>
      <c r="O95" s="60" t="n"/>
      <c r="P95" s="61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  <c r="AG95" s="62" t="n"/>
      <c r="AH95" s="62" t="n"/>
      <c r="AI95" s="62" t="n"/>
      <c r="AJ95" s="62" t="n"/>
      <c r="AK95" s="62" t="n"/>
      <c r="AL95" s="62" t="n"/>
      <c r="AM95" s="62" t="n"/>
      <c r="AN95" s="62" t="n"/>
      <c r="AO95" s="62" t="n"/>
      <c r="AP95" s="62" t="n"/>
      <c r="AQ95" s="62" t="n"/>
      <c r="AR95" s="62" t="n"/>
      <c r="AS95" s="62" t="n"/>
      <c r="AT95" s="62" t="n"/>
      <c r="AU95" s="62" t="n"/>
      <c r="AV95" s="62" t="n"/>
      <c r="AW95" s="62" t="n"/>
      <c r="AX95" s="62" t="n"/>
      <c r="AY95" s="62" t="n"/>
    </row>
    <row r="96">
      <c r="A96" s="38">
        <f>IF(D96="","",COUNTA($D$71:D96))</f>
        <v/>
      </c>
      <c r="B96" s="52" t="n"/>
      <c r="C96" s="68" t="inlineStr">
        <is>
          <t>마케팅3팀</t>
        </is>
      </c>
      <c r="D96" s="52" t="n"/>
      <c r="E96" s="54" t="n"/>
      <c r="F96" s="52" t="n"/>
      <c r="G96" s="55" t="n"/>
      <c r="H96" s="54" t="n"/>
      <c r="I96" s="54" t="n"/>
      <c r="J96" s="54" t="n"/>
      <c r="K96" s="56">
        <f>IF(SUM(U96:AY96)=0,"",SUM(U96:AY96))</f>
        <v/>
      </c>
      <c r="L96" s="57">
        <f>IFERROR(INDEX(U$2:AY$2,MATCH(TRUE,U96:AY96&lt;&gt;"",0)),"")</f>
        <v/>
      </c>
      <c r="M96" s="58">
        <f>IFERROR(LOOKUP(2,1/(U96:AY96&lt;&gt;""),U$2:AY$2),"")</f>
        <v/>
      </c>
      <c r="N96" s="59">
        <f>IF(OR(G96="",M96=""),"",G96-M96)</f>
        <v/>
      </c>
      <c r="O96" s="60" t="n"/>
      <c r="P96" s="61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  <c r="AG96" s="62" t="n"/>
      <c r="AH96" s="62" t="n"/>
      <c r="AI96" s="62" t="n"/>
      <c r="AJ96" s="62" t="n"/>
      <c r="AK96" s="62" t="n"/>
      <c r="AL96" s="62" t="n"/>
      <c r="AM96" s="62" t="n"/>
      <c r="AN96" s="62" t="n"/>
      <c r="AO96" s="62" t="n"/>
      <c r="AP96" s="62" t="n"/>
      <c r="AQ96" s="62" t="n"/>
      <c r="AR96" s="62" t="n"/>
      <c r="AS96" s="62" t="n"/>
      <c r="AT96" s="62" t="n"/>
      <c r="AU96" s="62" t="n"/>
      <c r="AV96" s="62" t="n"/>
      <c r="AW96" s="62" t="n"/>
      <c r="AX96" s="62" t="n"/>
      <c r="AY96" s="62" t="n"/>
    </row>
    <row r="97">
      <c r="A97" s="38">
        <f>IF(D97="","",COUNTA($D$71:D97))</f>
        <v/>
      </c>
      <c r="B97" s="52" t="n"/>
      <c r="C97" s="68" t="inlineStr">
        <is>
          <t>마케팅3팀</t>
        </is>
      </c>
      <c r="D97" s="52" t="n"/>
      <c r="E97" s="54" t="n"/>
      <c r="F97" s="52" t="n"/>
      <c r="G97" s="55" t="n"/>
      <c r="H97" s="54" t="n"/>
      <c r="I97" s="54" t="n"/>
      <c r="J97" s="54" t="n"/>
      <c r="K97" s="56">
        <f>IF(SUM(U97:AY97)=0,"",SUM(U97:AY97))</f>
        <v/>
      </c>
      <c r="L97" s="57">
        <f>IFERROR(INDEX(U$2:AY$2,MATCH(TRUE,U97:AY97&lt;&gt;"",0)),"")</f>
        <v/>
      </c>
      <c r="M97" s="58">
        <f>IFERROR(LOOKUP(2,1/(U97:AY97&lt;&gt;""),U$2:AY$2),"")</f>
        <v/>
      </c>
      <c r="N97" s="59">
        <f>IF(OR(G97="",M97=""),"",G97-M97)</f>
        <v/>
      </c>
      <c r="O97" s="60" t="n"/>
      <c r="P97" s="61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  <c r="AG97" s="62" t="n"/>
      <c r="AH97" s="62" t="n"/>
      <c r="AI97" s="62" t="n"/>
      <c r="AJ97" s="62" t="n"/>
      <c r="AK97" s="62" t="n"/>
      <c r="AL97" s="62" t="n"/>
      <c r="AM97" s="62" t="n"/>
      <c r="AN97" s="62" t="n"/>
      <c r="AO97" s="62" t="n"/>
      <c r="AP97" s="62" t="n"/>
      <c r="AQ97" s="62" t="n"/>
      <c r="AR97" s="62" t="n"/>
      <c r="AS97" s="62" t="n"/>
      <c r="AT97" s="62" t="n"/>
      <c r="AU97" s="62" t="n"/>
      <c r="AV97" s="62" t="n"/>
      <c r="AW97" s="62" t="n"/>
      <c r="AX97" s="62" t="n"/>
      <c r="AY97" s="62" t="n"/>
    </row>
    <row r="98">
      <c r="A98" s="38">
        <f>IF(D98="","",COUNTA($D$71:D98))</f>
        <v/>
      </c>
      <c r="B98" s="52" t="n"/>
      <c r="C98" s="68" t="inlineStr">
        <is>
          <t>마케팅3팀</t>
        </is>
      </c>
      <c r="D98" s="52" t="n"/>
      <c r="E98" s="54" t="n"/>
      <c r="F98" s="52" t="n"/>
      <c r="G98" s="55" t="n"/>
      <c r="H98" s="54" t="n"/>
      <c r="I98" s="54" t="n"/>
      <c r="J98" s="54" t="n"/>
      <c r="K98" s="56">
        <f>IF(SUM(U98:AY98)=0,"",SUM(U98:AY98))</f>
        <v/>
      </c>
      <c r="L98" s="57">
        <f>IFERROR(INDEX(U$2:AY$2,MATCH(TRUE,U98:AY98&lt;&gt;"",0)),"")</f>
        <v/>
      </c>
      <c r="M98" s="58">
        <f>IFERROR(LOOKUP(2,1/(U98:AY98&lt;&gt;""),U$2:AY$2),"")</f>
        <v/>
      </c>
      <c r="N98" s="59">
        <f>IF(OR(G98="",M98=""),"",G98-M98)</f>
        <v/>
      </c>
      <c r="O98" s="60" t="n"/>
      <c r="P98" s="61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  <c r="AG98" s="62" t="n"/>
      <c r="AH98" s="62" t="n"/>
      <c r="AI98" s="62" t="n"/>
      <c r="AJ98" s="62" t="n"/>
      <c r="AK98" s="62" t="n"/>
      <c r="AL98" s="62" t="n"/>
      <c r="AM98" s="62" t="n"/>
      <c r="AN98" s="62" t="n"/>
      <c r="AO98" s="62" t="n"/>
      <c r="AP98" s="62" t="n"/>
      <c r="AQ98" s="62" t="n"/>
      <c r="AR98" s="62" t="n"/>
      <c r="AS98" s="62" t="n"/>
      <c r="AT98" s="62" t="n"/>
      <c r="AU98" s="62" t="n"/>
      <c r="AV98" s="62" t="n"/>
      <c r="AW98" s="62" t="n"/>
      <c r="AX98" s="62" t="n"/>
      <c r="AY98" s="62" t="n"/>
    </row>
    <row r="99">
      <c r="A99" s="38">
        <f>IF(D99="","",COUNTA($D$71:D99))</f>
        <v/>
      </c>
      <c r="B99" s="52" t="n"/>
      <c r="C99" s="68" t="inlineStr">
        <is>
          <t>마케팅3팀</t>
        </is>
      </c>
      <c r="D99" s="52" t="n"/>
      <c r="E99" s="54" t="n"/>
      <c r="F99" s="52" t="n"/>
      <c r="G99" s="55" t="n"/>
      <c r="H99" s="54" t="n"/>
      <c r="I99" s="54" t="n"/>
      <c r="J99" s="54" t="n"/>
      <c r="K99" s="56">
        <f>IF(SUM(U99:AY99)=0,"",SUM(U99:AY99))</f>
        <v/>
      </c>
      <c r="L99" s="57">
        <f>IFERROR(INDEX(U$2:AY$2,MATCH(TRUE,U99:AY99&lt;&gt;"",0)),"")</f>
        <v/>
      </c>
      <c r="M99" s="58">
        <f>IFERROR(LOOKUP(2,1/(U99:AY99&lt;&gt;""),U$2:AY$2),"")</f>
        <v/>
      </c>
      <c r="N99" s="59">
        <f>IF(OR(G99="",M99=""),"",G99-M99)</f>
        <v/>
      </c>
      <c r="O99" s="60" t="n"/>
      <c r="P99" s="61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  <c r="AG99" s="62" t="n"/>
      <c r="AH99" s="62" t="n"/>
      <c r="AI99" s="62" t="n"/>
      <c r="AJ99" s="62" t="n"/>
      <c r="AK99" s="62" t="n"/>
      <c r="AL99" s="62" t="n"/>
      <c r="AM99" s="62" t="n"/>
      <c r="AN99" s="62" t="n"/>
      <c r="AO99" s="62" t="n"/>
      <c r="AP99" s="62" t="n"/>
      <c r="AQ99" s="62" t="n"/>
      <c r="AR99" s="62" t="n"/>
      <c r="AS99" s="62" t="n"/>
      <c r="AT99" s="62" t="n"/>
      <c r="AU99" s="62" t="n"/>
      <c r="AV99" s="62" t="n"/>
      <c r="AW99" s="62" t="n"/>
      <c r="AX99" s="62" t="n"/>
      <c r="AY99" s="62" t="n"/>
    </row>
    <row r="100">
      <c r="A100" s="38">
        <f>IF(D100="","",COUNTA($D$71:D100))</f>
        <v/>
      </c>
      <c r="B100" s="52" t="n"/>
      <c r="C100" s="68" t="inlineStr">
        <is>
          <t>마케팅3팀</t>
        </is>
      </c>
      <c r="D100" s="52" t="n"/>
      <c r="E100" s="54" t="n"/>
      <c r="F100" s="52" t="n"/>
      <c r="G100" s="55" t="n"/>
      <c r="H100" s="54" t="n"/>
      <c r="I100" s="54" t="n"/>
      <c r="J100" s="54" t="n"/>
      <c r="K100" s="56">
        <f>IF(SUM(U100:AY100)=0,"",SUM(U100:AY100))</f>
        <v/>
      </c>
      <c r="L100" s="57">
        <f>IFERROR(INDEX(U$2:AY$2,MATCH(TRUE,U100:AY100&lt;&gt;"",0)),"")</f>
        <v/>
      </c>
      <c r="M100" s="58">
        <f>IFERROR(LOOKUP(2,1/(U100:AY100&lt;&gt;""),U$2:AY$2),"")</f>
        <v/>
      </c>
      <c r="N100" s="59">
        <f>IF(OR(G100="",M100=""),"",G100-M100)</f>
        <v/>
      </c>
      <c r="O100" s="60" t="n"/>
      <c r="P100" s="61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  <c r="AG100" s="62" t="n"/>
      <c r="AH100" s="62" t="n"/>
      <c r="AI100" s="62" t="n"/>
      <c r="AJ100" s="62" t="n"/>
      <c r="AK100" s="62" t="n"/>
      <c r="AL100" s="62" t="n"/>
      <c r="AM100" s="62" t="n"/>
      <c r="AN100" s="62" t="n"/>
      <c r="AO100" s="62" t="n"/>
      <c r="AP100" s="62" t="n"/>
      <c r="AQ100" s="62" t="n"/>
      <c r="AR100" s="62" t="n"/>
      <c r="AS100" s="62" t="n"/>
      <c r="AT100" s="62" t="n"/>
      <c r="AU100" s="62" t="n"/>
      <c r="AV100" s="62" t="n"/>
      <c r="AW100" s="62" t="n"/>
      <c r="AX100" s="62" t="n"/>
      <c r="AY100" s="62" t="n"/>
    </row>
    <row r="101">
      <c r="A101" s="69" t="inlineStr">
        <is>
          <t>마케팅4팀  (102~131행)</t>
        </is>
      </c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  <c r="AJ101" s="70" t="n"/>
      <c r="AK101" s="70" t="n"/>
      <c r="AL101" s="70" t="n"/>
      <c r="AM101" s="70" t="n"/>
      <c r="AN101" s="70" t="n"/>
      <c r="AO101" s="70" t="n"/>
      <c r="AP101" s="70" t="n"/>
      <c r="AQ101" s="70" t="n"/>
      <c r="AR101" s="70" t="n"/>
      <c r="AS101" s="70" t="n"/>
      <c r="AT101" s="70" t="n"/>
      <c r="AU101" s="70" t="n"/>
      <c r="AV101" s="70" t="n"/>
      <c r="AW101" s="70" t="n"/>
      <c r="AX101" s="70" t="n"/>
      <c r="AY101" s="70" t="n"/>
    </row>
    <row r="102">
      <c r="A102" s="38">
        <f>IF(D102="","",COUNTA($D$102:D102))</f>
        <v/>
      </c>
      <c r="B102" s="52" t="n"/>
      <c r="C102" s="71" t="inlineStr">
        <is>
          <t>마케팅4팀</t>
        </is>
      </c>
      <c r="D102" s="52" t="n"/>
      <c r="E102" s="54" t="n"/>
      <c r="F102" s="52" t="n"/>
      <c r="G102" s="55" t="n"/>
      <c r="H102" s="54" t="n"/>
      <c r="I102" s="54" t="n"/>
      <c r="J102" s="54" t="n"/>
      <c r="K102" s="56">
        <f>IF(SUM(U102:AY102)=0,"",SUM(U102:AY102))</f>
        <v/>
      </c>
      <c r="L102" s="57">
        <f>IFERROR(INDEX(U$2:AY$2,MATCH(TRUE,U102:AY102&lt;&gt;"",0)),"")</f>
        <v/>
      </c>
      <c r="M102" s="58">
        <f>IFERROR(LOOKUP(2,1/(U102:AY102&lt;&gt;""),U$2:AY$2),"")</f>
        <v/>
      </c>
      <c r="N102" s="59">
        <f>IF(OR(G102="",M102=""),"",G102-M102)</f>
        <v/>
      </c>
      <c r="O102" s="60" t="n"/>
      <c r="P102" s="61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  <c r="AG102" s="62" t="n"/>
      <c r="AH102" s="62" t="n"/>
      <c r="AI102" s="62" t="n"/>
      <c r="AJ102" s="62" t="n"/>
      <c r="AK102" s="62" t="n"/>
      <c r="AL102" s="62" t="n"/>
      <c r="AM102" s="62" t="n"/>
      <c r="AN102" s="62" t="n"/>
      <c r="AO102" s="62" t="n"/>
      <c r="AP102" s="62" t="n"/>
      <c r="AQ102" s="62" t="n"/>
      <c r="AR102" s="62" t="n"/>
      <c r="AS102" s="62" t="n"/>
      <c r="AT102" s="62" t="n"/>
      <c r="AU102" s="62" t="n"/>
      <c r="AV102" s="62" t="n"/>
      <c r="AW102" s="62" t="n"/>
      <c r="AX102" s="62" t="n"/>
      <c r="AY102" s="62" t="n"/>
    </row>
    <row r="103">
      <c r="A103" s="38">
        <f>IF(D103="","",COUNTA($D$102:D103))</f>
        <v/>
      </c>
      <c r="B103" s="52" t="n"/>
      <c r="C103" s="71" t="inlineStr">
        <is>
          <t>마케팅4팀</t>
        </is>
      </c>
      <c r="D103" s="52" t="n"/>
      <c r="E103" s="54" t="n"/>
      <c r="F103" s="52" t="n"/>
      <c r="G103" s="55" t="n"/>
      <c r="H103" s="54" t="n"/>
      <c r="I103" s="54" t="n"/>
      <c r="J103" s="54" t="n"/>
      <c r="K103" s="56">
        <f>IF(SUM(U103:AY103)=0,"",SUM(U103:AY103))</f>
        <v/>
      </c>
      <c r="L103" s="57">
        <f>IFERROR(INDEX(U$2:AY$2,MATCH(TRUE,U103:AY103&lt;&gt;"",0)),"")</f>
        <v/>
      </c>
      <c r="M103" s="58">
        <f>IFERROR(LOOKUP(2,1/(U103:AY103&lt;&gt;""),U$2:AY$2),"")</f>
        <v/>
      </c>
      <c r="N103" s="59">
        <f>IF(OR(G103="",M103=""),"",G103-M103)</f>
        <v/>
      </c>
      <c r="O103" s="60" t="n"/>
      <c r="P103" s="61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  <c r="AG103" s="62" t="n"/>
      <c r="AH103" s="62" t="n"/>
      <c r="AI103" s="62" t="n"/>
      <c r="AJ103" s="62" t="n"/>
      <c r="AK103" s="62" t="n"/>
      <c r="AL103" s="62" t="n"/>
      <c r="AM103" s="62" t="n"/>
      <c r="AN103" s="62" t="n"/>
      <c r="AO103" s="62" t="n"/>
      <c r="AP103" s="62" t="n"/>
      <c r="AQ103" s="62" t="n"/>
      <c r="AR103" s="62" t="n"/>
      <c r="AS103" s="62" t="n"/>
      <c r="AT103" s="62" t="n"/>
      <c r="AU103" s="62" t="n"/>
      <c r="AV103" s="62" t="n"/>
      <c r="AW103" s="62" t="n"/>
      <c r="AX103" s="62" t="n"/>
      <c r="AY103" s="62" t="n"/>
    </row>
    <row r="104">
      <c r="A104" s="38">
        <f>IF(D104="","",COUNTA($D$102:D104))</f>
        <v/>
      </c>
      <c r="B104" s="52" t="n"/>
      <c r="C104" s="71" t="inlineStr">
        <is>
          <t>마케팅4팀</t>
        </is>
      </c>
      <c r="D104" s="52" t="n"/>
      <c r="E104" s="54" t="n"/>
      <c r="F104" s="52" t="n"/>
      <c r="G104" s="55" t="n"/>
      <c r="H104" s="54" t="n"/>
      <c r="I104" s="54" t="n"/>
      <c r="J104" s="54" t="n"/>
      <c r="K104" s="56">
        <f>IF(SUM(U104:AY104)=0,"",SUM(U104:AY104))</f>
        <v/>
      </c>
      <c r="L104" s="57">
        <f>IFERROR(INDEX(U$2:AY$2,MATCH(TRUE,U104:AY104&lt;&gt;"",0)),"")</f>
        <v/>
      </c>
      <c r="M104" s="58">
        <f>IFERROR(LOOKUP(2,1/(U104:AY104&lt;&gt;""),U$2:AY$2),"")</f>
        <v/>
      </c>
      <c r="N104" s="59">
        <f>IF(OR(G104="",M104=""),"",G104-M104)</f>
        <v/>
      </c>
      <c r="O104" s="60" t="n"/>
      <c r="P104" s="61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  <c r="AG104" s="62" t="n"/>
      <c r="AH104" s="62" t="n"/>
      <c r="AI104" s="62" t="n"/>
      <c r="AJ104" s="62" t="n"/>
      <c r="AK104" s="62" t="n"/>
      <c r="AL104" s="62" t="n"/>
      <c r="AM104" s="62" t="n"/>
      <c r="AN104" s="62" t="n"/>
      <c r="AO104" s="62" t="n"/>
      <c r="AP104" s="62" t="n"/>
      <c r="AQ104" s="62" t="n"/>
      <c r="AR104" s="62" t="n"/>
      <c r="AS104" s="62" t="n"/>
      <c r="AT104" s="62" t="n"/>
      <c r="AU104" s="62" t="n"/>
      <c r="AV104" s="62" t="n"/>
      <c r="AW104" s="62" t="n"/>
      <c r="AX104" s="62" t="n"/>
      <c r="AY104" s="62" t="n"/>
    </row>
    <row r="105">
      <c r="A105" s="38">
        <f>IF(D105="","",COUNTA($D$102:D105))</f>
        <v/>
      </c>
      <c r="B105" s="52" t="n"/>
      <c r="C105" s="71" t="inlineStr">
        <is>
          <t>마케팅4팀</t>
        </is>
      </c>
      <c r="D105" s="52" t="n"/>
      <c r="E105" s="54" t="n"/>
      <c r="F105" s="52" t="n"/>
      <c r="G105" s="55" t="n"/>
      <c r="H105" s="54" t="n"/>
      <c r="I105" s="54" t="n"/>
      <c r="J105" s="54" t="n"/>
      <c r="K105" s="56">
        <f>IF(SUM(U105:AY105)=0,"",SUM(U105:AY105))</f>
        <v/>
      </c>
      <c r="L105" s="57">
        <f>IFERROR(INDEX(U$2:AY$2,MATCH(TRUE,U105:AY105&lt;&gt;"",0)),"")</f>
        <v/>
      </c>
      <c r="M105" s="58">
        <f>IFERROR(LOOKUP(2,1/(U105:AY105&lt;&gt;""),U$2:AY$2),"")</f>
        <v/>
      </c>
      <c r="N105" s="59">
        <f>IF(OR(G105="",M105=""),"",G105-M105)</f>
        <v/>
      </c>
      <c r="O105" s="60" t="n"/>
      <c r="P105" s="61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  <c r="AG105" s="62" t="n"/>
      <c r="AH105" s="62" t="n"/>
      <c r="AI105" s="62" t="n"/>
      <c r="AJ105" s="62" t="n"/>
      <c r="AK105" s="62" t="n"/>
      <c r="AL105" s="62" t="n"/>
      <c r="AM105" s="62" t="n"/>
      <c r="AN105" s="62" t="n"/>
      <c r="AO105" s="62" t="n"/>
      <c r="AP105" s="62" t="n"/>
      <c r="AQ105" s="62" t="n"/>
      <c r="AR105" s="62" t="n"/>
      <c r="AS105" s="62" t="n"/>
      <c r="AT105" s="62" t="n"/>
      <c r="AU105" s="62" t="n"/>
      <c r="AV105" s="62" t="n"/>
      <c r="AW105" s="62" t="n"/>
      <c r="AX105" s="62" t="n"/>
      <c r="AY105" s="62" t="n"/>
    </row>
    <row r="106">
      <c r="A106" s="38">
        <f>IF(D106="","",COUNTA($D$102:D106))</f>
        <v/>
      </c>
      <c r="B106" s="52" t="n"/>
      <c r="C106" s="71" t="inlineStr">
        <is>
          <t>마케팅4팀</t>
        </is>
      </c>
      <c r="D106" s="52" t="n"/>
      <c r="E106" s="54" t="n"/>
      <c r="F106" s="52" t="n"/>
      <c r="G106" s="55" t="n"/>
      <c r="H106" s="54" t="n"/>
      <c r="I106" s="54" t="n"/>
      <c r="J106" s="54" t="n"/>
      <c r="K106" s="56">
        <f>IF(SUM(U106:AY106)=0,"",SUM(U106:AY106))</f>
        <v/>
      </c>
      <c r="L106" s="57">
        <f>IFERROR(INDEX(U$2:AY$2,MATCH(TRUE,U106:AY106&lt;&gt;"",0)),"")</f>
        <v/>
      </c>
      <c r="M106" s="58">
        <f>IFERROR(LOOKUP(2,1/(U106:AY106&lt;&gt;""),U$2:AY$2),"")</f>
        <v/>
      </c>
      <c r="N106" s="59">
        <f>IF(OR(G106="",M106=""),"",G106-M106)</f>
        <v/>
      </c>
      <c r="O106" s="60" t="n"/>
      <c r="P106" s="61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  <c r="AG106" s="62" t="n"/>
      <c r="AH106" s="62" t="n"/>
      <c r="AI106" s="62" t="n"/>
      <c r="AJ106" s="62" t="n"/>
      <c r="AK106" s="62" t="n"/>
      <c r="AL106" s="62" t="n"/>
      <c r="AM106" s="62" t="n"/>
      <c r="AN106" s="62" t="n"/>
      <c r="AO106" s="62" t="n"/>
      <c r="AP106" s="62" t="n"/>
      <c r="AQ106" s="62" t="n"/>
      <c r="AR106" s="62" t="n"/>
      <c r="AS106" s="62" t="n"/>
      <c r="AT106" s="62" t="n"/>
      <c r="AU106" s="62" t="n"/>
      <c r="AV106" s="62" t="n"/>
      <c r="AW106" s="62" t="n"/>
      <c r="AX106" s="62" t="n"/>
      <c r="AY106" s="62" t="n"/>
    </row>
    <row r="107">
      <c r="A107" s="38">
        <f>IF(D107="","",COUNTA($D$102:D107))</f>
        <v/>
      </c>
      <c r="B107" s="52" t="n"/>
      <c r="C107" s="71" t="inlineStr">
        <is>
          <t>마케팅4팀</t>
        </is>
      </c>
      <c r="D107" s="52" t="n"/>
      <c r="E107" s="54" t="n"/>
      <c r="F107" s="52" t="n"/>
      <c r="G107" s="55" t="n"/>
      <c r="H107" s="54" t="n"/>
      <c r="I107" s="54" t="n"/>
      <c r="J107" s="54" t="n"/>
      <c r="K107" s="56">
        <f>IF(SUM(U107:AY107)=0,"",SUM(U107:AY107))</f>
        <v/>
      </c>
      <c r="L107" s="57">
        <f>IFERROR(INDEX(U$2:AY$2,MATCH(TRUE,U107:AY107&lt;&gt;"",0)),"")</f>
        <v/>
      </c>
      <c r="M107" s="58">
        <f>IFERROR(LOOKUP(2,1/(U107:AY107&lt;&gt;""),U$2:AY$2),"")</f>
        <v/>
      </c>
      <c r="N107" s="59">
        <f>IF(OR(G107="",M107=""),"",G107-M107)</f>
        <v/>
      </c>
      <c r="O107" s="60" t="n"/>
      <c r="P107" s="61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  <c r="AG107" s="62" t="n"/>
      <c r="AH107" s="62" t="n"/>
      <c r="AI107" s="62" t="n"/>
      <c r="AJ107" s="62" t="n"/>
      <c r="AK107" s="62" t="n"/>
      <c r="AL107" s="62" t="n"/>
      <c r="AM107" s="62" t="n"/>
      <c r="AN107" s="62" t="n"/>
      <c r="AO107" s="62" t="n"/>
      <c r="AP107" s="62" t="n"/>
      <c r="AQ107" s="62" t="n"/>
      <c r="AR107" s="62" t="n"/>
      <c r="AS107" s="62" t="n"/>
      <c r="AT107" s="62" t="n"/>
      <c r="AU107" s="62" t="n"/>
      <c r="AV107" s="62" t="n"/>
      <c r="AW107" s="62" t="n"/>
      <c r="AX107" s="62" t="n"/>
      <c r="AY107" s="62" t="n"/>
    </row>
    <row r="108">
      <c r="A108" s="38">
        <f>IF(D108="","",COUNTA($D$102:D108))</f>
        <v/>
      </c>
      <c r="B108" s="52" t="n"/>
      <c r="C108" s="71" t="inlineStr">
        <is>
          <t>마케팅4팀</t>
        </is>
      </c>
      <c r="D108" s="52" t="n"/>
      <c r="E108" s="54" t="n"/>
      <c r="F108" s="52" t="n"/>
      <c r="G108" s="55" t="n"/>
      <c r="H108" s="54" t="n"/>
      <c r="I108" s="54" t="n"/>
      <c r="J108" s="54" t="n"/>
      <c r="K108" s="56">
        <f>IF(SUM(U108:AY108)=0,"",SUM(U108:AY108))</f>
        <v/>
      </c>
      <c r="L108" s="57">
        <f>IFERROR(INDEX(U$2:AY$2,MATCH(TRUE,U108:AY108&lt;&gt;"",0)),"")</f>
        <v/>
      </c>
      <c r="M108" s="58">
        <f>IFERROR(LOOKUP(2,1/(U108:AY108&lt;&gt;""),U$2:AY$2),"")</f>
        <v/>
      </c>
      <c r="N108" s="59">
        <f>IF(OR(G108="",M108=""),"",G108-M108)</f>
        <v/>
      </c>
      <c r="O108" s="60" t="n"/>
      <c r="P108" s="61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  <c r="AG108" s="62" t="n"/>
      <c r="AH108" s="62" t="n"/>
      <c r="AI108" s="62" t="n"/>
      <c r="AJ108" s="62" t="n"/>
      <c r="AK108" s="62" t="n"/>
      <c r="AL108" s="62" t="n"/>
      <c r="AM108" s="62" t="n"/>
      <c r="AN108" s="62" t="n"/>
      <c r="AO108" s="62" t="n"/>
      <c r="AP108" s="62" t="n"/>
      <c r="AQ108" s="62" t="n"/>
      <c r="AR108" s="62" t="n"/>
      <c r="AS108" s="62" t="n"/>
      <c r="AT108" s="62" t="n"/>
      <c r="AU108" s="62" t="n"/>
      <c r="AV108" s="62" t="n"/>
      <c r="AW108" s="62" t="n"/>
      <c r="AX108" s="62" t="n"/>
      <c r="AY108" s="62" t="n"/>
    </row>
    <row r="109">
      <c r="A109" s="38">
        <f>IF(D109="","",COUNTA($D$102:D109))</f>
        <v/>
      </c>
      <c r="B109" s="52" t="n"/>
      <c r="C109" s="71" t="inlineStr">
        <is>
          <t>마케팅4팀</t>
        </is>
      </c>
      <c r="D109" s="52" t="n"/>
      <c r="E109" s="54" t="n"/>
      <c r="F109" s="52" t="n"/>
      <c r="G109" s="55" t="n"/>
      <c r="H109" s="54" t="n"/>
      <c r="I109" s="54" t="n"/>
      <c r="J109" s="54" t="n"/>
      <c r="K109" s="56">
        <f>IF(SUM(U109:AY109)=0,"",SUM(U109:AY109))</f>
        <v/>
      </c>
      <c r="L109" s="57">
        <f>IFERROR(INDEX(U$2:AY$2,MATCH(TRUE,U109:AY109&lt;&gt;"",0)),"")</f>
        <v/>
      </c>
      <c r="M109" s="58">
        <f>IFERROR(LOOKUP(2,1/(U109:AY109&lt;&gt;""),U$2:AY$2),"")</f>
        <v/>
      </c>
      <c r="N109" s="59">
        <f>IF(OR(G109="",M109=""),"",G109-M109)</f>
        <v/>
      </c>
      <c r="O109" s="60" t="n"/>
      <c r="P109" s="61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  <c r="AG109" s="62" t="n"/>
      <c r="AH109" s="62" t="n"/>
      <c r="AI109" s="62" t="n"/>
      <c r="AJ109" s="62" t="n"/>
      <c r="AK109" s="62" t="n"/>
      <c r="AL109" s="62" t="n"/>
      <c r="AM109" s="62" t="n"/>
      <c r="AN109" s="62" t="n"/>
      <c r="AO109" s="62" t="n"/>
      <c r="AP109" s="62" t="n"/>
      <c r="AQ109" s="62" t="n"/>
      <c r="AR109" s="62" t="n"/>
      <c r="AS109" s="62" t="n"/>
      <c r="AT109" s="62" t="n"/>
      <c r="AU109" s="62" t="n"/>
      <c r="AV109" s="62" t="n"/>
      <c r="AW109" s="62" t="n"/>
      <c r="AX109" s="62" t="n"/>
      <c r="AY109" s="62" t="n"/>
    </row>
    <row r="110">
      <c r="A110" s="38">
        <f>IF(D110="","",COUNTA($D$102:D110))</f>
        <v/>
      </c>
      <c r="B110" s="52" t="n"/>
      <c r="C110" s="71" t="inlineStr">
        <is>
          <t>마케팅4팀</t>
        </is>
      </c>
      <c r="D110" s="52" t="n"/>
      <c r="E110" s="54" t="n"/>
      <c r="F110" s="52" t="n"/>
      <c r="G110" s="55" t="n"/>
      <c r="H110" s="54" t="n"/>
      <c r="I110" s="54" t="n"/>
      <c r="J110" s="54" t="n"/>
      <c r="K110" s="56">
        <f>IF(SUM(U110:AY110)=0,"",SUM(U110:AY110))</f>
        <v/>
      </c>
      <c r="L110" s="57">
        <f>IFERROR(INDEX(U$2:AY$2,MATCH(TRUE,U110:AY110&lt;&gt;"",0)),"")</f>
        <v/>
      </c>
      <c r="M110" s="58">
        <f>IFERROR(LOOKUP(2,1/(U110:AY110&lt;&gt;""),U$2:AY$2),"")</f>
        <v/>
      </c>
      <c r="N110" s="59">
        <f>IF(OR(G110="",M110=""),"",G110-M110)</f>
        <v/>
      </c>
      <c r="O110" s="60" t="n"/>
      <c r="P110" s="61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  <c r="AG110" s="62" t="n"/>
      <c r="AH110" s="62" t="n"/>
      <c r="AI110" s="62" t="n"/>
      <c r="AJ110" s="62" t="n"/>
      <c r="AK110" s="62" t="n"/>
      <c r="AL110" s="62" t="n"/>
      <c r="AM110" s="62" t="n"/>
      <c r="AN110" s="62" t="n"/>
      <c r="AO110" s="62" t="n"/>
      <c r="AP110" s="62" t="n"/>
      <c r="AQ110" s="62" t="n"/>
      <c r="AR110" s="62" t="n"/>
      <c r="AS110" s="62" t="n"/>
      <c r="AT110" s="62" t="n"/>
      <c r="AU110" s="62" t="n"/>
      <c r="AV110" s="62" t="n"/>
      <c r="AW110" s="62" t="n"/>
      <c r="AX110" s="62" t="n"/>
      <c r="AY110" s="62" t="n"/>
    </row>
    <row r="111">
      <c r="A111" s="38">
        <f>IF(D111="","",COUNTA($D$102:D111))</f>
        <v/>
      </c>
      <c r="B111" s="52" t="n"/>
      <c r="C111" s="71" t="inlineStr">
        <is>
          <t>마케팅4팀</t>
        </is>
      </c>
      <c r="D111" s="52" t="n"/>
      <c r="E111" s="54" t="n"/>
      <c r="F111" s="52" t="n"/>
      <c r="G111" s="55" t="n"/>
      <c r="H111" s="54" t="n"/>
      <c r="I111" s="54" t="n"/>
      <c r="J111" s="54" t="n"/>
      <c r="K111" s="56">
        <f>IF(SUM(U111:AY111)=0,"",SUM(U111:AY111))</f>
        <v/>
      </c>
      <c r="L111" s="57">
        <f>IFERROR(INDEX(U$2:AY$2,MATCH(TRUE,U111:AY111&lt;&gt;"",0)),"")</f>
        <v/>
      </c>
      <c r="M111" s="58">
        <f>IFERROR(LOOKUP(2,1/(U111:AY111&lt;&gt;""),U$2:AY$2),"")</f>
        <v/>
      </c>
      <c r="N111" s="59">
        <f>IF(OR(G111="",M111=""),"",G111-M111)</f>
        <v/>
      </c>
      <c r="O111" s="60" t="n"/>
      <c r="P111" s="61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  <c r="AG111" s="62" t="n"/>
      <c r="AH111" s="62" t="n"/>
      <c r="AI111" s="62" t="n"/>
      <c r="AJ111" s="62" t="n"/>
      <c r="AK111" s="62" t="n"/>
      <c r="AL111" s="62" t="n"/>
      <c r="AM111" s="62" t="n"/>
      <c r="AN111" s="62" t="n"/>
      <c r="AO111" s="62" t="n"/>
      <c r="AP111" s="62" t="n"/>
      <c r="AQ111" s="62" t="n"/>
      <c r="AR111" s="62" t="n"/>
      <c r="AS111" s="62" t="n"/>
      <c r="AT111" s="62" t="n"/>
      <c r="AU111" s="62" t="n"/>
      <c r="AV111" s="62" t="n"/>
      <c r="AW111" s="62" t="n"/>
      <c r="AX111" s="62" t="n"/>
      <c r="AY111" s="62" t="n"/>
    </row>
    <row r="112">
      <c r="A112" s="38">
        <f>IF(D112="","",COUNTA($D$102:D112))</f>
        <v/>
      </c>
      <c r="B112" s="52" t="n"/>
      <c r="C112" s="71" t="inlineStr">
        <is>
          <t>마케팅4팀</t>
        </is>
      </c>
      <c r="D112" s="52" t="n"/>
      <c r="E112" s="54" t="n"/>
      <c r="F112" s="52" t="n"/>
      <c r="G112" s="55" t="n"/>
      <c r="H112" s="54" t="n"/>
      <c r="I112" s="54" t="n"/>
      <c r="J112" s="54" t="n"/>
      <c r="K112" s="56">
        <f>IF(SUM(U112:AY112)=0,"",SUM(U112:AY112))</f>
        <v/>
      </c>
      <c r="L112" s="57">
        <f>IFERROR(INDEX(U$2:AY$2,MATCH(TRUE,U112:AY112&lt;&gt;"",0)),"")</f>
        <v/>
      </c>
      <c r="M112" s="58">
        <f>IFERROR(LOOKUP(2,1/(U112:AY112&lt;&gt;""),U$2:AY$2),"")</f>
        <v/>
      </c>
      <c r="N112" s="59">
        <f>IF(OR(G112="",M112=""),"",G112-M112)</f>
        <v/>
      </c>
      <c r="O112" s="60" t="n"/>
      <c r="P112" s="61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  <c r="AG112" s="62" t="n"/>
      <c r="AH112" s="62" t="n"/>
      <c r="AI112" s="62" t="n"/>
      <c r="AJ112" s="62" t="n"/>
      <c r="AK112" s="62" t="n"/>
      <c r="AL112" s="62" t="n"/>
      <c r="AM112" s="62" t="n"/>
      <c r="AN112" s="62" t="n"/>
      <c r="AO112" s="62" t="n"/>
      <c r="AP112" s="62" t="n"/>
      <c r="AQ112" s="62" t="n"/>
      <c r="AR112" s="62" t="n"/>
      <c r="AS112" s="62" t="n"/>
      <c r="AT112" s="62" t="n"/>
      <c r="AU112" s="62" t="n"/>
      <c r="AV112" s="62" t="n"/>
      <c r="AW112" s="62" t="n"/>
      <c r="AX112" s="62" t="n"/>
      <c r="AY112" s="62" t="n"/>
    </row>
    <row r="113">
      <c r="A113" s="38">
        <f>IF(D113="","",COUNTA($D$102:D113))</f>
        <v/>
      </c>
      <c r="B113" s="52" t="n"/>
      <c r="C113" s="71" t="inlineStr">
        <is>
          <t>마케팅4팀</t>
        </is>
      </c>
      <c r="D113" s="52" t="n"/>
      <c r="E113" s="54" t="n"/>
      <c r="F113" s="52" t="n"/>
      <c r="G113" s="55" t="n"/>
      <c r="H113" s="54" t="n"/>
      <c r="I113" s="54" t="n"/>
      <c r="J113" s="54" t="n"/>
      <c r="K113" s="56">
        <f>IF(SUM(U113:AY113)=0,"",SUM(U113:AY113))</f>
        <v/>
      </c>
      <c r="L113" s="57">
        <f>IFERROR(INDEX(U$2:AY$2,MATCH(TRUE,U113:AY113&lt;&gt;"",0)),"")</f>
        <v/>
      </c>
      <c r="M113" s="58">
        <f>IFERROR(LOOKUP(2,1/(U113:AY113&lt;&gt;""),U$2:AY$2),"")</f>
        <v/>
      </c>
      <c r="N113" s="59">
        <f>IF(OR(G113="",M113=""),"",G113-M113)</f>
        <v/>
      </c>
      <c r="O113" s="60" t="n"/>
      <c r="P113" s="61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  <c r="AG113" s="62" t="n"/>
      <c r="AH113" s="62" t="n"/>
      <c r="AI113" s="62" t="n"/>
      <c r="AJ113" s="62" t="n"/>
      <c r="AK113" s="62" t="n"/>
      <c r="AL113" s="62" t="n"/>
      <c r="AM113" s="62" t="n"/>
      <c r="AN113" s="62" t="n"/>
      <c r="AO113" s="62" t="n"/>
      <c r="AP113" s="62" t="n"/>
      <c r="AQ113" s="62" t="n"/>
      <c r="AR113" s="62" t="n"/>
      <c r="AS113" s="62" t="n"/>
      <c r="AT113" s="62" t="n"/>
      <c r="AU113" s="62" t="n"/>
      <c r="AV113" s="62" t="n"/>
      <c r="AW113" s="62" t="n"/>
      <c r="AX113" s="62" t="n"/>
      <c r="AY113" s="62" t="n"/>
    </row>
    <row r="114">
      <c r="A114" s="38">
        <f>IF(D114="","",COUNTA($D$102:D114))</f>
        <v/>
      </c>
      <c r="B114" s="52" t="n"/>
      <c r="C114" s="71" t="inlineStr">
        <is>
          <t>마케팅4팀</t>
        </is>
      </c>
      <c r="D114" s="52" t="n"/>
      <c r="E114" s="54" t="n"/>
      <c r="F114" s="52" t="n"/>
      <c r="G114" s="55" t="n"/>
      <c r="H114" s="54" t="n"/>
      <c r="I114" s="54" t="n"/>
      <c r="J114" s="54" t="n"/>
      <c r="K114" s="56">
        <f>IF(SUM(U114:AY114)=0,"",SUM(U114:AY114))</f>
        <v/>
      </c>
      <c r="L114" s="57">
        <f>IFERROR(INDEX(U$2:AY$2,MATCH(TRUE,U114:AY114&lt;&gt;"",0)),"")</f>
        <v/>
      </c>
      <c r="M114" s="58">
        <f>IFERROR(LOOKUP(2,1/(U114:AY114&lt;&gt;""),U$2:AY$2),"")</f>
        <v/>
      </c>
      <c r="N114" s="59">
        <f>IF(OR(G114="",M114=""),"",G114-M114)</f>
        <v/>
      </c>
      <c r="O114" s="60" t="n"/>
      <c r="P114" s="61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  <c r="AG114" s="62" t="n"/>
      <c r="AH114" s="62" t="n"/>
      <c r="AI114" s="62" t="n"/>
      <c r="AJ114" s="62" t="n"/>
      <c r="AK114" s="62" t="n"/>
      <c r="AL114" s="62" t="n"/>
      <c r="AM114" s="62" t="n"/>
      <c r="AN114" s="62" t="n"/>
      <c r="AO114" s="62" t="n"/>
      <c r="AP114" s="62" t="n"/>
      <c r="AQ114" s="62" t="n"/>
      <c r="AR114" s="62" t="n"/>
      <c r="AS114" s="62" t="n"/>
      <c r="AT114" s="62" t="n"/>
      <c r="AU114" s="62" t="n"/>
      <c r="AV114" s="62" t="n"/>
      <c r="AW114" s="62" t="n"/>
      <c r="AX114" s="62" t="n"/>
      <c r="AY114" s="62" t="n"/>
    </row>
    <row r="115">
      <c r="A115" s="38">
        <f>IF(D115="","",COUNTA($D$102:D115))</f>
        <v/>
      </c>
      <c r="B115" s="52" t="n"/>
      <c r="C115" s="71" t="inlineStr">
        <is>
          <t>마케팅4팀</t>
        </is>
      </c>
      <c r="D115" s="52" t="n"/>
      <c r="E115" s="54" t="n"/>
      <c r="F115" s="52" t="n"/>
      <c r="G115" s="55" t="n"/>
      <c r="H115" s="54" t="n"/>
      <c r="I115" s="54" t="n"/>
      <c r="J115" s="54" t="n"/>
      <c r="K115" s="56">
        <f>IF(SUM(U115:AY115)=0,"",SUM(U115:AY115))</f>
        <v/>
      </c>
      <c r="L115" s="57">
        <f>IFERROR(INDEX(U$2:AY$2,MATCH(TRUE,U115:AY115&lt;&gt;"",0)),"")</f>
        <v/>
      </c>
      <c r="M115" s="58">
        <f>IFERROR(LOOKUP(2,1/(U115:AY115&lt;&gt;""),U$2:AY$2),"")</f>
        <v/>
      </c>
      <c r="N115" s="59">
        <f>IF(OR(G115="",M115=""),"",G115-M115)</f>
        <v/>
      </c>
      <c r="O115" s="60" t="n"/>
      <c r="P115" s="61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  <c r="AG115" s="62" t="n"/>
      <c r="AH115" s="62" t="n"/>
      <c r="AI115" s="62" t="n"/>
      <c r="AJ115" s="62" t="n"/>
      <c r="AK115" s="62" t="n"/>
      <c r="AL115" s="62" t="n"/>
      <c r="AM115" s="62" t="n"/>
      <c r="AN115" s="62" t="n"/>
      <c r="AO115" s="62" t="n"/>
      <c r="AP115" s="62" t="n"/>
      <c r="AQ115" s="62" t="n"/>
      <c r="AR115" s="62" t="n"/>
      <c r="AS115" s="62" t="n"/>
      <c r="AT115" s="62" t="n"/>
      <c r="AU115" s="62" t="n"/>
      <c r="AV115" s="62" t="n"/>
      <c r="AW115" s="62" t="n"/>
      <c r="AX115" s="62" t="n"/>
      <c r="AY115" s="62" t="n"/>
    </row>
    <row r="116">
      <c r="A116" s="38">
        <f>IF(D116="","",COUNTA($D$102:D116))</f>
        <v/>
      </c>
      <c r="B116" s="52" t="n"/>
      <c r="C116" s="71" t="inlineStr">
        <is>
          <t>마케팅4팀</t>
        </is>
      </c>
      <c r="D116" s="52" t="n"/>
      <c r="E116" s="54" t="n"/>
      <c r="F116" s="52" t="n"/>
      <c r="G116" s="55" t="n"/>
      <c r="H116" s="54" t="n"/>
      <c r="I116" s="54" t="n"/>
      <c r="J116" s="54" t="n"/>
      <c r="K116" s="56">
        <f>IF(SUM(U116:AY116)=0,"",SUM(U116:AY116))</f>
        <v/>
      </c>
      <c r="L116" s="57">
        <f>IFERROR(INDEX(U$2:AY$2,MATCH(TRUE,U116:AY116&lt;&gt;"",0)),"")</f>
        <v/>
      </c>
      <c r="M116" s="58">
        <f>IFERROR(LOOKUP(2,1/(U116:AY116&lt;&gt;""),U$2:AY$2),"")</f>
        <v/>
      </c>
      <c r="N116" s="59">
        <f>IF(OR(G116="",M116=""),"",G116-M116)</f>
        <v/>
      </c>
      <c r="O116" s="60" t="n"/>
      <c r="P116" s="61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  <c r="AG116" s="62" t="n"/>
      <c r="AH116" s="62" t="n"/>
      <c r="AI116" s="62" t="n"/>
      <c r="AJ116" s="62" t="n"/>
      <c r="AK116" s="62" t="n"/>
      <c r="AL116" s="62" t="n"/>
      <c r="AM116" s="62" t="n"/>
      <c r="AN116" s="62" t="n"/>
      <c r="AO116" s="62" t="n"/>
      <c r="AP116" s="62" t="n"/>
      <c r="AQ116" s="62" t="n"/>
      <c r="AR116" s="62" t="n"/>
      <c r="AS116" s="62" t="n"/>
      <c r="AT116" s="62" t="n"/>
      <c r="AU116" s="62" t="n"/>
      <c r="AV116" s="62" t="n"/>
      <c r="AW116" s="62" t="n"/>
      <c r="AX116" s="62" t="n"/>
      <c r="AY116" s="62" t="n"/>
    </row>
    <row r="117">
      <c r="A117" s="38">
        <f>IF(D117="","",COUNTA($D$102:D117))</f>
        <v/>
      </c>
      <c r="B117" s="52" t="n"/>
      <c r="C117" s="71" t="inlineStr">
        <is>
          <t>마케팅4팀</t>
        </is>
      </c>
      <c r="D117" s="52" t="n"/>
      <c r="E117" s="54" t="n"/>
      <c r="F117" s="52" t="n"/>
      <c r="G117" s="55" t="n"/>
      <c r="H117" s="54" t="n"/>
      <c r="I117" s="54" t="n"/>
      <c r="J117" s="54" t="n"/>
      <c r="K117" s="56">
        <f>IF(SUM(U117:AY117)=0,"",SUM(U117:AY117))</f>
        <v/>
      </c>
      <c r="L117" s="57">
        <f>IFERROR(INDEX(U$2:AY$2,MATCH(TRUE,U117:AY117&lt;&gt;"",0)),"")</f>
        <v/>
      </c>
      <c r="M117" s="58">
        <f>IFERROR(LOOKUP(2,1/(U117:AY117&lt;&gt;""),U$2:AY$2),"")</f>
        <v/>
      </c>
      <c r="N117" s="59">
        <f>IF(OR(G117="",M117=""),"",G117-M117)</f>
        <v/>
      </c>
      <c r="O117" s="60" t="n"/>
      <c r="P117" s="61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  <c r="AG117" s="62" t="n"/>
      <c r="AH117" s="62" t="n"/>
      <c r="AI117" s="62" t="n"/>
      <c r="AJ117" s="62" t="n"/>
      <c r="AK117" s="62" t="n"/>
      <c r="AL117" s="62" t="n"/>
      <c r="AM117" s="62" t="n"/>
      <c r="AN117" s="62" t="n"/>
      <c r="AO117" s="62" t="n"/>
      <c r="AP117" s="62" t="n"/>
      <c r="AQ117" s="62" t="n"/>
      <c r="AR117" s="62" t="n"/>
      <c r="AS117" s="62" t="n"/>
      <c r="AT117" s="62" t="n"/>
      <c r="AU117" s="62" t="n"/>
      <c r="AV117" s="62" t="n"/>
      <c r="AW117" s="62" t="n"/>
      <c r="AX117" s="62" t="n"/>
      <c r="AY117" s="62" t="n"/>
    </row>
    <row r="118">
      <c r="A118" s="38">
        <f>IF(D118="","",COUNTA($D$102:D118))</f>
        <v/>
      </c>
      <c r="B118" s="52" t="n"/>
      <c r="C118" s="71" t="inlineStr">
        <is>
          <t>마케팅4팀</t>
        </is>
      </c>
      <c r="D118" s="52" t="n"/>
      <c r="E118" s="54" t="n"/>
      <c r="F118" s="52" t="n"/>
      <c r="G118" s="55" t="n"/>
      <c r="H118" s="54" t="n"/>
      <c r="I118" s="54" t="n"/>
      <c r="J118" s="54" t="n"/>
      <c r="K118" s="56">
        <f>IF(SUM(U118:AY118)=0,"",SUM(U118:AY118))</f>
        <v/>
      </c>
      <c r="L118" s="57">
        <f>IFERROR(INDEX(U$2:AY$2,MATCH(TRUE,U118:AY118&lt;&gt;"",0)),"")</f>
        <v/>
      </c>
      <c r="M118" s="58">
        <f>IFERROR(LOOKUP(2,1/(U118:AY118&lt;&gt;""),U$2:AY$2),"")</f>
        <v/>
      </c>
      <c r="N118" s="59">
        <f>IF(OR(G118="",M118=""),"",G118-M118)</f>
        <v/>
      </c>
      <c r="O118" s="60" t="n"/>
      <c r="P118" s="61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  <c r="AG118" s="62" t="n"/>
      <c r="AH118" s="62" t="n"/>
      <c r="AI118" s="62" t="n"/>
      <c r="AJ118" s="62" t="n"/>
      <c r="AK118" s="62" t="n"/>
      <c r="AL118" s="62" t="n"/>
      <c r="AM118" s="62" t="n"/>
      <c r="AN118" s="62" t="n"/>
      <c r="AO118" s="62" t="n"/>
      <c r="AP118" s="62" t="n"/>
      <c r="AQ118" s="62" t="n"/>
      <c r="AR118" s="62" t="n"/>
      <c r="AS118" s="62" t="n"/>
      <c r="AT118" s="62" t="n"/>
      <c r="AU118" s="62" t="n"/>
      <c r="AV118" s="62" t="n"/>
      <c r="AW118" s="62" t="n"/>
      <c r="AX118" s="62" t="n"/>
      <c r="AY118" s="62" t="n"/>
    </row>
    <row r="119">
      <c r="A119" s="38">
        <f>IF(D119="","",COUNTA($D$102:D119))</f>
        <v/>
      </c>
      <c r="B119" s="52" t="n"/>
      <c r="C119" s="71" t="inlineStr">
        <is>
          <t>마케팅4팀</t>
        </is>
      </c>
      <c r="D119" s="52" t="n"/>
      <c r="E119" s="54" t="n"/>
      <c r="F119" s="52" t="n"/>
      <c r="G119" s="55" t="n"/>
      <c r="H119" s="54" t="n"/>
      <c r="I119" s="54" t="n"/>
      <c r="J119" s="54" t="n"/>
      <c r="K119" s="56">
        <f>IF(SUM(U119:AY119)=0,"",SUM(U119:AY119))</f>
        <v/>
      </c>
      <c r="L119" s="57">
        <f>IFERROR(INDEX(U$2:AY$2,MATCH(TRUE,U119:AY119&lt;&gt;"",0)),"")</f>
        <v/>
      </c>
      <c r="M119" s="58">
        <f>IFERROR(LOOKUP(2,1/(U119:AY119&lt;&gt;""),U$2:AY$2),"")</f>
        <v/>
      </c>
      <c r="N119" s="59">
        <f>IF(OR(G119="",M119=""),"",G119-M119)</f>
        <v/>
      </c>
      <c r="O119" s="60" t="n"/>
      <c r="P119" s="61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  <c r="AG119" s="62" t="n"/>
      <c r="AH119" s="62" t="n"/>
      <c r="AI119" s="62" t="n"/>
      <c r="AJ119" s="62" t="n"/>
      <c r="AK119" s="62" t="n"/>
      <c r="AL119" s="62" t="n"/>
      <c r="AM119" s="62" t="n"/>
      <c r="AN119" s="62" t="n"/>
      <c r="AO119" s="62" t="n"/>
      <c r="AP119" s="62" t="n"/>
      <c r="AQ119" s="62" t="n"/>
      <c r="AR119" s="62" t="n"/>
      <c r="AS119" s="62" t="n"/>
      <c r="AT119" s="62" t="n"/>
      <c r="AU119" s="62" t="n"/>
      <c r="AV119" s="62" t="n"/>
      <c r="AW119" s="62" t="n"/>
      <c r="AX119" s="62" t="n"/>
      <c r="AY119" s="62" t="n"/>
    </row>
    <row r="120">
      <c r="A120" s="38">
        <f>IF(D120="","",COUNTA($D$102:D120))</f>
        <v/>
      </c>
      <c r="B120" s="52" t="n"/>
      <c r="C120" s="71" t="inlineStr">
        <is>
          <t>마케팅4팀</t>
        </is>
      </c>
      <c r="D120" s="52" t="n"/>
      <c r="E120" s="54" t="n"/>
      <c r="F120" s="52" t="n"/>
      <c r="G120" s="55" t="n"/>
      <c r="H120" s="54" t="n"/>
      <c r="I120" s="54" t="n"/>
      <c r="J120" s="54" t="n"/>
      <c r="K120" s="56">
        <f>IF(SUM(U120:AY120)=0,"",SUM(U120:AY120))</f>
        <v/>
      </c>
      <c r="L120" s="57">
        <f>IFERROR(INDEX(U$2:AY$2,MATCH(TRUE,U120:AY120&lt;&gt;"",0)),"")</f>
        <v/>
      </c>
      <c r="M120" s="58">
        <f>IFERROR(LOOKUP(2,1/(U120:AY120&lt;&gt;""),U$2:AY$2),"")</f>
        <v/>
      </c>
      <c r="N120" s="59">
        <f>IF(OR(G120="",M120=""),"",G120-M120)</f>
        <v/>
      </c>
      <c r="O120" s="60" t="n"/>
      <c r="P120" s="61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  <c r="AG120" s="62" t="n"/>
      <c r="AH120" s="62" t="n"/>
      <c r="AI120" s="62" t="n"/>
      <c r="AJ120" s="62" t="n"/>
      <c r="AK120" s="62" t="n"/>
      <c r="AL120" s="62" t="n"/>
      <c r="AM120" s="62" t="n"/>
      <c r="AN120" s="62" t="n"/>
      <c r="AO120" s="62" t="n"/>
      <c r="AP120" s="62" t="n"/>
      <c r="AQ120" s="62" t="n"/>
      <c r="AR120" s="62" t="n"/>
      <c r="AS120" s="62" t="n"/>
      <c r="AT120" s="62" t="n"/>
      <c r="AU120" s="62" t="n"/>
      <c r="AV120" s="62" t="n"/>
      <c r="AW120" s="62" t="n"/>
      <c r="AX120" s="62" t="n"/>
      <c r="AY120" s="62" t="n"/>
    </row>
    <row r="121">
      <c r="A121" s="38">
        <f>IF(D121="","",COUNTA($D$102:D121))</f>
        <v/>
      </c>
      <c r="B121" s="52" t="n"/>
      <c r="C121" s="71" t="inlineStr">
        <is>
          <t>마케팅4팀</t>
        </is>
      </c>
      <c r="D121" s="52" t="n"/>
      <c r="E121" s="54" t="n"/>
      <c r="F121" s="52" t="n"/>
      <c r="G121" s="55" t="n"/>
      <c r="H121" s="54" t="n"/>
      <c r="I121" s="54" t="n"/>
      <c r="J121" s="54" t="n"/>
      <c r="K121" s="56">
        <f>IF(SUM(U121:AY121)=0,"",SUM(U121:AY121))</f>
        <v/>
      </c>
      <c r="L121" s="57">
        <f>IFERROR(INDEX(U$2:AY$2,MATCH(TRUE,U121:AY121&lt;&gt;"",0)),"")</f>
        <v/>
      </c>
      <c r="M121" s="58">
        <f>IFERROR(LOOKUP(2,1/(U121:AY121&lt;&gt;""),U$2:AY$2),"")</f>
        <v/>
      </c>
      <c r="N121" s="59">
        <f>IF(OR(G121="",M121=""),"",G121-M121)</f>
        <v/>
      </c>
      <c r="O121" s="60" t="n"/>
      <c r="P121" s="61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  <c r="AG121" s="62" t="n"/>
      <c r="AH121" s="62" t="n"/>
      <c r="AI121" s="62" t="n"/>
      <c r="AJ121" s="62" t="n"/>
      <c r="AK121" s="62" t="n"/>
      <c r="AL121" s="62" t="n"/>
      <c r="AM121" s="62" t="n"/>
      <c r="AN121" s="62" t="n"/>
      <c r="AO121" s="62" t="n"/>
      <c r="AP121" s="62" t="n"/>
      <c r="AQ121" s="62" t="n"/>
      <c r="AR121" s="62" t="n"/>
      <c r="AS121" s="62" t="n"/>
      <c r="AT121" s="62" t="n"/>
      <c r="AU121" s="62" t="n"/>
      <c r="AV121" s="62" t="n"/>
      <c r="AW121" s="62" t="n"/>
      <c r="AX121" s="62" t="n"/>
      <c r="AY121" s="62" t="n"/>
    </row>
    <row r="122">
      <c r="A122" s="38">
        <f>IF(D122="","",COUNTA($D$102:D122))</f>
        <v/>
      </c>
      <c r="B122" s="52" t="n"/>
      <c r="C122" s="71" t="inlineStr">
        <is>
          <t>마케팅4팀</t>
        </is>
      </c>
      <c r="D122" s="52" t="n"/>
      <c r="E122" s="54" t="n"/>
      <c r="F122" s="52" t="n"/>
      <c r="G122" s="55" t="n"/>
      <c r="H122" s="54" t="n"/>
      <c r="I122" s="54" t="n"/>
      <c r="J122" s="54" t="n"/>
      <c r="K122" s="56">
        <f>IF(SUM(U122:AY122)=0,"",SUM(U122:AY122))</f>
        <v/>
      </c>
      <c r="L122" s="57">
        <f>IFERROR(INDEX(U$2:AY$2,MATCH(TRUE,U122:AY122&lt;&gt;"",0)),"")</f>
        <v/>
      </c>
      <c r="M122" s="58">
        <f>IFERROR(LOOKUP(2,1/(U122:AY122&lt;&gt;""),U$2:AY$2),"")</f>
        <v/>
      </c>
      <c r="N122" s="59">
        <f>IF(OR(G122="",M122=""),"",G122-M122)</f>
        <v/>
      </c>
      <c r="O122" s="60" t="n"/>
      <c r="P122" s="61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  <c r="AG122" s="62" t="n"/>
      <c r="AH122" s="62" t="n"/>
      <c r="AI122" s="62" t="n"/>
      <c r="AJ122" s="62" t="n"/>
      <c r="AK122" s="62" t="n"/>
      <c r="AL122" s="62" t="n"/>
      <c r="AM122" s="62" t="n"/>
      <c r="AN122" s="62" t="n"/>
      <c r="AO122" s="62" t="n"/>
      <c r="AP122" s="62" t="n"/>
      <c r="AQ122" s="62" t="n"/>
      <c r="AR122" s="62" t="n"/>
      <c r="AS122" s="62" t="n"/>
      <c r="AT122" s="62" t="n"/>
      <c r="AU122" s="62" t="n"/>
      <c r="AV122" s="62" t="n"/>
      <c r="AW122" s="62" t="n"/>
      <c r="AX122" s="62" t="n"/>
      <c r="AY122" s="62" t="n"/>
    </row>
    <row r="123">
      <c r="A123" s="38">
        <f>IF(D123="","",COUNTA($D$102:D123))</f>
        <v/>
      </c>
      <c r="B123" s="52" t="n"/>
      <c r="C123" s="71" t="inlineStr">
        <is>
          <t>마케팅4팀</t>
        </is>
      </c>
      <c r="D123" s="52" t="n"/>
      <c r="E123" s="54" t="n"/>
      <c r="F123" s="52" t="n"/>
      <c r="G123" s="55" t="n"/>
      <c r="H123" s="54" t="n"/>
      <c r="I123" s="54" t="n"/>
      <c r="J123" s="54" t="n"/>
      <c r="K123" s="56">
        <f>IF(SUM(U123:AY123)=0,"",SUM(U123:AY123))</f>
        <v/>
      </c>
      <c r="L123" s="57">
        <f>IFERROR(INDEX(U$2:AY$2,MATCH(TRUE,U123:AY123&lt;&gt;"",0)),"")</f>
        <v/>
      </c>
      <c r="M123" s="58">
        <f>IFERROR(LOOKUP(2,1/(U123:AY123&lt;&gt;""),U$2:AY$2),"")</f>
        <v/>
      </c>
      <c r="N123" s="59">
        <f>IF(OR(G123="",M123=""),"",G123-M123)</f>
        <v/>
      </c>
      <c r="O123" s="60" t="n"/>
      <c r="P123" s="61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  <c r="AG123" s="62" t="n"/>
      <c r="AH123" s="62" t="n"/>
      <c r="AI123" s="62" t="n"/>
      <c r="AJ123" s="62" t="n"/>
      <c r="AK123" s="62" t="n"/>
      <c r="AL123" s="62" t="n"/>
      <c r="AM123" s="62" t="n"/>
      <c r="AN123" s="62" t="n"/>
      <c r="AO123" s="62" t="n"/>
      <c r="AP123" s="62" t="n"/>
      <c r="AQ123" s="62" t="n"/>
      <c r="AR123" s="62" t="n"/>
      <c r="AS123" s="62" t="n"/>
      <c r="AT123" s="62" t="n"/>
      <c r="AU123" s="62" t="n"/>
      <c r="AV123" s="62" t="n"/>
      <c r="AW123" s="62" t="n"/>
      <c r="AX123" s="62" t="n"/>
      <c r="AY123" s="62" t="n"/>
    </row>
    <row r="124">
      <c r="A124" s="38">
        <f>IF(D124="","",COUNTA($D$102:D124))</f>
        <v/>
      </c>
      <c r="B124" s="52" t="n"/>
      <c r="C124" s="71" t="inlineStr">
        <is>
          <t>마케팅4팀</t>
        </is>
      </c>
      <c r="D124" s="52" t="n"/>
      <c r="E124" s="54" t="n"/>
      <c r="F124" s="52" t="n"/>
      <c r="G124" s="55" t="n"/>
      <c r="H124" s="54" t="n"/>
      <c r="I124" s="54" t="n"/>
      <c r="J124" s="54" t="n"/>
      <c r="K124" s="56">
        <f>IF(SUM(U124:AY124)=0,"",SUM(U124:AY124))</f>
        <v/>
      </c>
      <c r="L124" s="57">
        <f>IFERROR(INDEX(U$2:AY$2,MATCH(TRUE,U124:AY124&lt;&gt;"",0)),"")</f>
        <v/>
      </c>
      <c r="M124" s="58">
        <f>IFERROR(LOOKUP(2,1/(U124:AY124&lt;&gt;""),U$2:AY$2),"")</f>
        <v/>
      </c>
      <c r="N124" s="59">
        <f>IF(OR(G124="",M124=""),"",G124-M124)</f>
        <v/>
      </c>
      <c r="O124" s="60" t="n"/>
      <c r="P124" s="61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  <c r="AG124" s="62" t="n"/>
      <c r="AH124" s="62" t="n"/>
      <c r="AI124" s="62" t="n"/>
      <c r="AJ124" s="62" t="n"/>
      <c r="AK124" s="62" t="n"/>
      <c r="AL124" s="62" t="n"/>
      <c r="AM124" s="62" t="n"/>
      <c r="AN124" s="62" t="n"/>
      <c r="AO124" s="62" t="n"/>
      <c r="AP124" s="62" t="n"/>
      <c r="AQ124" s="62" t="n"/>
      <c r="AR124" s="62" t="n"/>
      <c r="AS124" s="62" t="n"/>
      <c r="AT124" s="62" t="n"/>
      <c r="AU124" s="62" t="n"/>
      <c r="AV124" s="62" t="n"/>
      <c r="AW124" s="62" t="n"/>
      <c r="AX124" s="62" t="n"/>
      <c r="AY124" s="62" t="n"/>
    </row>
    <row r="125">
      <c r="A125" s="38">
        <f>IF(D125="","",COUNTA($D$102:D125))</f>
        <v/>
      </c>
      <c r="B125" s="52" t="n"/>
      <c r="C125" s="71" t="inlineStr">
        <is>
          <t>마케팅4팀</t>
        </is>
      </c>
      <c r="D125" s="52" t="n"/>
      <c r="E125" s="54" t="n"/>
      <c r="F125" s="52" t="n"/>
      <c r="G125" s="55" t="n"/>
      <c r="H125" s="54" t="n"/>
      <c r="I125" s="54" t="n"/>
      <c r="J125" s="54" t="n"/>
      <c r="K125" s="56">
        <f>IF(SUM(U125:AY125)=0,"",SUM(U125:AY125))</f>
        <v/>
      </c>
      <c r="L125" s="57">
        <f>IFERROR(INDEX(U$2:AY$2,MATCH(TRUE,U125:AY125&lt;&gt;"",0)),"")</f>
        <v/>
      </c>
      <c r="M125" s="58">
        <f>IFERROR(LOOKUP(2,1/(U125:AY125&lt;&gt;""),U$2:AY$2),"")</f>
        <v/>
      </c>
      <c r="N125" s="59">
        <f>IF(OR(G125="",M125=""),"",G125-M125)</f>
        <v/>
      </c>
      <c r="O125" s="60" t="n"/>
      <c r="P125" s="61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  <c r="AG125" s="62" t="n"/>
      <c r="AH125" s="62" t="n"/>
      <c r="AI125" s="62" t="n"/>
      <c r="AJ125" s="62" t="n"/>
      <c r="AK125" s="62" t="n"/>
      <c r="AL125" s="62" t="n"/>
      <c r="AM125" s="62" t="n"/>
      <c r="AN125" s="62" t="n"/>
      <c r="AO125" s="62" t="n"/>
      <c r="AP125" s="62" t="n"/>
      <c r="AQ125" s="62" t="n"/>
      <c r="AR125" s="62" t="n"/>
      <c r="AS125" s="62" t="n"/>
      <c r="AT125" s="62" t="n"/>
      <c r="AU125" s="62" t="n"/>
      <c r="AV125" s="62" t="n"/>
      <c r="AW125" s="62" t="n"/>
      <c r="AX125" s="62" t="n"/>
      <c r="AY125" s="62" t="n"/>
    </row>
    <row r="126">
      <c r="A126" s="38">
        <f>IF(D126="","",COUNTA($D$102:D126))</f>
        <v/>
      </c>
      <c r="B126" s="52" t="n"/>
      <c r="C126" s="71" t="inlineStr">
        <is>
          <t>마케팅4팀</t>
        </is>
      </c>
      <c r="D126" s="52" t="n"/>
      <c r="E126" s="54" t="n"/>
      <c r="F126" s="52" t="n"/>
      <c r="G126" s="55" t="n"/>
      <c r="H126" s="54" t="n"/>
      <c r="I126" s="54" t="n"/>
      <c r="J126" s="54" t="n"/>
      <c r="K126" s="56">
        <f>IF(SUM(U126:AY126)=0,"",SUM(U126:AY126))</f>
        <v/>
      </c>
      <c r="L126" s="57">
        <f>IFERROR(INDEX(U$2:AY$2,MATCH(TRUE,U126:AY126&lt;&gt;"",0)),"")</f>
        <v/>
      </c>
      <c r="M126" s="58">
        <f>IFERROR(LOOKUP(2,1/(U126:AY126&lt;&gt;""),U$2:AY$2),"")</f>
        <v/>
      </c>
      <c r="N126" s="59">
        <f>IF(OR(G126="",M126=""),"",G126-M126)</f>
        <v/>
      </c>
      <c r="O126" s="60" t="n"/>
      <c r="P126" s="61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  <c r="AG126" s="62" t="n"/>
      <c r="AH126" s="62" t="n"/>
      <c r="AI126" s="62" t="n"/>
      <c r="AJ126" s="62" t="n"/>
      <c r="AK126" s="62" t="n"/>
      <c r="AL126" s="62" t="n"/>
      <c r="AM126" s="62" t="n"/>
      <c r="AN126" s="62" t="n"/>
      <c r="AO126" s="62" t="n"/>
      <c r="AP126" s="62" t="n"/>
      <c r="AQ126" s="62" t="n"/>
      <c r="AR126" s="62" t="n"/>
      <c r="AS126" s="62" t="n"/>
      <c r="AT126" s="62" t="n"/>
      <c r="AU126" s="62" t="n"/>
      <c r="AV126" s="62" t="n"/>
      <c r="AW126" s="62" t="n"/>
      <c r="AX126" s="62" t="n"/>
      <c r="AY126" s="62" t="n"/>
    </row>
    <row r="127">
      <c r="A127" s="38">
        <f>IF(D127="","",COUNTA($D$102:D127))</f>
        <v/>
      </c>
      <c r="B127" s="52" t="n"/>
      <c r="C127" s="71" t="inlineStr">
        <is>
          <t>마케팅4팀</t>
        </is>
      </c>
      <c r="D127" s="52" t="n"/>
      <c r="E127" s="54" t="n"/>
      <c r="F127" s="52" t="n"/>
      <c r="G127" s="55" t="n"/>
      <c r="H127" s="54" t="n"/>
      <c r="I127" s="54" t="n"/>
      <c r="J127" s="54" t="n"/>
      <c r="K127" s="56">
        <f>IF(SUM(U127:AY127)=0,"",SUM(U127:AY127))</f>
        <v/>
      </c>
      <c r="L127" s="57">
        <f>IFERROR(INDEX(U$2:AY$2,MATCH(TRUE,U127:AY127&lt;&gt;"",0)),"")</f>
        <v/>
      </c>
      <c r="M127" s="58">
        <f>IFERROR(LOOKUP(2,1/(U127:AY127&lt;&gt;""),U$2:AY$2),"")</f>
        <v/>
      </c>
      <c r="N127" s="59">
        <f>IF(OR(G127="",M127=""),"",G127-M127)</f>
        <v/>
      </c>
      <c r="O127" s="60" t="n"/>
      <c r="P127" s="61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  <c r="AG127" s="62" t="n"/>
      <c r="AH127" s="62" t="n"/>
      <c r="AI127" s="62" t="n"/>
      <c r="AJ127" s="62" t="n"/>
      <c r="AK127" s="62" t="n"/>
      <c r="AL127" s="62" t="n"/>
      <c r="AM127" s="62" t="n"/>
      <c r="AN127" s="62" t="n"/>
      <c r="AO127" s="62" t="n"/>
      <c r="AP127" s="62" t="n"/>
      <c r="AQ127" s="62" t="n"/>
      <c r="AR127" s="62" t="n"/>
      <c r="AS127" s="62" t="n"/>
      <c r="AT127" s="62" t="n"/>
      <c r="AU127" s="62" t="n"/>
      <c r="AV127" s="62" t="n"/>
      <c r="AW127" s="62" t="n"/>
      <c r="AX127" s="62" t="n"/>
      <c r="AY127" s="62" t="n"/>
    </row>
    <row r="128">
      <c r="A128" s="38">
        <f>IF(D128="","",COUNTA($D$102:D128))</f>
        <v/>
      </c>
      <c r="B128" s="52" t="n"/>
      <c r="C128" s="71" t="inlineStr">
        <is>
          <t>마케팅4팀</t>
        </is>
      </c>
      <c r="D128" s="52" t="n"/>
      <c r="E128" s="54" t="n"/>
      <c r="F128" s="52" t="n"/>
      <c r="G128" s="55" t="n"/>
      <c r="H128" s="54" t="n"/>
      <c r="I128" s="54" t="n"/>
      <c r="J128" s="54" t="n"/>
      <c r="K128" s="56">
        <f>IF(SUM(U128:AY128)=0,"",SUM(U128:AY128))</f>
        <v/>
      </c>
      <c r="L128" s="57">
        <f>IFERROR(INDEX(U$2:AY$2,MATCH(TRUE,U128:AY128&lt;&gt;"",0)),"")</f>
        <v/>
      </c>
      <c r="M128" s="58">
        <f>IFERROR(LOOKUP(2,1/(U128:AY128&lt;&gt;""),U$2:AY$2),"")</f>
        <v/>
      </c>
      <c r="N128" s="59">
        <f>IF(OR(G128="",M128=""),"",G128-M128)</f>
        <v/>
      </c>
      <c r="O128" s="60" t="n"/>
      <c r="P128" s="61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  <c r="AG128" s="62" t="n"/>
      <c r="AH128" s="62" t="n"/>
      <c r="AI128" s="62" t="n"/>
      <c r="AJ128" s="62" t="n"/>
      <c r="AK128" s="62" t="n"/>
      <c r="AL128" s="62" t="n"/>
      <c r="AM128" s="62" t="n"/>
      <c r="AN128" s="62" t="n"/>
      <c r="AO128" s="62" t="n"/>
      <c r="AP128" s="62" t="n"/>
      <c r="AQ128" s="62" t="n"/>
      <c r="AR128" s="62" t="n"/>
      <c r="AS128" s="62" t="n"/>
      <c r="AT128" s="62" t="n"/>
      <c r="AU128" s="62" t="n"/>
      <c r="AV128" s="62" t="n"/>
      <c r="AW128" s="62" t="n"/>
      <c r="AX128" s="62" t="n"/>
      <c r="AY128" s="62" t="n"/>
    </row>
    <row r="129">
      <c r="A129" s="38">
        <f>IF(D129="","",COUNTA($D$102:D129))</f>
        <v/>
      </c>
      <c r="B129" s="52" t="n"/>
      <c r="C129" s="71" t="inlineStr">
        <is>
          <t>마케팅4팀</t>
        </is>
      </c>
      <c r="D129" s="52" t="n"/>
      <c r="E129" s="54" t="n"/>
      <c r="F129" s="52" t="n"/>
      <c r="G129" s="55" t="n"/>
      <c r="H129" s="54" t="n"/>
      <c r="I129" s="54" t="n"/>
      <c r="J129" s="54" t="n"/>
      <c r="K129" s="56">
        <f>IF(SUM(U129:AY129)=0,"",SUM(U129:AY129))</f>
        <v/>
      </c>
      <c r="L129" s="57">
        <f>IFERROR(INDEX(U$2:AY$2,MATCH(TRUE,U129:AY129&lt;&gt;"",0)),"")</f>
        <v/>
      </c>
      <c r="M129" s="58">
        <f>IFERROR(LOOKUP(2,1/(U129:AY129&lt;&gt;""),U$2:AY$2),"")</f>
        <v/>
      </c>
      <c r="N129" s="59">
        <f>IF(OR(G129="",M129=""),"",G129-M129)</f>
        <v/>
      </c>
      <c r="O129" s="60" t="n"/>
      <c r="P129" s="61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  <c r="AG129" s="62" t="n"/>
      <c r="AH129" s="62" t="n"/>
      <c r="AI129" s="62" t="n"/>
      <c r="AJ129" s="62" t="n"/>
      <c r="AK129" s="62" t="n"/>
      <c r="AL129" s="62" t="n"/>
      <c r="AM129" s="62" t="n"/>
      <c r="AN129" s="62" t="n"/>
      <c r="AO129" s="62" t="n"/>
      <c r="AP129" s="62" t="n"/>
      <c r="AQ129" s="62" t="n"/>
      <c r="AR129" s="62" t="n"/>
      <c r="AS129" s="62" t="n"/>
      <c r="AT129" s="62" t="n"/>
      <c r="AU129" s="62" t="n"/>
      <c r="AV129" s="62" t="n"/>
      <c r="AW129" s="62" t="n"/>
      <c r="AX129" s="62" t="n"/>
      <c r="AY129" s="62" t="n"/>
    </row>
    <row r="130">
      <c r="A130" s="38">
        <f>IF(D130="","",COUNTA($D$102:D130))</f>
        <v/>
      </c>
      <c r="B130" s="52" t="n"/>
      <c r="C130" s="71" t="inlineStr">
        <is>
          <t>마케팅4팀</t>
        </is>
      </c>
      <c r="D130" s="52" t="n"/>
      <c r="E130" s="54" t="n"/>
      <c r="F130" s="52" t="n"/>
      <c r="G130" s="55" t="n"/>
      <c r="H130" s="54" t="n"/>
      <c r="I130" s="54" t="n"/>
      <c r="J130" s="54" t="n"/>
      <c r="K130" s="56">
        <f>IF(SUM(U130:AY130)=0,"",SUM(U130:AY130))</f>
        <v/>
      </c>
      <c r="L130" s="57">
        <f>IFERROR(INDEX(U$2:AY$2,MATCH(TRUE,U130:AY130&lt;&gt;"",0)),"")</f>
        <v/>
      </c>
      <c r="M130" s="58">
        <f>IFERROR(LOOKUP(2,1/(U130:AY130&lt;&gt;""),U$2:AY$2),"")</f>
        <v/>
      </c>
      <c r="N130" s="59">
        <f>IF(OR(G130="",M130=""),"",G130-M130)</f>
        <v/>
      </c>
      <c r="O130" s="60" t="n"/>
      <c r="P130" s="61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  <c r="AG130" s="62" t="n"/>
      <c r="AH130" s="62" t="n"/>
      <c r="AI130" s="62" t="n"/>
      <c r="AJ130" s="62" t="n"/>
      <c r="AK130" s="62" t="n"/>
      <c r="AL130" s="62" t="n"/>
      <c r="AM130" s="62" t="n"/>
      <c r="AN130" s="62" t="n"/>
      <c r="AO130" s="62" t="n"/>
      <c r="AP130" s="62" t="n"/>
      <c r="AQ130" s="62" t="n"/>
      <c r="AR130" s="62" t="n"/>
      <c r="AS130" s="62" t="n"/>
      <c r="AT130" s="62" t="n"/>
      <c r="AU130" s="62" t="n"/>
      <c r="AV130" s="62" t="n"/>
      <c r="AW130" s="62" t="n"/>
      <c r="AX130" s="62" t="n"/>
      <c r="AY130" s="62" t="n"/>
    </row>
    <row r="131">
      <c r="A131" s="38">
        <f>IF(D131="","",COUNTA($D$102:D131))</f>
        <v/>
      </c>
      <c r="B131" s="52" t="n"/>
      <c r="C131" s="71" t="inlineStr">
        <is>
          <t>마케팅4팀</t>
        </is>
      </c>
      <c r="D131" s="52" t="n"/>
      <c r="E131" s="54" t="n"/>
      <c r="F131" s="52" t="n"/>
      <c r="G131" s="55" t="n"/>
      <c r="H131" s="54" t="n"/>
      <c r="I131" s="54" t="n"/>
      <c r="J131" s="54" t="n"/>
      <c r="K131" s="56">
        <f>IF(SUM(U131:AY131)=0,"",SUM(U131:AY131))</f>
        <v/>
      </c>
      <c r="L131" s="57">
        <f>IFERROR(INDEX(U$2:AY$2,MATCH(TRUE,U131:AY131&lt;&gt;"",0)),"")</f>
        <v/>
      </c>
      <c r="M131" s="58">
        <f>IFERROR(LOOKUP(2,1/(U131:AY131&lt;&gt;""),U$2:AY$2),"")</f>
        <v/>
      </c>
      <c r="N131" s="59">
        <f>IF(OR(G131="",M131=""),"",G131-M131)</f>
        <v/>
      </c>
      <c r="O131" s="60" t="n"/>
      <c r="P131" s="61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  <c r="AG131" s="62" t="n"/>
      <c r="AH131" s="62" t="n"/>
      <c r="AI131" s="62" t="n"/>
      <c r="AJ131" s="62" t="n"/>
      <c r="AK131" s="62" t="n"/>
      <c r="AL131" s="62" t="n"/>
      <c r="AM131" s="62" t="n"/>
      <c r="AN131" s="62" t="n"/>
      <c r="AO131" s="62" t="n"/>
      <c r="AP131" s="62" t="n"/>
      <c r="AQ131" s="62" t="n"/>
      <c r="AR131" s="62" t="n"/>
      <c r="AS131" s="62" t="n"/>
      <c r="AT131" s="62" t="n"/>
      <c r="AU131" s="62" t="n"/>
      <c r="AV131" s="62" t="n"/>
      <c r="AW131" s="62" t="n"/>
      <c r="AX131" s="62" t="n"/>
      <c r="AY131" s="62" t="n"/>
    </row>
    <row r="132">
      <c r="A132" s="72" t="inlineStr">
        <is>
          <t>기타  (133~162행)</t>
        </is>
      </c>
      <c r="U132" s="34" t="n"/>
      <c r="V132" s="34" t="n"/>
      <c r="W132" s="34" t="n"/>
      <c r="X132" s="34" t="n"/>
      <c r="Y132" s="34" t="n"/>
      <c r="Z132" s="34" t="n"/>
      <c r="AA132" s="34" t="n"/>
      <c r="AB132" s="34" t="n"/>
      <c r="AC132" s="34" t="n"/>
      <c r="AD132" s="34" t="n"/>
      <c r="AE132" s="34" t="n"/>
      <c r="AF132" s="34" t="n"/>
      <c r="AG132" s="34" t="n"/>
      <c r="AH132" s="34" t="n"/>
      <c r="AI132" s="34" t="n"/>
      <c r="AJ132" s="34" t="n"/>
      <c r="AK132" s="34" t="n"/>
      <c r="AL132" s="34" t="n"/>
      <c r="AM132" s="34" t="n"/>
      <c r="AN132" s="34" t="n"/>
      <c r="AO132" s="34" t="n"/>
      <c r="AP132" s="34" t="n"/>
      <c r="AQ132" s="34" t="n"/>
      <c r="AR132" s="34" t="n"/>
      <c r="AS132" s="34" t="n"/>
      <c r="AT132" s="34" t="n"/>
      <c r="AU132" s="34" t="n"/>
      <c r="AV132" s="34" t="n"/>
      <c r="AW132" s="34" t="n"/>
      <c r="AX132" s="34" t="n"/>
      <c r="AY132" s="34" t="n"/>
    </row>
    <row r="133">
      <c r="A133" s="38">
        <f>IF(D133="","",COUNTA($D$133:D133))</f>
        <v/>
      </c>
      <c r="B133" s="52" t="n"/>
      <c r="C133" s="73" t="inlineStr">
        <is>
          <t>기타</t>
        </is>
      </c>
      <c r="D133" s="52" t="n"/>
      <c r="E133" s="54" t="n"/>
      <c r="F133" s="52" t="n"/>
      <c r="G133" s="55" t="n"/>
      <c r="H133" s="54" t="n"/>
      <c r="I133" s="54" t="n"/>
      <c r="J133" s="54" t="n"/>
      <c r="K133" s="56">
        <f>IF(SUM(U133:AY133)=0,"",SUM(U133:AY133))</f>
        <v/>
      </c>
      <c r="L133" s="57">
        <f>IFERROR(INDEX(U$2:AY$2,MATCH(TRUE,U133:AY133&lt;&gt;"",0)),"")</f>
        <v/>
      </c>
      <c r="M133" s="58">
        <f>IFERROR(LOOKUP(2,1/(U133:AY133&lt;&gt;""),U$2:AY$2),"")</f>
        <v/>
      </c>
      <c r="N133" s="59">
        <f>IF(OR(G133="",M133=""),"",G133-M133)</f>
        <v/>
      </c>
      <c r="O133" s="60" t="n"/>
      <c r="P133" s="61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  <c r="AG133" s="62" t="n"/>
      <c r="AH133" s="62" t="n"/>
      <c r="AI133" s="62" t="n"/>
      <c r="AJ133" s="62" t="n"/>
      <c r="AK133" s="62" t="n"/>
      <c r="AL133" s="62" t="n"/>
      <c r="AM133" s="62" t="n"/>
      <c r="AN133" s="62" t="n"/>
      <c r="AO133" s="62" t="n"/>
      <c r="AP133" s="62" t="n"/>
      <c r="AQ133" s="62" t="n"/>
      <c r="AR133" s="62" t="n"/>
      <c r="AS133" s="62" t="n"/>
      <c r="AT133" s="62" t="n"/>
      <c r="AU133" s="62" t="n"/>
      <c r="AV133" s="62" t="n"/>
      <c r="AW133" s="62" t="n"/>
      <c r="AX133" s="62" t="n"/>
      <c r="AY133" s="62" t="n"/>
    </row>
    <row r="134">
      <c r="A134" s="38">
        <f>IF(D134="","",COUNTA($D$133:D134))</f>
        <v/>
      </c>
      <c r="B134" s="52" t="n"/>
      <c r="C134" s="73" t="inlineStr">
        <is>
          <t>기타</t>
        </is>
      </c>
      <c r="D134" s="52" t="n"/>
      <c r="E134" s="54" t="n"/>
      <c r="F134" s="52" t="n"/>
      <c r="G134" s="55" t="n"/>
      <c r="H134" s="54" t="n"/>
      <c r="I134" s="54" t="n"/>
      <c r="J134" s="54" t="n"/>
      <c r="K134" s="56">
        <f>IF(SUM(U134:AY134)=0,"",SUM(U134:AY134))</f>
        <v/>
      </c>
      <c r="L134" s="57">
        <f>IFERROR(INDEX(U$2:AY$2,MATCH(TRUE,U134:AY134&lt;&gt;"",0)),"")</f>
        <v/>
      </c>
      <c r="M134" s="58">
        <f>IFERROR(LOOKUP(2,1/(U134:AY134&lt;&gt;""),U$2:AY$2),"")</f>
        <v/>
      </c>
      <c r="N134" s="59">
        <f>IF(OR(G134="",M134=""),"",G134-M134)</f>
        <v/>
      </c>
      <c r="O134" s="60" t="n"/>
      <c r="P134" s="61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  <c r="AG134" s="62" t="n"/>
      <c r="AH134" s="62" t="n"/>
      <c r="AI134" s="62" t="n"/>
      <c r="AJ134" s="62" t="n"/>
      <c r="AK134" s="62" t="n"/>
      <c r="AL134" s="62" t="n"/>
      <c r="AM134" s="62" t="n"/>
      <c r="AN134" s="62" t="n"/>
      <c r="AO134" s="62" t="n"/>
      <c r="AP134" s="62" t="n"/>
      <c r="AQ134" s="62" t="n"/>
      <c r="AR134" s="62" t="n"/>
      <c r="AS134" s="62" t="n"/>
      <c r="AT134" s="62" t="n"/>
      <c r="AU134" s="62" t="n"/>
      <c r="AV134" s="62" t="n"/>
      <c r="AW134" s="62" t="n"/>
      <c r="AX134" s="62" t="n"/>
      <c r="AY134" s="62" t="n"/>
    </row>
    <row r="135">
      <c r="A135" s="38">
        <f>IF(D135="","",COUNTA($D$133:D135))</f>
        <v/>
      </c>
      <c r="B135" s="52" t="n"/>
      <c r="C135" s="73" t="inlineStr">
        <is>
          <t>기타</t>
        </is>
      </c>
      <c r="D135" s="52" t="n"/>
      <c r="E135" s="54" t="n"/>
      <c r="F135" s="52" t="n"/>
      <c r="G135" s="55" t="n"/>
      <c r="H135" s="54" t="n"/>
      <c r="I135" s="54" t="n"/>
      <c r="J135" s="54" t="n"/>
      <c r="K135" s="56">
        <f>IF(SUM(U135:AY135)=0,"",SUM(U135:AY135))</f>
        <v/>
      </c>
      <c r="L135" s="57">
        <f>IFERROR(INDEX(U$2:AY$2,MATCH(TRUE,U135:AY135&lt;&gt;"",0)),"")</f>
        <v/>
      </c>
      <c r="M135" s="58">
        <f>IFERROR(LOOKUP(2,1/(U135:AY135&lt;&gt;""),U$2:AY$2),"")</f>
        <v/>
      </c>
      <c r="N135" s="59">
        <f>IF(OR(G135="",M135=""),"",G135-M135)</f>
        <v/>
      </c>
      <c r="O135" s="60" t="n"/>
      <c r="P135" s="61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  <c r="AG135" s="62" t="n"/>
      <c r="AH135" s="62" t="n"/>
      <c r="AI135" s="62" t="n"/>
      <c r="AJ135" s="62" t="n"/>
      <c r="AK135" s="62" t="n"/>
      <c r="AL135" s="62" t="n"/>
      <c r="AM135" s="62" t="n"/>
      <c r="AN135" s="62" t="n"/>
      <c r="AO135" s="62" t="n"/>
      <c r="AP135" s="62" t="n"/>
      <c r="AQ135" s="62" t="n"/>
      <c r="AR135" s="62" t="n"/>
      <c r="AS135" s="62" t="n"/>
      <c r="AT135" s="62" t="n"/>
      <c r="AU135" s="62" t="n"/>
      <c r="AV135" s="62" t="n"/>
      <c r="AW135" s="62" t="n"/>
      <c r="AX135" s="62" t="n"/>
      <c r="AY135" s="62" t="n"/>
    </row>
    <row r="136">
      <c r="A136" s="38">
        <f>IF(D136="","",COUNTA($D$133:D136))</f>
        <v/>
      </c>
      <c r="B136" s="52" t="n"/>
      <c r="C136" s="73" t="inlineStr">
        <is>
          <t>기타</t>
        </is>
      </c>
      <c r="D136" s="52" t="n"/>
      <c r="E136" s="54" t="n"/>
      <c r="F136" s="52" t="n"/>
      <c r="G136" s="55" t="n"/>
      <c r="H136" s="54" t="n"/>
      <c r="I136" s="54" t="n"/>
      <c r="J136" s="54" t="n"/>
      <c r="K136" s="56">
        <f>IF(SUM(U136:AY136)=0,"",SUM(U136:AY136))</f>
        <v/>
      </c>
      <c r="L136" s="57">
        <f>IFERROR(INDEX(U$2:AY$2,MATCH(TRUE,U136:AY136&lt;&gt;"",0)),"")</f>
        <v/>
      </c>
      <c r="M136" s="58">
        <f>IFERROR(LOOKUP(2,1/(U136:AY136&lt;&gt;""),U$2:AY$2),"")</f>
        <v/>
      </c>
      <c r="N136" s="59">
        <f>IF(OR(G136="",M136=""),"",G136-M136)</f>
        <v/>
      </c>
      <c r="O136" s="60" t="n"/>
      <c r="P136" s="61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  <c r="AG136" s="62" t="n"/>
      <c r="AH136" s="62" t="n"/>
      <c r="AI136" s="62" t="n"/>
      <c r="AJ136" s="62" t="n"/>
      <c r="AK136" s="62" t="n"/>
      <c r="AL136" s="62" t="n"/>
      <c r="AM136" s="62" t="n"/>
      <c r="AN136" s="62" t="n"/>
      <c r="AO136" s="62" t="n"/>
      <c r="AP136" s="62" t="n"/>
      <c r="AQ136" s="62" t="n"/>
      <c r="AR136" s="62" t="n"/>
      <c r="AS136" s="62" t="n"/>
      <c r="AT136" s="62" t="n"/>
      <c r="AU136" s="62" t="n"/>
      <c r="AV136" s="62" t="n"/>
      <c r="AW136" s="62" t="n"/>
      <c r="AX136" s="62" t="n"/>
      <c r="AY136" s="62" t="n"/>
    </row>
    <row r="137">
      <c r="A137" s="38">
        <f>IF(D137="","",COUNTA($D$133:D137))</f>
        <v/>
      </c>
      <c r="B137" s="52" t="n"/>
      <c r="C137" s="73" t="inlineStr">
        <is>
          <t>기타</t>
        </is>
      </c>
      <c r="D137" s="52" t="n"/>
      <c r="E137" s="54" t="n"/>
      <c r="F137" s="52" t="n"/>
      <c r="G137" s="55" t="n"/>
      <c r="H137" s="54" t="n"/>
      <c r="I137" s="54" t="n"/>
      <c r="J137" s="54" t="n"/>
      <c r="K137" s="56">
        <f>IF(SUM(U137:AY137)=0,"",SUM(U137:AY137))</f>
        <v/>
      </c>
      <c r="L137" s="57">
        <f>IFERROR(INDEX(U$2:AY$2,MATCH(TRUE,U137:AY137&lt;&gt;"",0)),"")</f>
        <v/>
      </c>
      <c r="M137" s="58">
        <f>IFERROR(LOOKUP(2,1/(U137:AY137&lt;&gt;""),U$2:AY$2),"")</f>
        <v/>
      </c>
      <c r="N137" s="59">
        <f>IF(OR(G137="",M137=""),"",G137-M137)</f>
        <v/>
      </c>
      <c r="O137" s="60" t="n"/>
      <c r="P137" s="61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  <c r="AG137" s="62" t="n"/>
      <c r="AH137" s="62" t="n"/>
      <c r="AI137" s="62" t="n"/>
      <c r="AJ137" s="62" t="n"/>
      <c r="AK137" s="62" t="n"/>
      <c r="AL137" s="62" t="n"/>
      <c r="AM137" s="62" t="n"/>
      <c r="AN137" s="62" t="n"/>
      <c r="AO137" s="62" t="n"/>
      <c r="AP137" s="62" t="n"/>
      <c r="AQ137" s="62" t="n"/>
      <c r="AR137" s="62" t="n"/>
      <c r="AS137" s="62" t="n"/>
      <c r="AT137" s="62" t="n"/>
      <c r="AU137" s="62" t="n"/>
      <c r="AV137" s="62" t="n"/>
      <c r="AW137" s="62" t="n"/>
      <c r="AX137" s="62" t="n"/>
      <c r="AY137" s="62" t="n"/>
    </row>
    <row r="138">
      <c r="A138" s="38">
        <f>IF(D138="","",COUNTA($D$133:D138))</f>
        <v/>
      </c>
      <c r="B138" s="52" t="n"/>
      <c r="C138" s="73" t="inlineStr">
        <is>
          <t>기타</t>
        </is>
      </c>
      <c r="D138" s="52" t="n"/>
      <c r="E138" s="54" t="n"/>
      <c r="F138" s="52" t="n"/>
      <c r="G138" s="55" t="n"/>
      <c r="H138" s="54" t="n"/>
      <c r="I138" s="54" t="n"/>
      <c r="J138" s="54" t="n"/>
      <c r="K138" s="56">
        <f>IF(SUM(U138:AY138)=0,"",SUM(U138:AY138))</f>
        <v/>
      </c>
      <c r="L138" s="57">
        <f>IFERROR(INDEX(U$2:AY$2,MATCH(TRUE,U138:AY138&lt;&gt;"",0)),"")</f>
        <v/>
      </c>
      <c r="M138" s="58">
        <f>IFERROR(LOOKUP(2,1/(U138:AY138&lt;&gt;""),U$2:AY$2),"")</f>
        <v/>
      </c>
      <c r="N138" s="59">
        <f>IF(OR(G138="",M138=""),"",G138-M138)</f>
        <v/>
      </c>
      <c r="O138" s="60" t="n"/>
      <c r="P138" s="61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  <c r="AG138" s="62" t="n"/>
      <c r="AH138" s="62" t="n"/>
      <c r="AI138" s="62" t="n"/>
      <c r="AJ138" s="62" t="n"/>
      <c r="AK138" s="62" t="n"/>
      <c r="AL138" s="62" t="n"/>
      <c r="AM138" s="62" t="n"/>
      <c r="AN138" s="62" t="n"/>
      <c r="AO138" s="62" t="n"/>
      <c r="AP138" s="62" t="n"/>
      <c r="AQ138" s="62" t="n"/>
      <c r="AR138" s="62" t="n"/>
      <c r="AS138" s="62" t="n"/>
      <c r="AT138" s="62" t="n"/>
      <c r="AU138" s="62" t="n"/>
      <c r="AV138" s="62" t="n"/>
      <c r="AW138" s="62" t="n"/>
      <c r="AX138" s="62" t="n"/>
      <c r="AY138" s="62" t="n"/>
    </row>
    <row r="139">
      <c r="A139" s="38">
        <f>IF(D139="","",COUNTA($D$133:D139))</f>
        <v/>
      </c>
      <c r="B139" s="52" t="n"/>
      <c r="C139" s="73" t="inlineStr">
        <is>
          <t>기타</t>
        </is>
      </c>
      <c r="D139" s="52" t="n"/>
      <c r="E139" s="54" t="n"/>
      <c r="F139" s="52" t="n"/>
      <c r="G139" s="55" t="n"/>
      <c r="H139" s="54" t="n"/>
      <c r="I139" s="54" t="n"/>
      <c r="J139" s="54" t="n"/>
      <c r="K139" s="56">
        <f>IF(SUM(U139:AY139)=0,"",SUM(U139:AY139))</f>
        <v/>
      </c>
      <c r="L139" s="57">
        <f>IFERROR(INDEX(U$2:AY$2,MATCH(TRUE,U139:AY139&lt;&gt;"",0)),"")</f>
        <v/>
      </c>
      <c r="M139" s="58">
        <f>IFERROR(LOOKUP(2,1/(U139:AY139&lt;&gt;""),U$2:AY$2),"")</f>
        <v/>
      </c>
      <c r="N139" s="59">
        <f>IF(OR(G139="",M139=""),"",G139-M139)</f>
        <v/>
      </c>
      <c r="O139" s="60" t="n"/>
      <c r="P139" s="61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  <c r="AG139" s="62" t="n"/>
      <c r="AH139" s="62" t="n"/>
      <c r="AI139" s="62" t="n"/>
      <c r="AJ139" s="62" t="n"/>
      <c r="AK139" s="62" t="n"/>
      <c r="AL139" s="62" t="n"/>
      <c r="AM139" s="62" t="n"/>
      <c r="AN139" s="62" t="n"/>
      <c r="AO139" s="62" t="n"/>
      <c r="AP139" s="62" t="n"/>
      <c r="AQ139" s="62" t="n"/>
      <c r="AR139" s="62" t="n"/>
      <c r="AS139" s="62" t="n"/>
      <c r="AT139" s="62" t="n"/>
      <c r="AU139" s="62" t="n"/>
      <c r="AV139" s="62" t="n"/>
      <c r="AW139" s="62" t="n"/>
      <c r="AX139" s="62" t="n"/>
      <c r="AY139" s="62" t="n"/>
    </row>
    <row r="140">
      <c r="A140" s="38">
        <f>IF(D140="","",COUNTA($D$133:D140))</f>
        <v/>
      </c>
      <c r="B140" s="52" t="n"/>
      <c r="C140" s="73" t="inlineStr">
        <is>
          <t>기타</t>
        </is>
      </c>
      <c r="D140" s="52" t="n"/>
      <c r="E140" s="54" t="n"/>
      <c r="F140" s="52" t="n"/>
      <c r="G140" s="55" t="n"/>
      <c r="H140" s="54" t="n"/>
      <c r="I140" s="54" t="n"/>
      <c r="J140" s="54" t="n"/>
      <c r="K140" s="56">
        <f>IF(SUM(U140:AY140)=0,"",SUM(U140:AY140))</f>
        <v/>
      </c>
      <c r="L140" s="57">
        <f>IFERROR(INDEX(U$2:AY$2,MATCH(TRUE,U140:AY140&lt;&gt;"",0)),"")</f>
        <v/>
      </c>
      <c r="M140" s="58">
        <f>IFERROR(LOOKUP(2,1/(U140:AY140&lt;&gt;""),U$2:AY$2),"")</f>
        <v/>
      </c>
      <c r="N140" s="59">
        <f>IF(OR(G140="",M140=""),"",G140-M140)</f>
        <v/>
      </c>
      <c r="O140" s="60" t="n"/>
      <c r="P140" s="61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  <c r="AG140" s="62" t="n"/>
      <c r="AH140" s="62" t="n"/>
      <c r="AI140" s="62" t="n"/>
      <c r="AJ140" s="62" t="n"/>
      <c r="AK140" s="62" t="n"/>
      <c r="AL140" s="62" t="n"/>
      <c r="AM140" s="62" t="n"/>
      <c r="AN140" s="62" t="n"/>
      <c r="AO140" s="62" t="n"/>
      <c r="AP140" s="62" t="n"/>
      <c r="AQ140" s="62" t="n"/>
      <c r="AR140" s="62" t="n"/>
      <c r="AS140" s="62" t="n"/>
      <c r="AT140" s="62" t="n"/>
      <c r="AU140" s="62" t="n"/>
      <c r="AV140" s="62" t="n"/>
      <c r="AW140" s="62" t="n"/>
      <c r="AX140" s="62" t="n"/>
      <c r="AY140" s="62" t="n"/>
    </row>
    <row r="141">
      <c r="A141" s="38">
        <f>IF(D141="","",COUNTA($D$133:D141))</f>
        <v/>
      </c>
      <c r="B141" s="52" t="n"/>
      <c r="C141" s="73" t="inlineStr">
        <is>
          <t>기타</t>
        </is>
      </c>
      <c r="D141" s="52" t="n"/>
      <c r="E141" s="54" t="n"/>
      <c r="F141" s="52" t="n"/>
      <c r="G141" s="55" t="n"/>
      <c r="H141" s="54" t="n"/>
      <c r="I141" s="54" t="n"/>
      <c r="J141" s="54" t="n"/>
      <c r="K141" s="56">
        <f>IF(SUM(U141:AY141)=0,"",SUM(U141:AY141))</f>
        <v/>
      </c>
      <c r="L141" s="57">
        <f>IFERROR(INDEX(U$2:AY$2,MATCH(TRUE,U141:AY141&lt;&gt;"",0)),"")</f>
        <v/>
      </c>
      <c r="M141" s="58">
        <f>IFERROR(LOOKUP(2,1/(U141:AY141&lt;&gt;""),U$2:AY$2),"")</f>
        <v/>
      </c>
      <c r="N141" s="59">
        <f>IF(OR(G141="",M141=""),"",G141-M141)</f>
        <v/>
      </c>
      <c r="O141" s="60" t="n"/>
      <c r="P141" s="61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  <c r="AG141" s="62" t="n"/>
      <c r="AH141" s="62" t="n"/>
      <c r="AI141" s="62" t="n"/>
      <c r="AJ141" s="62" t="n"/>
      <c r="AK141" s="62" t="n"/>
      <c r="AL141" s="62" t="n"/>
      <c r="AM141" s="62" t="n"/>
      <c r="AN141" s="62" t="n"/>
      <c r="AO141" s="62" t="n"/>
      <c r="AP141" s="62" t="n"/>
      <c r="AQ141" s="62" t="n"/>
      <c r="AR141" s="62" t="n"/>
      <c r="AS141" s="62" t="n"/>
      <c r="AT141" s="62" t="n"/>
      <c r="AU141" s="62" t="n"/>
      <c r="AV141" s="62" t="n"/>
      <c r="AW141" s="62" t="n"/>
      <c r="AX141" s="62" t="n"/>
      <c r="AY141" s="62" t="n"/>
    </row>
    <row r="142">
      <c r="A142" s="38">
        <f>IF(D142="","",COUNTA($D$133:D142))</f>
        <v/>
      </c>
      <c r="B142" s="52" t="n"/>
      <c r="C142" s="73" t="inlineStr">
        <is>
          <t>기타</t>
        </is>
      </c>
      <c r="D142" s="52" t="n"/>
      <c r="E142" s="54" t="n"/>
      <c r="F142" s="52" t="n"/>
      <c r="G142" s="55" t="n"/>
      <c r="H142" s="54" t="n"/>
      <c r="I142" s="54" t="n"/>
      <c r="J142" s="54" t="n"/>
      <c r="K142" s="56">
        <f>IF(SUM(U142:AY142)=0,"",SUM(U142:AY142))</f>
        <v/>
      </c>
      <c r="L142" s="57">
        <f>IFERROR(INDEX(U$2:AY$2,MATCH(TRUE,U142:AY142&lt;&gt;"",0)),"")</f>
        <v/>
      </c>
      <c r="M142" s="58">
        <f>IFERROR(LOOKUP(2,1/(U142:AY142&lt;&gt;""),U$2:AY$2),"")</f>
        <v/>
      </c>
      <c r="N142" s="59">
        <f>IF(OR(G142="",M142=""),"",G142-M142)</f>
        <v/>
      </c>
      <c r="O142" s="60" t="n"/>
      <c r="P142" s="61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  <c r="AG142" s="62" t="n"/>
      <c r="AH142" s="62" t="n"/>
      <c r="AI142" s="62" t="n"/>
      <c r="AJ142" s="62" t="n"/>
      <c r="AK142" s="62" t="n"/>
      <c r="AL142" s="62" t="n"/>
      <c r="AM142" s="62" t="n"/>
      <c r="AN142" s="62" t="n"/>
      <c r="AO142" s="62" t="n"/>
      <c r="AP142" s="62" t="n"/>
      <c r="AQ142" s="62" t="n"/>
      <c r="AR142" s="62" t="n"/>
      <c r="AS142" s="62" t="n"/>
      <c r="AT142" s="62" t="n"/>
      <c r="AU142" s="62" t="n"/>
      <c r="AV142" s="62" t="n"/>
      <c r="AW142" s="62" t="n"/>
      <c r="AX142" s="62" t="n"/>
      <c r="AY142" s="62" t="n"/>
    </row>
    <row r="143">
      <c r="A143" s="38">
        <f>IF(D143="","",COUNTA($D$133:D143))</f>
        <v/>
      </c>
      <c r="B143" s="52" t="n"/>
      <c r="C143" s="73" t="inlineStr">
        <is>
          <t>기타</t>
        </is>
      </c>
      <c r="D143" s="52" t="n"/>
      <c r="E143" s="54" t="n"/>
      <c r="F143" s="52" t="n"/>
      <c r="G143" s="55" t="n"/>
      <c r="H143" s="54" t="n"/>
      <c r="I143" s="54" t="n"/>
      <c r="J143" s="54" t="n"/>
      <c r="K143" s="56">
        <f>IF(SUM(U143:AY143)=0,"",SUM(U143:AY143))</f>
        <v/>
      </c>
      <c r="L143" s="57">
        <f>IFERROR(INDEX(U$2:AY$2,MATCH(TRUE,U143:AY143&lt;&gt;"",0)),"")</f>
        <v/>
      </c>
      <c r="M143" s="58">
        <f>IFERROR(LOOKUP(2,1/(U143:AY143&lt;&gt;""),U$2:AY$2),"")</f>
        <v/>
      </c>
      <c r="N143" s="59">
        <f>IF(OR(G143="",M143=""),"",G143-M143)</f>
        <v/>
      </c>
      <c r="O143" s="60" t="n"/>
      <c r="P143" s="61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  <c r="AG143" s="62" t="n"/>
      <c r="AH143" s="62" t="n"/>
      <c r="AI143" s="62" t="n"/>
      <c r="AJ143" s="62" t="n"/>
      <c r="AK143" s="62" t="n"/>
      <c r="AL143" s="62" t="n"/>
      <c r="AM143" s="62" t="n"/>
      <c r="AN143" s="62" t="n"/>
      <c r="AO143" s="62" t="n"/>
      <c r="AP143" s="62" t="n"/>
      <c r="AQ143" s="62" t="n"/>
      <c r="AR143" s="62" t="n"/>
      <c r="AS143" s="62" t="n"/>
      <c r="AT143" s="62" t="n"/>
      <c r="AU143" s="62" t="n"/>
      <c r="AV143" s="62" t="n"/>
      <c r="AW143" s="62" t="n"/>
      <c r="AX143" s="62" t="n"/>
      <c r="AY143" s="62" t="n"/>
    </row>
    <row r="144">
      <c r="A144" s="38">
        <f>IF(D144="","",COUNTA($D$133:D144))</f>
        <v/>
      </c>
      <c r="B144" s="52" t="n"/>
      <c r="C144" s="73" t="inlineStr">
        <is>
          <t>기타</t>
        </is>
      </c>
      <c r="D144" s="52" t="n"/>
      <c r="E144" s="54" t="n"/>
      <c r="F144" s="52" t="n"/>
      <c r="G144" s="55" t="n"/>
      <c r="H144" s="54" t="n"/>
      <c r="I144" s="54" t="n"/>
      <c r="J144" s="54" t="n"/>
      <c r="K144" s="56">
        <f>IF(SUM(U144:AY144)=0,"",SUM(U144:AY144))</f>
        <v/>
      </c>
      <c r="L144" s="57">
        <f>IFERROR(INDEX(U$2:AY$2,MATCH(TRUE,U144:AY144&lt;&gt;"",0)),"")</f>
        <v/>
      </c>
      <c r="M144" s="58">
        <f>IFERROR(LOOKUP(2,1/(U144:AY144&lt;&gt;""),U$2:AY$2),"")</f>
        <v/>
      </c>
      <c r="N144" s="59">
        <f>IF(OR(G144="",M144=""),"",G144-M144)</f>
        <v/>
      </c>
      <c r="O144" s="60" t="n"/>
      <c r="P144" s="61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  <c r="AG144" s="62" t="n"/>
      <c r="AH144" s="62" t="n"/>
      <c r="AI144" s="62" t="n"/>
      <c r="AJ144" s="62" t="n"/>
      <c r="AK144" s="62" t="n"/>
      <c r="AL144" s="62" t="n"/>
      <c r="AM144" s="62" t="n"/>
      <c r="AN144" s="62" t="n"/>
      <c r="AO144" s="62" t="n"/>
      <c r="AP144" s="62" t="n"/>
      <c r="AQ144" s="62" t="n"/>
      <c r="AR144" s="62" t="n"/>
      <c r="AS144" s="62" t="n"/>
      <c r="AT144" s="62" t="n"/>
      <c r="AU144" s="62" t="n"/>
      <c r="AV144" s="62" t="n"/>
      <c r="AW144" s="62" t="n"/>
      <c r="AX144" s="62" t="n"/>
      <c r="AY144" s="62" t="n"/>
    </row>
    <row r="145">
      <c r="A145" s="38">
        <f>IF(D145="","",COUNTA($D$133:D145))</f>
        <v/>
      </c>
      <c r="B145" s="52" t="n"/>
      <c r="C145" s="73" t="inlineStr">
        <is>
          <t>기타</t>
        </is>
      </c>
      <c r="D145" s="52" t="n"/>
      <c r="E145" s="54" t="n"/>
      <c r="F145" s="52" t="n"/>
      <c r="G145" s="55" t="n"/>
      <c r="H145" s="54" t="n"/>
      <c r="I145" s="54" t="n"/>
      <c r="J145" s="54" t="n"/>
      <c r="K145" s="56">
        <f>IF(SUM(U145:AY145)=0,"",SUM(U145:AY145))</f>
        <v/>
      </c>
      <c r="L145" s="57">
        <f>IFERROR(INDEX(U$2:AY$2,MATCH(TRUE,U145:AY145&lt;&gt;"",0)),"")</f>
        <v/>
      </c>
      <c r="M145" s="58">
        <f>IFERROR(LOOKUP(2,1/(U145:AY145&lt;&gt;""),U$2:AY$2),"")</f>
        <v/>
      </c>
      <c r="N145" s="59">
        <f>IF(OR(G145="",M145=""),"",G145-M145)</f>
        <v/>
      </c>
      <c r="O145" s="60" t="n"/>
      <c r="P145" s="61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  <c r="AG145" s="62" t="n"/>
      <c r="AH145" s="62" t="n"/>
      <c r="AI145" s="62" t="n"/>
      <c r="AJ145" s="62" t="n"/>
      <c r="AK145" s="62" t="n"/>
      <c r="AL145" s="62" t="n"/>
      <c r="AM145" s="62" t="n"/>
      <c r="AN145" s="62" t="n"/>
      <c r="AO145" s="62" t="n"/>
      <c r="AP145" s="62" t="n"/>
      <c r="AQ145" s="62" t="n"/>
      <c r="AR145" s="62" t="n"/>
      <c r="AS145" s="62" t="n"/>
      <c r="AT145" s="62" t="n"/>
      <c r="AU145" s="62" t="n"/>
      <c r="AV145" s="62" t="n"/>
      <c r="AW145" s="62" t="n"/>
      <c r="AX145" s="62" t="n"/>
      <c r="AY145" s="62" t="n"/>
    </row>
    <row r="146">
      <c r="A146" s="38">
        <f>IF(D146="","",COUNTA($D$133:D146))</f>
        <v/>
      </c>
      <c r="B146" s="52" t="n"/>
      <c r="C146" s="73" t="inlineStr">
        <is>
          <t>기타</t>
        </is>
      </c>
      <c r="D146" s="52" t="n"/>
      <c r="E146" s="54" t="n"/>
      <c r="F146" s="52" t="n"/>
      <c r="G146" s="55" t="n"/>
      <c r="H146" s="54" t="n"/>
      <c r="I146" s="54" t="n"/>
      <c r="J146" s="54" t="n"/>
      <c r="K146" s="56">
        <f>IF(SUM(U146:AY146)=0,"",SUM(U146:AY146))</f>
        <v/>
      </c>
      <c r="L146" s="57">
        <f>IFERROR(INDEX(U$2:AY$2,MATCH(TRUE,U146:AY146&lt;&gt;"",0)),"")</f>
        <v/>
      </c>
      <c r="M146" s="58">
        <f>IFERROR(LOOKUP(2,1/(U146:AY146&lt;&gt;""),U$2:AY$2),"")</f>
        <v/>
      </c>
      <c r="N146" s="59">
        <f>IF(OR(G146="",M146=""),"",G146-M146)</f>
        <v/>
      </c>
      <c r="O146" s="60" t="n"/>
      <c r="P146" s="61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  <c r="AG146" s="62" t="n"/>
      <c r="AH146" s="62" t="n"/>
      <c r="AI146" s="62" t="n"/>
      <c r="AJ146" s="62" t="n"/>
      <c r="AK146" s="62" t="n"/>
      <c r="AL146" s="62" t="n"/>
      <c r="AM146" s="62" t="n"/>
      <c r="AN146" s="62" t="n"/>
      <c r="AO146" s="62" t="n"/>
      <c r="AP146" s="62" t="n"/>
      <c r="AQ146" s="62" t="n"/>
      <c r="AR146" s="62" t="n"/>
      <c r="AS146" s="62" t="n"/>
      <c r="AT146" s="62" t="n"/>
      <c r="AU146" s="62" t="n"/>
      <c r="AV146" s="62" t="n"/>
      <c r="AW146" s="62" t="n"/>
      <c r="AX146" s="62" t="n"/>
      <c r="AY146" s="62" t="n"/>
    </row>
    <row r="147">
      <c r="A147" s="38">
        <f>IF(D147="","",COUNTA($D$133:D147))</f>
        <v/>
      </c>
      <c r="B147" s="52" t="n"/>
      <c r="C147" s="73" t="inlineStr">
        <is>
          <t>기타</t>
        </is>
      </c>
      <c r="D147" s="52" t="n"/>
      <c r="E147" s="54" t="n"/>
      <c r="F147" s="52" t="n"/>
      <c r="G147" s="55" t="n"/>
      <c r="H147" s="54" t="n"/>
      <c r="I147" s="54" t="n"/>
      <c r="J147" s="54" t="n"/>
      <c r="K147" s="56">
        <f>IF(SUM(U147:AY147)=0,"",SUM(U147:AY147))</f>
        <v/>
      </c>
      <c r="L147" s="57">
        <f>IFERROR(INDEX(U$2:AY$2,MATCH(TRUE,U147:AY147&lt;&gt;"",0)),"")</f>
        <v/>
      </c>
      <c r="M147" s="58">
        <f>IFERROR(LOOKUP(2,1/(U147:AY147&lt;&gt;""),U$2:AY$2),"")</f>
        <v/>
      </c>
      <c r="N147" s="59">
        <f>IF(OR(G147="",M147=""),"",G147-M147)</f>
        <v/>
      </c>
      <c r="O147" s="60" t="n"/>
      <c r="P147" s="61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  <c r="AG147" s="62" t="n"/>
      <c r="AH147" s="62" t="n"/>
      <c r="AI147" s="62" t="n"/>
      <c r="AJ147" s="62" t="n"/>
      <c r="AK147" s="62" t="n"/>
      <c r="AL147" s="62" t="n"/>
      <c r="AM147" s="62" t="n"/>
      <c r="AN147" s="62" t="n"/>
      <c r="AO147" s="62" t="n"/>
      <c r="AP147" s="62" t="n"/>
      <c r="AQ147" s="62" t="n"/>
      <c r="AR147" s="62" t="n"/>
      <c r="AS147" s="62" t="n"/>
      <c r="AT147" s="62" t="n"/>
      <c r="AU147" s="62" t="n"/>
      <c r="AV147" s="62" t="n"/>
      <c r="AW147" s="62" t="n"/>
      <c r="AX147" s="62" t="n"/>
      <c r="AY147" s="62" t="n"/>
    </row>
    <row r="148">
      <c r="A148" s="38">
        <f>IF(D148="","",COUNTA($D$133:D148))</f>
        <v/>
      </c>
      <c r="B148" s="52" t="n"/>
      <c r="C148" s="73" t="inlineStr">
        <is>
          <t>기타</t>
        </is>
      </c>
      <c r="D148" s="52" t="n"/>
      <c r="E148" s="54" t="n"/>
      <c r="F148" s="52" t="n"/>
      <c r="G148" s="55" t="n"/>
      <c r="H148" s="54" t="n"/>
      <c r="I148" s="54" t="n"/>
      <c r="J148" s="54" t="n"/>
      <c r="K148" s="56">
        <f>IF(SUM(U148:AY148)=0,"",SUM(U148:AY148))</f>
        <v/>
      </c>
      <c r="L148" s="57">
        <f>IFERROR(INDEX(U$2:AY$2,MATCH(TRUE,U148:AY148&lt;&gt;"",0)),"")</f>
        <v/>
      </c>
      <c r="M148" s="58">
        <f>IFERROR(LOOKUP(2,1/(U148:AY148&lt;&gt;""),U$2:AY$2),"")</f>
        <v/>
      </c>
      <c r="N148" s="59">
        <f>IF(OR(G148="",M148=""),"",G148-M148)</f>
        <v/>
      </c>
      <c r="O148" s="60" t="n"/>
      <c r="P148" s="61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  <c r="AG148" s="62" t="n"/>
      <c r="AH148" s="62" t="n"/>
      <c r="AI148" s="62" t="n"/>
      <c r="AJ148" s="62" t="n"/>
      <c r="AK148" s="62" t="n"/>
      <c r="AL148" s="62" t="n"/>
      <c r="AM148" s="62" t="n"/>
      <c r="AN148" s="62" t="n"/>
      <c r="AO148" s="62" t="n"/>
      <c r="AP148" s="62" t="n"/>
      <c r="AQ148" s="62" t="n"/>
      <c r="AR148" s="62" t="n"/>
      <c r="AS148" s="62" t="n"/>
      <c r="AT148" s="62" t="n"/>
      <c r="AU148" s="62" t="n"/>
      <c r="AV148" s="62" t="n"/>
      <c r="AW148" s="62" t="n"/>
      <c r="AX148" s="62" t="n"/>
      <c r="AY148" s="62" t="n"/>
    </row>
    <row r="149">
      <c r="A149" s="38">
        <f>IF(D149="","",COUNTA($D$133:D149))</f>
        <v/>
      </c>
      <c r="B149" s="52" t="n"/>
      <c r="C149" s="73" t="inlineStr">
        <is>
          <t>기타</t>
        </is>
      </c>
      <c r="D149" s="52" t="n"/>
      <c r="E149" s="54" t="n"/>
      <c r="F149" s="52" t="n"/>
      <c r="G149" s="55" t="n"/>
      <c r="H149" s="54" t="n"/>
      <c r="I149" s="54" t="n"/>
      <c r="J149" s="54" t="n"/>
      <c r="K149" s="56">
        <f>IF(SUM(U149:AY149)=0,"",SUM(U149:AY149))</f>
        <v/>
      </c>
      <c r="L149" s="57">
        <f>IFERROR(INDEX(U$2:AY$2,MATCH(TRUE,U149:AY149&lt;&gt;"",0)),"")</f>
        <v/>
      </c>
      <c r="M149" s="58">
        <f>IFERROR(LOOKUP(2,1/(U149:AY149&lt;&gt;""),U$2:AY$2),"")</f>
        <v/>
      </c>
      <c r="N149" s="59">
        <f>IF(OR(G149="",M149=""),"",G149-M149)</f>
        <v/>
      </c>
      <c r="O149" s="60" t="n"/>
      <c r="P149" s="61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  <c r="AG149" s="62" t="n"/>
      <c r="AH149" s="62" t="n"/>
      <c r="AI149" s="62" t="n"/>
      <c r="AJ149" s="62" t="n"/>
      <c r="AK149" s="62" t="n"/>
      <c r="AL149" s="62" t="n"/>
      <c r="AM149" s="62" t="n"/>
      <c r="AN149" s="62" t="n"/>
      <c r="AO149" s="62" t="n"/>
      <c r="AP149" s="62" t="n"/>
      <c r="AQ149" s="62" t="n"/>
      <c r="AR149" s="62" t="n"/>
      <c r="AS149" s="62" t="n"/>
      <c r="AT149" s="62" t="n"/>
      <c r="AU149" s="62" t="n"/>
      <c r="AV149" s="62" t="n"/>
      <c r="AW149" s="62" t="n"/>
      <c r="AX149" s="62" t="n"/>
      <c r="AY149" s="62" t="n"/>
    </row>
    <row r="150">
      <c r="A150" s="38">
        <f>IF(D150="","",COUNTA($D$133:D150))</f>
        <v/>
      </c>
      <c r="B150" s="52" t="n"/>
      <c r="C150" s="73" t="inlineStr">
        <is>
          <t>기타</t>
        </is>
      </c>
      <c r="D150" s="52" t="n"/>
      <c r="E150" s="54" t="n"/>
      <c r="F150" s="52" t="n"/>
      <c r="G150" s="55" t="n"/>
      <c r="H150" s="54" t="n"/>
      <c r="I150" s="54" t="n"/>
      <c r="J150" s="54" t="n"/>
      <c r="K150" s="56">
        <f>IF(SUM(U150:AY150)=0,"",SUM(U150:AY150))</f>
        <v/>
      </c>
      <c r="L150" s="57">
        <f>IFERROR(INDEX(U$2:AY$2,MATCH(TRUE,U150:AY150&lt;&gt;"",0)),"")</f>
        <v/>
      </c>
      <c r="M150" s="58">
        <f>IFERROR(LOOKUP(2,1/(U150:AY150&lt;&gt;""),U$2:AY$2),"")</f>
        <v/>
      </c>
      <c r="N150" s="59">
        <f>IF(OR(G150="",M150=""),"",G150-M150)</f>
        <v/>
      </c>
      <c r="O150" s="60" t="n"/>
      <c r="P150" s="61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  <c r="AG150" s="62" t="n"/>
      <c r="AH150" s="62" t="n"/>
      <c r="AI150" s="62" t="n"/>
      <c r="AJ150" s="62" t="n"/>
      <c r="AK150" s="62" t="n"/>
      <c r="AL150" s="62" t="n"/>
      <c r="AM150" s="62" t="n"/>
      <c r="AN150" s="62" t="n"/>
      <c r="AO150" s="62" t="n"/>
      <c r="AP150" s="62" t="n"/>
      <c r="AQ150" s="62" t="n"/>
      <c r="AR150" s="62" t="n"/>
      <c r="AS150" s="62" t="n"/>
      <c r="AT150" s="62" t="n"/>
      <c r="AU150" s="62" t="n"/>
      <c r="AV150" s="62" t="n"/>
      <c r="AW150" s="62" t="n"/>
      <c r="AX150" s="62" t="n"/>
      <c r="AY150" s="62" t="n"/>
    </row>
    <row r="151">
      <c r="A151" s="38">
        <f>IF(D151="","",COUNTA($D$133:D151))</f>
        <v/>
      </c>
      <c r="B151" s="52" t="n"/>
      <c r="C151" s="73" t="inlineStr">
        <is>
          <t>기타</t>
        </is>
      </c>
      <c r="D151" s="52" t="n"/>
      <c r="E151" s="54" t="n"/>
      <c r="F151" s="52" t="n"/>
      <c r="G151" s="55" t="n"/>
      <c r="H151" s="54" t="n"/>
      <c r="I151" s="54" t="n"/>
      <c r="J151" s="54" t="n"/>
      <c r="K151" s="56">
        <f>IF(SUM(U151:AY151)=0,"",SUM(U151:AY151))</f>
        <v/>
      </c>
      <c r="L151" s="57">
        <f>IFERROR(INDEX(U$2:AY$2,MATCH(TRUE,U151:AY151&lt;&gt;"",0)),"")</f>
        <v/>
      </c>
      <c r="M151" s="58">
        <f>IFERROR(LOOKUP(2,1/(U151:AY151&lt;&gt;""),U$2:AY$2),"")</f>
        <v/>
      </c>
      <c r="N151" s="59">
        <f>IF(OR(G151="",M151=""),"",G151-M151)</f>
        <v/>
      </c>
      <c r="O151" s="60" t="n"/>
      <c r="P151" s="61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  <c r="AG151" s="62" t="n"/>
      <c r="AH151" s="62" t="n"/>
      <c r="AI151" s="62" t="n"/>
      <c r="AJ151" s="62" t="n"/>
      <c r="AK151" s="62" t="n"/>
      <c r="AL151" s="62" t="n"/>
      <c r="AM151" s="62" t="n"/>
      <c r="AN151" s="62" t="n"/>
      <c r="AO151" s="62" t="n"/>
      <c r="AP151" s="62" t="n"/>
      <c r="AQ151" s="62" t="n"/>
      <c r="AR151" s="62" t="n"/>
      <c r="AS151" s="62" t="n"/>
      <c r="AT151" s="62" t="n"/>
      <c r="AU151" s="62" t="n"/>
      <c r="AV151" s="62" t="n"/>
      <c r="AW151" s="62" t="n"/>
      <c r="AX151" s="62" t="n"/>
      <c r="AY151" s="62" t="n"/>
    </row>
    <row r="152">
      <c r="A152" s="38">
        <f>IF(D152="","",COUNTA($D$133:D152))</f>
        <v/>
      </c>
      <c r="B152" s="52" t="n"/>
      <c r="C152" s="73" t="inlineStr">
        <is>
          <t>기타</t>
        </is>
      </c>
      <c r="D152" s="52" t="n"/>
      <c r="E152" s="54" t="n"/>
      <c r="F152" s="52" t="n"/>
      <c r="G152" s="55" t="n"/>
      <c r="H152" s="54" t="n"/>
      <c r="I152" s="54" t="n"/>
      <c r="J152" s="54" t="n"/>
      <c r="K152" s="56">
        <f>IF(SUM(U152:AY152)=0,"",SUM(U152:AY152))</f>
        <v/>
      </c>
      <c r="L152" s="57">
        <f>IFERROR(INDEX(U$2:AY$2,MATCH(TRUE,U152:AY152&lt;&gt;"",0)),"")</f>
        <v/>
      </c>
      <c r="M152" s="58">
        <f>IFERROR(LOOKUP(2,1/(U152:AY152&lt;&gt;""),U$2:AY$2),"")</f>
        <v/>
      </c>
      <c r="N152" s="59">
        <f>IF(OR(G152="",M152=""),"",G152-M152)</f>
        <v/>
      </c>
      <c r="O152" s="60" t="n"/>
      <c r="P152" s="61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  <c r="AG152" s="62" t="n"/>
      <c r="AH152" s="62" t="n"/>
      <c r="AI152" s="62" t="n"/>
      <c r="AJ152" s="62" t="n"/>
      <c r="AK152" s="62" t="n"/>
      <c r="AL152" s="62" t="n"/>
      <c r="AM152" s="62" t="n"/>
      <c r="AN152" s="62" t="n"/>
      <c r="AO152" s="62" t="n"/>
      <c r="AP152" s="62" t="n"/>
      <c r="AQ152" s="62" t="n"/>
      <c r="AR152" s="62" t="n"/>
      <c r="AS152" s="62" t="n"/>
      <c r="AT152" s="62" t="n"/>
      <c r="AU152" s="62" t="n"/>
      <c r="AV152" s="62" t="n"/>
      <c r="AW152" s="62" t="n"/>
      <c r="AX152" s="62" t="n"/>
      <c r="AY152" s="62" t="n"/>
    </row>
    <row r="153">
      <c r="A153" s="38">
        <f>IF(D153="","",COUNTA($D$133:D153))</f>
        <v/>
      </c>
      <c r="B153" s="52" t="n"/>
      <c r="C153" s="73" t="inlineStr">
        <is>
          <t>기타</t>
        </is>
      </c>
      <c r="D153" s="52" t="n"/>
      <c r="E153" s="54" t="n"/>
      <c r="F153" s="52" t="n"/>
      <c r="G153" s="55" t="n"/>
      <c r="H153" s="54" t="n"/>
      <c r="I153" s="54" t="n"/>
      <c r="J153" s="54" t="n"/>
      <c r="K153" s="56">
        <f>IF(SUM(U153:AY153)=0,"",SUM(U153:AY153))</f>
        <v/>
      </c>
      <c r="L153" s="57">
        <f>IFERROR(INDEX(U$2:AY$2,MATCH(TRUE,U153:AY153&lt;&gt;"",0)),"")</f>
        <v/>
      </c>
      <c r="M153" s="58">
        <f>IFERROR(LOOKUP(2,1/(U153:AY153&lt;&gt;""),U$2:AY$2),"")</f>
        <v/>
      </c>
      <c r="N153" s="59">
        <f>IF(OR(G153="",M153=""),"",G153-M153)</f>
        <v/>
      </c>
      <c r="O153" s="60" t="n"/>
      <c r="P153" s="61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  <c r="AG153" s="62" t="n"/>
      <c r="AH153" s="62" t="n"/>
      <c r="AI153" s="62" t="n"/>
      <c r="AJ153" s="62" t="n"/>
      <c r="AK153" s="62" t="n"/>
      <c r="AL153" s="62" t="n"/>
      <c r="AM153" s="62" t="n"/>
      <c r="AN153" s="62" t="n"/>
      <c r="AO153" s="62" t="n"/>
      <c r="AP153" s="62" t="n"/>
      <c r="AQ153" s="62" t="n"/>
      <c r="AR153" s="62" t="n"/>
      <c r="AS153" s="62" t="n"/>
      <c r="AT153" s="62" t="n"/>
      <c r="AU153" s="62" t="n"/>
      <c r="AV153" s="62" t="n"/>
      <c r="AW153" s="62" t="n"/>
      <c r="AX153" s="62" t="n"/>
      <c r="AY153" s="62" t="n"/>
    </row>
    <row r="154">
      <c r="A154" s="38">
        <f>IF(D154="","",COUNTA($D$133:D154))</f>
        <v/>
      </c>
      <c r="B154" s="52" t="n"/>
      <c r="C154" s="73" t="inlineStr">
        <is>
          <t>기타</t>
        </is>
      </c>
      <c r="D154" s="52" t="n"/>
      <c r="E154" s="54" t="n"/>
      <c r="F154" s="52" t="n"/>
      <c r="G154" s="55" t="n"/>
      <c r="H154" s="54" t="n"/>
      <c r="I154" s="54" t="n"/>
      <c r="J154" s="54" t="n"/>
      <c r="K154" s="56">
        <f>IF(SUM(U154:AY154)=0,"",SUM(U154:AY154))</f>
        <v/>
      </c>
      <c r="L154" s="57">
        <f>IFERROR(INDEX(U$2:AY$2,MATCH(TRUE,U154:AY154&lt;&gt;"",0)),"")</f>
        <v/>
      </c>
      <c r="M154" s="58">
        <f>IFERROR(LOOKUP(2,1/(U154:AY154&lt;&gt;""),U$2:AY$2),"")</f>
        <v/>
      </c>
      <c r="N154" s="59">
        <f>IF(OR(G154="",M154=""),"",G154-M154)</f>
        <v/>
      </c>
      <c r="O154" s="60" t="n"/>
      <c r="P154" s="61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  <c r="AG154" s="62" t="n"/>
      <c r="AH154" s="62" t="n"/>
      <c r="AI154" s="62" t="n"/>
      <c r="AJ154" s="62" t="n"/>
      <c r="AK154" s="62" t="n"/>
      <c r="AL154" s="62" t="n"/>
      <c r="AM154" s="62" t="n"/>
      <c r="AN154" s="62" t="n"/>
      <c r="AO154" s="62" t="n"/>
      <c r="AP154" s="62" t="n"/>
      <c r="AQ154" s="62" t="n"/>
      <c r="AR154" s="62" t="n"/>
      <c r="AS154" s="62" t="n"/>
      <c r="AT154" s="62" t="n"/>
      <c r="AU154" s="62" t="n"/>
      <c r="AV154" s="62" t="n"/>
      <c r="AW154" s="62" t="n"/>
      <c r="AX154" s="62" t="n"/>
      <c r="AY154" s="62" t="n"/>
    </row>
    <row r="155">
      <c r="A155" s="38">
        <f>IF(D155="","",COUNTA($D$133:D155))</f>
        <v/>
      </c>
      <c r="B155" s="52" t="n"/>
      <c r="C155" s="73" t="inlineStr">
        <is>
          <t>기타</t>
        </is>
      </c>
      <c r="D155" s="52" t="n"/>
      <c r="E155" s="54" t="n"/>
      <c r="F155" s="52" t="n"/>
      <c r="G155" s="55" t="n"/>
      <c r="H155" s="54" t="n"/>
      <c r="I155" s="54" t="n"/>
      <c r="J155" s="54" t="n"/>
      <c r="K155" s="56">
        <f>IF(SUM(U155:AY155)=0,"",SUM(U155:AY155))</f>
        <v/>
      </c>
      <c r="L155" s="57">
        <f>IFERROR(INDEX(U$2:AY$2,MATCH(TRUE,U155:AY155&lt;&gt;"",0)),"")</f>
        <v/>
      </c>
      <c r="M155" s="58">
        <f>IFERROR(LOOKUP(2,1/(U155:AY155&lt;&gt;""),U$2:AY$2),"")</f>
        <v/>
      </c>
      <c r="N155" s="59">
        <f>IF(OR(G155="",M155=""),"",G155-M155)</f>
        <v/>
      </c>
      <c r="O155" s="60" t="n"/>
      <c r="P155" s="61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  <c r="AG155" s="62" t="n"/>
      <c r="AH155" s="62" t="n"/>
      <c r="AI155" s="62" t="n"/>
      <c r="AJ155" s="62" t="n"/>
      <c r="AK155" s="62" t="n"/>
      <c r="AL155" s="62" t="n"/>
      <c r="AM155" s="62" t="n"/>
      <c r="AN155" s="62" t="n"/>
      <c r="AO155" s="62" t="n"/>
      <c r="AP155" s="62" t="n"/>
      <c r="AQ155" s="62" t="n"/>
      <c r="AR155" s="62" t="n"/>
      <c r="AS155" s="62" t="n"/>
      <c r="AT155" s="62" t="n"/>
      <c r="AU155" s="62" t="n"/>
      <c r="AV155" s="62" t="n"/>
      <c r="AW155" s="62" t="n"/>
      <c r="AX155" s="62" t="n"/>
      <c r="AY155" s="62" t="n"/>
    </row>
    <row r="156">
      <c r="A156" s="38">
        <f>IF(D156="","",COUNTA($D$133:D156))</f>
        <v/>
      </c>
      <c r="B156" s="52" t="n"/>
      <c r="C156" s="73" t="inlineStr">
        <is>
          <t>기타</t>
        </is>
      </c>
      <c r="D156" s="52" t="n"/>
      <c r="E156" s="54" t="n"/>
      <c r="F156" s="52" t="n"/>
      <c r="G156" s="55" t="n"/>
      <c r="H156" s="54" t="n"/>
      <c r="I156" s="54" t="n"/>
      <c r="J156" s="54" t="n"/>
      <c r="K156" s="56">
        <f>IF(SUM(U156:AY156)=0,"",SUM(U156:AY156))</f>
        <v/>
      </c>
      <c r="L156" s="57">
        <f>IFERROR(INDEX(U$2:AY$2,MATCH(TRUE,U156:AY156&lt;&gt;"",0)),"")</f>
        <v/>
      </c>
      <c r="M156" s="58">
        <f>IFERROR(LOOKUP(2,1/(U156:AY156&lt;&gt;""),U$2:AY$2),"")</f>
        <v/>
      </c>
      <c r="N156" s="59">
        <f>IF(OR(G156="",M156=""),"",G156-M156)</f>
        <v/>
      </c>
      <c r="O156" s="60" t="n"/>
      <c r="P156" s="61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  <c r="AG156" s="62" t="n"/>
      <c r="AH156" s="62" t="n"/>
      <c r="AI156" s="62" t="n"/>
      <c r="AJ156" s="62" t="n"/>
      <c r="AK156" s="62" t="n"/>
      <c r="AL156" s="62" t="n"/>
      <c r="AM156" s="62" t="n"/>
      <c r="AN156" s="62" t="n"/>
      <c r="AO156" s="62" t="n"/>
      <c r="AP156" s="62" t="n"/>
      <c r="AQ156" s="62" t="n"/>
      <c r="AR156" s="62" t="n"/>
      <c r="AS156" s="62" t="n"/>
      <c r="AT156" s="62" t="n"/>
      <c r="AU156" s="62" t="n"/>
      <c r="AV156" s="62" t="n"/>
      <c r="AW156" s="62" t="n"/>
      <c r="AX156" s="62" t="n"/>
      <c r="AY156" s="62" t="n"/>
    </row>
    <row r="157">
      <c r="A157" s="38">
        <f>IF(D157="","",COUNTA($D$133:D157))</f>
        <v/>
      </c>
      <c r="B157" s="52" t="n"/>
      <c r="C157" s="73" t="inlineStr">
        <is>
          <t>기타</t>
        </is>
      </c>
      <c r="D157" s="52" t="n"/>
      <c r="E157" s="54" t="n"/>
      <c r="F157" s="52" t="n"/>
      <c r="G157" s="55" t="n"/>
      <c r="H157" s="54" t="n"/>
      <c r="I157" s="54" t="n"/>
      <c r="J157" s="54" t="n"/>
      <c r="K157" s="56">
        <f>IF(SUM(U157:AY157)=0,"",SUM(U157:AY157))</f>
        <v/>
      </c>
      <c r="L157" s="57">
        <f>IFERROR(INDEX(U$2:AY$2,MATCH(TRUE,U157:AY157&lt;&gt;"",0)),"")</f>
        <v/>
      </c>
      <c r="M157" s="58">
        <f>IFERROR(LOOKUP(2,1/(U157:AY157&lt;&gt;""),U$2:AY$2),"")</f>
        <v/>
      </c>
      <c r="N157" s="59">
        <f>IF(OR(G157="",M157=""),"",G157-M157)</f>
        <v/>
      </c>
      <c r="O157" s="60" t="n"/>
      <c r="P157" s="61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  <c r="AG157" s="62" t="n"/>
      <c r="AH157" s="62" t="n"/>
      <c r="AI157" s="62" t="n"/>
      <c r="AJ157" s="62" t="n"/>
      <c r="AK157" s="62" t="n"/>
      <c r="AL157" s="62" t="n"/>
      <c r="AM157" s="62" t="n"/>
      <c r="AN157" s="62" t="n"/>
      <c r="AO157" s="62" t="n"/>
      <c r="AP157" s="62" t="n"/>
      <c r="AQ157" s="62" t="n"/>
      <c r="AR157" s="62" t="n"/>
      <c r="AS157" s="62" t="n"/>
      <c r="AT157" s="62" t="n"/>
      <c r="AU157" s="62" t="n"/>
      <c r="AV157" s="62" t="n"/>
      <c r="AW157" s="62" t="n"/>
      <c r="AX157" s="62" t="n"/>
      <c r="AY157" s="62" t="n"/>
    </row>
    <row r="158">
      <c r="A158" s="38">
        <f>IF(D158="","",COUNTA($D$133:D158))</f>
        <v/>
      </c>
      <c r="B158" s="52" t="n"/>
      <c r="C158" s="73" t="inlineStr">
        <is>
          <t>기타</t>
        </is>
      </c>
      <c r="D158" s="52" t="n"/>
      <c r="E158" s="54" t="n"/>
      <c r="F158" s="52" t="n"/>
      <c r="G158" s="55" t="n"/>
      <c r="H158" s="54" t="n"/>
      <c r="I158" s="54" t="n"/>
      <c r="J158" s="54" t="n"/>
      <c r="K158" s="56">
        <f>IF(SUM(U158:AY158)=0,"",SUM(U158:AY158))</f>
        <v/>
      </c>
      <c r="L158" s="57">
        <f>IFERROR(INDEX(U$2:AY$2,MATCH(TRUE,U158:AY158&lt;&gt;"",0)),"")</f>
        <v/>
      </c>
      <c r="M158" s="58">
        <f>IFERROR(LOOKUP(2,1/(U158:AY158&lt;&gt;""),U$2:AY$2),"")</f>
        <v/>
      </c>
      <c r="N158" s="59">
        <f>IF(OR(G158="",M158=""),"",G158-M158)</f>
        <v/>
      </c>
      <c r="O158" s="60" t="n"/>
      <c r="P158" s="61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  <c r="AG158" s="62" t="n"/>
      <c r="AH158" s="62" t="n"/>
      <c r="AI158" s="62" t="n"/>
      <c r="AJ158" s="62" t="n"/>
      <c r="AK158" s="62" t="n"/>
      <c r="AL158" s="62" t="n"/>
      <c r="AM158" s="62" t="n"/>
      <c r="AN158" s="62" t="n"/>
      <c r="AO158" s="62" t="n"/>
      <c r="AP158" s="62" t="n"/>
      <c r="AQ158" s="62" t="n"/>
      <c r="AR158" s="62" t="n"/>
      <c r="AS158" s="62" t="n"/>
      <c r="AT158" s="62" t="n"/>
      <c r="AU158" s="62" t="n"/>
      <c r="AV158" s="62" t="n"/>
      <c r="AW158" s="62" t="n"/>
      <c r="AX158" s="62" t="n"/>
      <c r="AY158" s="62" t="n"/>
    </row>
    <row r="159">
      <c r="A159" s="38">
        <f>IF(D159="","",COUNTA($D$133:D159))</f>
        <v/>
      </c>
      <c r="B159" s="52" t="n"/>
      <c r="C159" s="73" t="inlineStr">
        <is>
          <t>기타</t>
        </is>
      </c>
      <c r="D159" s="52" t="n"/>
      <c r="E159" s="54" t="n"/>
      <c r="F159" s="52" t="n"/>
      <c r="G159" s="55" t="n"/>
      <c r="H159" s="54" t="n"/>
      <c r="I159" s="54" t="n"/>
      <c r="J159" s="54" t="n"/>
      <c r="K159" s="56">
        <f>IF(SUM(U159:AY159)=0,"",SUM(U159:AY159))</f>
        <v/>
      </c>
      <c r="L159" s="57">
        <f>IFERROR(INDEX(U$2:AY$2,MATCH(TRUE,U159:AY159&lt;&gt;"",0)),"")</f>
        <v/>
      </c>
      <c r="M159" s="58">
        <f>IFERROR(LOOKUP(2,1/(U159:AY159&lt;&gt;""),U$2:AY$2),"")</f>
        <v/>
      </c>
      <c r="N159" s="59">
        <f>IF(OR(G159="",M159=""),"",G159-M159)</f>
        <v/>
      </c>
      <c r="O159" s="60" t="n"/>
      <c r="P159" s="61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  <c r="AG159" s="62" t="n"/>
      <c r="AH159" s="62" t="n"/>
      <c r="AI159" s="62" t="n"/>
      <c r="AJ159" s="62" t="n"/>
      <c r="AK159" s="62" t="n"/>
      <c r="AL159" s="62" t="n"/>
      <c r="AM159" s="62" t="n"/>
      <c r="AN159" s="62" t="n"/>
      <c r="AO159" s="62" t="n"/>
      <c r="AP159" s="62" t="n"/>
      <c r="AQ159" s="62" t="n"/>
      <c r="AR159" s="62" t="n"/>
      <c r="AS159" s="62" t="n"/>
      <c r="AT159" s="62" t="n"/>
      <c r="AU159" s="62" t="n"/>
      <c r="AV159" s="62" t="n"/>
      <c r="AW159" s="62" t="n"/>
      <c r="AX159" s="62" t="n"/>
      <c r="AY159" s="62" t="n"/>
    </row>
    <row r="160">
      <c r="A160" s="38">
        <f>IF(D160="","",COUNTA($D$133:D160))</f>
        <v/>
      </c>
      <c r="B160" s="52" t="n"/>
      <c r="C160" s="73" t="inlineStr">
        <is>
          <t>기타</t>
        </is>
      </c>
      <c r="D160" s="52" t="n"/>
      <c r="E160" s="54" t="n"/>
      <c r="F160" s="52" t="n"/>
      <c r="G160" s="55" t="n"/>
      <c r="H160" s="54" t="n"/>
      <c r="I160" s="54" t="n"/>
      <c r="J160" s="54" t="n"/>
      <c r="K160" s="56">
        <f>IF(SUM(U160:AY160)=0,"",SUM(U160:AY160))</f>
        <v/>
      </c>
      <c r="L160" s="57">
        <f>IFERROR(INDEX(U$2:AY$2,MATCH(TRUE,U160:AY160&lt;&gt;"",0)),"")</f>
        <v/>
      </c>
      <c r="M160" s="58">
        <f>IFERROR(LOOKUP(2,1/(U160:AY160&lt;&gt;""),U$2:AY$2),"")</f>
        <v/>
      </c>
      <c r="N160" s="59">
        <f>IF(OR(G160="",M160=""),"",G160-M160)</f>
        <v/>
      </c>
      <c r="O160" s="60" t="n"/>
      <c r="P160" s="61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  <c r="AG160" s="62" t="n"/>
      <c r="AH160" s="62" t="n"/>
      <c r="AI160" s="62" t="n"/>
      <c r="AJ160" s="62" t="n"/>
      <c r="AK160" s="62" t="n"/>
      <c r="AL160" s="62" t="n"/>
      <c r="AM160" s="62" t="n"/>
      <c r="AN160" s="62" t="n"/>
      <c r="AO160" s="62" t="n"/>
      <c r="AP160" s="62" t="n"/>
      <c r="AQ160" s="62" t="n"/>
      <c r="AR160" s="62" t="n"/>
      <c r="AS160" s="62" t="n"/>
      <c r="AT160" s="62" t="n"/>
      <c r="AU160" s="62" t="n"/>
      <c r="AV160" s="62" t="n"/>
      <c r="AW160" s="62" t="n"/>
      <c r="AX160" s="62" t="n"/>
      <c r="AY160" s="62" t="n"/>
    </row>
    <row r="161">
      <c r="A161" s="38">
        <f>IF(D161="","",COUNTA($D$133:D161))</f>
        <v/>
      </c>
      <c r="B161" s="52" t="n"/>
      <c r="C161" s="73" t="inlineStr">
        <is>
          <t>기타</t>
        </is>
      </c>
      <c r="D161" s="52" t="n"/>
      <c r="E161" s="54" t="n"/>
      <c r="F161" s="52" t="n"/>
      <c r="G161" s="55" t="n"/>
      <c r="H161" s="54" t="n"/>
      <c r="I161" s="54" t="n"/>
      <c r="J161" s="54" t="n"/>
      <c r="K161" s="56">
        <f>IF(SUM(U161:AY161)=0,"",SUM(U161:AY161))</f>
        <v/>
      </c>
      <c r="L161" s="57">
        <f>IFERROR(INDEX(U$2:AY$2,MATCH(TRUE,U161:AY161&lt;&gt;"",0)),"")</f>
        <v/>
      </c>
      <c r="M161" s="58">
        <f>IFERROR(LOOKUP(2,1/(U161:AY161&lt;&gt;""),U$2:AY$2),"")</f>
        <v/>
      </c>
      <c r="N161" s="59">
        <f>IF(OR(G161="",M161=""),"",G161-M161)</f>
        <v/>
      </c>
      <c r="O161" s="60" t="n"/>
      <c r="P161" s="61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  <c r="AG161" s="62" t="n"/>
      <c r="AH161" s="62" t="n"/>
      <c r="AI161" s="62" t="n"/>
      <c r="AJ161" s="62" t="n"/>
      <c r="AK161" s="62" t="n"/>
      <c r="AL161" s="62" t="n"/>
      <c r="AM161" s="62" t="n"/>
      <c r="AN161" s="62" t="n"/>
      <c r="AO161" s="62" t="n"/>
      <c r="AP161" s="62" t="n"/>
      <c r="AQ161" s="62" t="n"/>
      <c r="AR161" s="62" t="n"/>
      <c r="AS161" s="62" t="n"/>
      <c r="AT161" s="62" t="n"/>
      <c r="AU161" s="62" t="n"/>
      <c r="AV161" s="62" t="n"/>
      <c r="AW161" s="62" t="n"/>
      <c r="AX161" s="62" t="n"/>
      <c r="AY161" s="62" t="n"/>
    </row>
    <row r="162">
      <c r="A162" s="38">
        <f>IF(D162="","",COUNTA($D$133:D162))</f>
        <v/>
      </c>
      <c r="B162" s="52" t="n"/>
      <c r="C162" s="73" t="inlineStr">
        <is>
          <t>기타</t>
        </is>
      </c>
      <c r="D162" s="52" t="n"/>
      <c r="E162" s="54" t="n"/>
      <c r="F162" s="52" t="n"/>
      <c r="G162" s="55" t="n"/>
      <c r="H162" s="54" t="n"/>
      <c r="I162" s="54" t="n"/>
      <c r="J162" s="54" t="n"/>
      <c r="K162" s="56">
        <f>IF(SUM(U162:AY162)=0,"",SUM(U162:AY162))</f>
        <v/>
      </c>
      <c r="L162" s="57">
        <f>IFERROR(INDEX(U$2:AY$2,MATCH(TRUE,U162:AY162&lt;&gt;"",0)),"")</f>
        <v/>
      </c>
      <c r="M162" s="58">
        <f>IFERROR(LOOKUP(2,1/(U162:AY162&lt;&gt;""),U$2:AY$2),"")</f>
        <v/>
      </c>
      <c r="N162" s="59">
        <f>IF(OR(G162="",M162=""),"",G162-M162)</f>
        <v/>
      </c>
      <c r="O162" s="60" t="n"/>
      <c r="P162" s="61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  <c r="AG162" s="62" t="n"/>
      <c r="AH162" s="62" t="n"/>
      <c r="AI162" s="62" t="n"/>
      <c r="AJ162" s="62" t="n"/>
      <c r="AK162" s="62" t="n"/>
      <c r="AL162" s="62" t="n"/>
      <c r="AM162" s="62" t="n"/>
      <c r="AN162" s="62" t="n"/>
      <c r="AO162" s="62" t="n"/>
      <c r="AP162" s="62" t="n"/>
      <c r="AQ162" s="62" t="n"/>
      <c r="AR162" s="62" t="n"/>
      <c r="AS162" s="62" t="n"/>
      <c r="AT162" s="62" t="n"/>
      <c r="AU162" s="62" t="n"/>
      <c r="AV162" s="62" t="n"/>
      <c r="AW162" s="62" t="n"/>
      <c r="AX162" s="62" t="n"/>
      <c r="AY162" s="62" t="n"/>
    </row>
    <row r="163">
      <c r="A163" s="74">
        <f>'마스터'!$J$5</f>
        <v/>
      </c>
    </row>
    <row r="164">
      <c r="A164" s="74" t="inlineStr">
        <is>
          <t>공휴일(로컬 미러 - 조건부서식 전용, 편집 불필요)</t>
        </is>
      </c>
    </row>
    <row r="165">
      <c r="A165" s="75">
        <f>'마스터'!$J$13</f>
        <v/>
      </c>
    </row>
    <row r="166">
      <c r="A166" s="75">
        <f>'마스터'!$J$14</f>
        <v/>
      </c>
    </row>
    <row r="167">
      <c r="A167" s="75">
        <f>'마스터'!$J$15</f>
        <v/>
      </c>
    </row>
    <row r="168">
      <c r="A168" s="75">
        <f>'마스터'!$J$16</f>
        <v/>
      </c>
    </row>
    <row r="169">
      <c r="A169" s="75">
        <f>'마스터'!$J$17</f>
        <v/>
      </c>
    </row>
    <row r="170">
      <c r="A170" s="75">
        <f>'마스터'!$J$18</f>
        <v/>
      </c>
    </row>
    <row r="171">
      <c r="A171" s="75">
        <f>'마스터'!$J$19</f>
        <v/>
      </c>
    </row>
    <row r="172">
      <c r="A172" s="75">
        <f>'마스터'!$J$20</f>
        <v/>
      </c>
    </row>
    <row r="173">
      <c r="A173" s="75">
        <f>'마스터'!$J$21</f>
        <v/>
      </c>
    </row>
    <row r="174">
      <c r="A174" s="75">
        <f>'마스터'!$J$22</f>
        <v/>
      </c>
    </row>
    <row r="175">
      <c r="A175" s="75">
        <f>'마스터'!$J$23</f>
        <v/>
      </c>
    </row>
    <row r="176">
      <c r="A176" s="75">
        <f>'마스터'!$J$24</f>
        <v/>
      </c>
    </row>
    <row r="177">
      <c r="A177" s="75">
        <f>'마스터'!$J$25</f>
        <v/>
      </c>
    </row>
    <row r="178">
      <c r="A178" s="75">
        <f>'마스터'!$J$26</f>
        <v/>
      </c>
    </row>
    <row r="179">
      <c r="A179" s="75">
        <f>'마스터'!$J$27</f>
        <v/>
      </c>
    </row>
  </sheetData>
  <mergeCells count="13">
    <mergeCell ref="H1:J1"/>
    <mergeCell ref="K1:P1"/>
    <mergeCell ref="A1:G1"/>
    <mergeCell ref="A132:P132"/>
    <mergeCell ref="A5:F5"/>
    <mergeCell ref="A70:P70"/>
    <mergeCell ref="A8:P8"/>
    <mergeCell ref="U1:AY1"/>
    <mergeCell ref="A6:F6"/>
    <mergeCell ref="A39:P39"/>
    <mergeCell ref="A4:F4"/>
    <mergeCell ref="A101:P101"/>
    <mergeCell ref="A3:F3"/>
  </mergeCells>
  <conditionalFormatting sqref="U3:AY6">
    <cfRule type="expression" priority="1" dxfId="0">
      <formula>U3&gt;$H3</formula>
    </cfRule>
    <cfRule type="expression" priority="2" dxfId="1">
      <formula>AND(U3&gt;0,U3&gt;=$H3*0.8)</formula>
    </cfRule>
  </conditionalFormatting>
  <conditionalFormatting sqref="U3:AY162">
    <cfRule type="expression" priority="3" dxfId="2">
      <formula>OR(WEEKDAY(U$2,2)&gt;5,COUNTIF($A$165:$A$179,U$2)&gt;0)</formula>
    </cfRule>
  </conditionalFormatting>
  <conditionalFormatting sqref="U8:AY162">
    <cfRule type="expression" priority="4" dxfId="3">
      <formula>AND($F8&lt;&gt;"",U8&lt;&gt;"",SUMIF($F$8:$F$162,$F8,U$8:U$162)&gt;$A$163)</formula>
    </cfRule>
    <cfRule type="expression" priority="5" dxfId="4">
      <formula>$E8="기획"</formula>
    </cfRule>
    <cfRule type="expression" priority="6" dxfId="5">
      <formula>$E8="이미지"</formula>
    </cfRule>
    <cfRule type="expression" priority="7" dxfId="6">
      <formula>$E8="영상"</formula>
    </cfRule>
    <cfRule type="expression" priority="8" dxfId="7">
      <formula>AND($E8="기획",U8&lt;&gt;"")</formula>
    </cfRule>
    <cfRule type="expression" priority="9" dxfId="8">
      <formula>AND($E8="이미지",U8&lt;&gt;"")</formula>
    </cfRule>
    <cfRule type="expression" priority="10" dxfId="9">
      <formula>AND($E8="영상",U8&lt;&gt;"")</formula>
    </cfRule>
  </conditionalFormatting>
  <conditionalFormatting sqref="N8:N162">
    <cfRule type="expression" priority="11" dxfId="10">
      <formula>AND(N8&lt;&gt;"",N8&lt;0)</formula>
    </cfRule>
    <cfRule type="expression" priority="12" dxfId="11">
      <formula>AND(N8&lt;&gt;"",N8&gt;=0,N8&lt;=1)</formula>
    </cfRule>
    <cfRule type="expression" priority="13" dxfId="12">
      <formula>AND(N8&lt;&gt;"",N8&gt;1)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E8:E162" showDropDown="0" showInputMessage="0" showErrorMessage="0" allowBlank="1" type="list">
      <formula1>='마스터'!$E$3:$E$5</formula1>
    </dataValidation>
    <dataValidation sqref="O8:O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179"/>
  <sheetViews>
    <sheetView showGridLines="0" workbookViewId="0">
      <pane xSplit="7" ySplit="7" topLeftCell="H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20" customWidth="1" min="4" max="4"/>
    <col width="7" customWidth="1" min="5" max="5"/>
    <col width="9" customWidth="1" min="6" max="6"/>
    <col width="9" customWidth="1" min="7" max="7"/>
    <col width="5" customWidth="1" min="8" max="8"/>
    <col width="5" customWidth="1" min="9" max="9"/>
    <col width="5" customWidth="1" min="10" max="10"/>
    <col width="6" customWidth="1" min="11" max="11"/>
    <col width="8" customWidth="1" min="12" max="12"/>
    <col width="8" customWidth="1" min="13" max="13"/>
    <col width="6" customWidth="1" min="14" max="14"/>
    <col width="7" customWidth="1" min="15" max="15"/>
    <col width="12" customWidth="1" min="16" max="16"/>
    <col width="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</cols>
  <sheetData>
    <row r="1">
      <c r="A1" s="40" t="inlineStr">
        <is>
          <t>4월 업무 정보 (소재명 = 직군별 줄)</t>
        </is>
      </c>
      <c r="H1" s="41" t="inlineStr">
        <is>
          <t>수량 (소재당 1번만)</t>
        </is>
      </c>
      <c r="K1" s="42" t="inlineStr">
        <is>
          <t>집계 / 일정 (자동)</t>
        </is>
      </c>
      <c r="U1" s="14" t="inlineStr">
        <is>
          <t>4월 간트 - 날짜 칸에 MD 직접 입력 (주말+공휴일 회색)  상단 4줄=일자별 직군 TO 상태</t>
        </is>
      </c>
    </row>
    <row r="2">
      <c r="A2" s="43" t="inlineStr">
        <is>
          <t>No</t>
        </is>
      </c>
      <c r="B2" s="43" t="inlineStr">
        <is>
          <t>게임 타이틀명</t>
        </is>
      </c>
      <c r="C2" s="43" t="inlineStr">
        <is>
          <t>고객팀</t>
        </is>
      </c>
      <c r="D2" s="43" t="inlineStr">
        <is>
          <t>소재명(업무명)</t>
        </is>
      </c>
      <c r="E2" s="43" t="inlineStr">
        <is>
          <t>직군</t>
        </is>
      </c>
      <c r="F2" s="43" t="inlineStr">
        <is>
          <t>담당자</t>
        </is>
      </c>
      <c r="G2" s="43" t="inlineStr">
        <is>
          <t>최종완료일
(고객전달)</t>
        </is>
      </c>
      <c r="H2" s="43" t="inlineStr">
        <is>
          <t>영상
수</t>
        </is>
      </c>
      <c r="I2" s="43" t="inlineStr">
        <is>
          <t>사이즈
베리</t>
        </is>
      </c>
      <c r="J2" s="43" t="inlineStr">
        <is>
          <t>다국어
베리</t>
        </is>
      </c>
      <c r="K2" s="43" t="inlineStr">
        <is>
          <t>합계
MD</t>
        </is>
      </c>
      <c r="L2" s="43" t="inlineStr">
        <is>
          <t>시작일
(자동)</t>
        </is>
      </c>
      <c r="M2" s="43" t="inlineStr">
        <is>
          <t>완료일
(자동)</t>
        </is>
      </c>
      <c r="N2" s="43" t="inlineStr">
        <is>
          <t>여유</t>
        </is>
      </c>
      <c r="O2" s="43" t="inlineStr">
        <is>
          <t>상태</t>
        </is>
      </c>
      <c r="P2" s="43" t="inlineStr">
        <is>
          <t>비고</t>
        </is>
      </c>
      <c r="U2" s="44">
        <f>DATE('마스터'!$J$3,4,1)</f>
        <v/>
      </c>
      <c r="V2" s="44">
        <f>U2+1</f>
        <v/>
      </c>
      <c r="W2" s="44">
        <f>V2+1</f>
        <v/>
      </c>
      <c r="X2" s="44">
        <f>W2+1</f>
        <v/>
      </c>
      <c r="Y2" s="44">
        <f>X2+1</f>
        <v/>
      </c>
      <c r="Z2" s="44">
        <f>Y2+1</f>
        <v/>
      </c>
      <c r="AA2" s="44">
        <f>Z2+1</f>
        <v/>
      </c>
      <c r="AB2" s="44">
        <f>AA2+1</f>
        <v/>
      </c>
      <c r="AC2" s="44">
        <f>AB2+1</f>
        <v/>
      </c>
      <c r="AD2" s="44">
        <f>AC2+1</f>
        <v/>
      </c>
      <c r="AE2" s="44">
        <f>AD2+1</f>
        <v/>
      </c>
      <c r="AF2" s="44">
        <f>AE2+1</f>
        <v/>
      </c>
      <c r="AG2" s="44">
        <f>AF2+1</f>
        <v/>
      </c>
      <c r="AH2" s="44">
        <f>AG2+1</f>
        <v/>
      </c>
      <c r="AI2" s="44">
        <f>AH2+1</f>
        <v/>
      </c>
      <c r="AJ2" s="44">
        <f>AI2+1</f>
        <v/>
      </c>
      <c r="AK2" s="44">
        <f>AJ2+1</f>
        <v/>
      </c>
      <c r="AL2" s="44">
        <f>AK2+1</f>
        <v/>
      </c>
      <c r="AM2" s="44">
        <f>AL2+1</f>
        <v/>
      </c>
      <c r="AN2" s="44">
        <f>AM2+1</f>
        <v/>
      </c>
      <c r="AO2" s="44">
        <f>AN2+1</f>
        <v/>
      </c>
      <c r="AP2" s="44">
        <f>AO2+1</f>
        <v/>
      </c>
      <c r="AQ2" s="44">
        <f>AP2+1</f>
        <v/>
      </c>
      <c r="AR2" s="44">
        <f>AQ2+1</f>
        <v/>
      </c>
      <c r="AS2" s="44">
        <f>AR2+1</f>
        <v/>
      </c>
      <c r="AT2" s="44">
        <f>AS2+1</f>
        <v/>
      </c>
      <c r="AU2" s="44">
        <f>AT2+1</f>
        <v/>
      </c>
      <c r="AV2" s="44">
        <f>AU2+1</f>
        <v/>
      </c>
      <c r="AW2" s="44">
        <f>AV2+1</f>
        <v/>
      </c>
      <c r="AX2" s="44">
        <f>AW2+1</f>
        <v/>
      </c>
      <c r="AY2" s="44">
        <f>AX2+1</f>
        <v/>
      </c>
    </row>
    <row r="3">
      <c r="A3" s="45" t="inlineStr">
        <is>
          <t>전체 TO (일자별 부하)</t>
        </is>
      </c>
      <c r="G3" s="46" t="inlineStr">
        <is>
          <t>정원</t>
        </is>
      </c>
      <c r="H3" s="47">
        <f>SUM('마스터'!$J$8:$J$10)</f>
        <v/>
      </c>
      <c r="I3" s="48" t="n"/>
      <c r="J3" s="48" t="n"/>
      <c r="K3" s="48" t="n"/>
      <c r="L3" s="48" t="n"/>
      <c r="M3" s="48" t="n"/>
      <c r="N3" s="48" t="n"/>
      <c r="O3" s="48" t="n"/>
      <c r="P3" s="48" t="n"/>
      <c r="U3" s="49">
        <f>SUM(U$8:U$162)</f>
        <v/>
      </c>
      <c r="V3" s="49">
        <f>SUM(V$8:V$162)</f>
        <v/>
      </c>
      <c r="W3" s="49">
        <f>SUM(W$8:W$162)</f>
        <v/>
      </c>
      <c r="X3" s="49">
        <f>SUM(X$8:X$162)</f>
        <v/>
      </c>
      <c r="Y3" s="49">
        <f>SUM(Y$8:Y$162)</f>
        <v/>
      </c>
      <c r="Z3" s="49">
        <f>SUM(Z$8:Z$162)</f>
        <v/>
      </c>
      <c r="AA3" s="49">
        <f>SUM(AA$8:AA$162)</f>
        <v/>
      </c>
      <c r="AB3" s="49">
        <f>SUM(AB$8:AB$162)</f>
        <v/>
      </c>
      <c r="AC3" s="49">
        <f>SUM(AC$8:AC$162)</f>
        <v/>
      </c>
      <c r="AD3" s="49">
        <f>SUM(AD$8:AD$162)</f>
        <v/>
      </c>
      <c r="AE3" s="49">
        <f>SUM(AE$8:AE$162)</f>
        <v/>
      </c>
      <c r="AF3" s="49">
        <f>SUM(AF$8:AF$162)</f>
        <v/>
      </c>
      <c r="AG3" s="49">
        <f>SUM(AG$8:AG$162)</f>
        <v/>
      </c>
      <c r="AH3" s="49">
        <f>SUM(AH$8:AH$162)</f>
        <v/>
      </c>
      <c r="AI3" s="49">
        <f>SUM(AI$8:AI$162)</f>
        <v/>
      </c>
      <c r="AJ3" s="49">
        <f>SUM(AJ$8:AJ$162)</f>
        <v/>
      </c>
      <c r="AK3" s="49">
        <f>SUM(AK$8:AK$162)</f>
        <v/>
      </c>
      <c r="AL3" s="49">
        <f>SUM(AL$8:AL$162)</f>
        <v/>
      </c>
      <c r="AM3" s="49">
        <f>SUM(AM$8:AM$162)</f>
        <v/>
      </c>
      <c r="AN3" s="49">
        <f>SUM(AN$8:AN$162)</f>
        <v/>
      </c>
      <c r="AO3" s="49">
        <f>SUM(AO$8:AO$162)</f>
        <v/>
      </c>
      <c r="AP3" s="49">
        <f>SUM(AP$8:AP$162)</f>
        <v/>
      </c>
      <c r="AQ3" s="49">
        <f>SUM(AQ$8:AQ$162)</f>
        <v/>
      </c>
      <c r="AR3" s="49">
        <f>SUM(AR$8:AR$162)</f>
        <v/>
      </c>
      <c r="AS3" s="49">
        <f>SUM(AS$8:AS$162)</f>
        <v/>
      </c>
      <c r="AT3" s="49">
        <f>SUM(AT$8:AT$162)</f>
        <v/>
      </c>
      <c r="AU3" s="49">
        <f>SUM(AU$8:AU$162)</f>
        <v/>
      </c>
      <c r="AV3" s="49">
        <f>SUM(AV$8:AV$162)</f>
        <v/>
      </c>
      <c r="AW3" s="49">
        <f>SUM(AW$8:AW$162)</f>
        <v/>
      </c>
      <c r="AX3" s="49">
        <f>SUM(AX$8:AX$162)</f>
        <v/>
      </c>
      <c r="AY3" s="49">
        <f>SUM(AY$8:AY$162)</f>
        <v/>
      </c>
    </row>
    <row r="4">
      <c r="A4" s="45" t="inlineStr">
        <is>
          <t>영상 TO</t>
        </is>
      </c>
      <c r="G4" s="46" t="inlineStr">
        <is>
          <t>정원</t>
        </is>
      </c>
      <c r="H4" s="47">
        <f>'마스터'!$J$8</f>
        <v/>
      </c>
      <c r="I4" s="48" t="n"/>
      <c r="J4" s="48" t="n"/>
      <c r="K4" s="48" t="n"/>
      <c r="L4" s="48" t="n"/>
      <c r="M4" s="48" t="n"/>
      <c r="N4" s="48" t="n"/>
      <c r="O4" s="48" t="n"/>
      <c r="P4" s="48" t="n"/>
      <c r="U4" s="49">
        <f>SUMIF($E$8:$E$162,"영상",U$8:U$162)</f>
        <v/>
      </c>
      <c r="V4" s="49">
        <f>SUMIF($E$8:$E$162,"영상",V$8:V$162)</f>
        <v/>
      </c>
      <c r="W4" s="49">
        <f>SUMIF($E$8:$E$162,"영상",W$8:W$162)</f>
        <v/>
      </c>
      <c r="X4" s="49">
        <f>SUMIF($E$8:$E$162,"영상",X$8:X$162)</f>
        <v/>
      </c>
      <c r="Y4" s="49">
        <f>SUMIF($E$8:$E$162,"영상",Y$8:Y$162)</f>
        <v/>
      </c>
      <c r="Z4" s="49">
        <f>SUMIF($E$8:$E$162,"영상",Z$8:Z$162)</f>
        <v/>
      </c>
      <c r="AA4" s="49">
        <f>SUMIF($E$8:$E$162,"영상",AA$8:AA$162)</f>
        <v/>
      </c>
      <c r="AB4" s="49">
        <f>SUMIF($E$8:$E$162,"영상",AB$8:AB$162)</f>
        <v/>
      </c>
      <c r="AC4" s="49">
        <f>SUMIF($E$8:$E$162,"영상",AC$8:AC$162)</f>
        <v/>
      </c>
      <c r="AD4" s="49">
        <f>SUMIF($E$8:$E$162,"영상",AD$8:AD$162)</f>
        <v/>
      </c>
      <c r="AE4" s="49">
        <f>SUMIF($E$8:$E$162,"영상",AE$8:AE$162)</f>
        <v/>
      </c>
      <c r="AF4" s="49">
        <f>SUMIF($E$8:$E$162,"영상",AF$8:AF$162)</f>
        <v/>
      </c>
      <c r="AG4" s="49">
        <f>SUMIF($E$8:$E$162,"영상",AG$8:AG$162)</f>
        <v/>
      </c>
      <c r="AH4" s="49">
        <f>SUMIF($E$8:$E$162,"영상",AH$8:AH$162)</f>
        <v/>
      </c>
      <c r="AI4" s="49">
        <f>SUMIF($E$8:$E$162,"영상",AI$8:AI$162)</f>
        <v/>
      </c>
      <c r="AJ4" s="49">
        <f>SUMIF($E$8:$E$162,"영상",AJ$8:AJ$162)</f>
        <v/>
      </c>
      <c r="AK4" s="49">
        <f>SUMIF($E$8:$E$162,"영상",AK$8:AK$162)</f>
        <v/>
      </c>
      <c r="AL4" s="49">
        <f>SUMIF($E$8:$E$162,"영상",AL$8:AL$162)</f>
        <v/>
      </c>
      <c r="AM4" s="49">
        <f>SUMIF($E$8:$E$162,"영상",AM$8:AM$162)</f>
        <v/>
      </c>
      <c r="AN4" s="49">
        <f>SUMIF($E$8:$E$162,"영상",AN$8:AN$162)</f>
        <v/>
      </c>
      <c r="AO4" s="49">
        <f>SUMIF($E$8:$E$162,"영상",AO$8:AO$162)</f>
        <v/>
      </c>
      <c r="AP4" s="49">
        <f>SUMIF($E$8:$E$162,"영상",AP$8:AP$162)</f>
        <v/>
      </c>
      <c r="AQ4" s="49">
        <f>SUMIF($E$8:$E$162,"영상",AQ$8:AQ$162)</f>
        <v/>
      </c>
      <c r="AR4" s="49">
        <f>SUMIF($E$8:$E$162,"영상",AR$8:AR$162)</f>
        <v/>
      </c>
      <c r="AS4" s="49">
        <f>SUMIF($E$8:$E$162,"영상",AS$8:AS$162)</f>
        <v/>
      </c>
      <c r="AT4" s="49">
        <f>SUMIF($E$8:$E$162,"영상",AT$8:AT$162)</f>
        <v/>
      </c>
      <c r="AU4" s="49">
        <f>SUMIF($E$8:$E$162,"영상",AU$8:AU$162)</f>
        <v/>
      </c>
      <c r="AV4" s="49">
        <f>SUMIF($E$8:$E$162,"영상",AV$8:AV$162)</f>
        <v/>
      </c>
      <c r="AW4" s="49">
        <f>SUMIF($E$8:$E$162,"영상",AW$8:AW$162)</f>
        <v/>
      </c>
      <c r="AX4" s="49">
        <f>SUMIF($E$8:$E$162,"영상",AX$8:AX$162)</f>
        <v/>
      </c>
      <c r="AY4" s="49">
        <f>SUMIF($E$8:$E$162,"영상",AY$8:AY$162)</f>
        <v/>
      </c>
    </row>
    <row r="5">
      <c r="A5" s="45" t="inlineStr">
        <is>
          <t>이미지 TO</t>
        </is>
      </c>
      <c r="G5" s="46" t="inlineStr">
        <is>
          <t>정원</t>
        </is>
      </c>
      <c r="H5" s="47">
        <f>'마스터'!$J$9</f>
        <v/>
      </c>
      <c r="I5" s="48" t="n"/>
      <c r="J5" s="48" t="n"/>
      <c r="K5" s="48" t="n"/>
      <c r="L5" s="48" t="n"/>
      <c r="M5" s="48" t="n"/>
      <c r="N5" s="48" t="n"/>
      <c r="O5" s="48" t="n"/>
      <c r="P5" s="48" t="n"/>
      <c r="U5" s="49">
        <f>SUMIF($E$8:$E$162,"이미지",U$8:U$162)</f>
        <v/>
      </c>
      <c r="V5" s="49">
        <f>SUMIF($E$8:$E$162,"이미지",V$8:V$162)</f>
        <v/>
      </c>
      <c r="W5" s="49">
        <f>SUMIF($E$8:$E$162,"이미지",W$8:W$162)</f>
        <v/>
      </c>
      <c r="X5" s="49">
        <f>SUMIF($E$8:$E$162,"이미지",X$8:X$162)</f>
        <v/>
      </c>
      <c r="Y5" s="49">
        <f>SUMIF($E$8:$E$162,"이미지",Y$8:Y$162)</f>
        <v/>
      </c>
      <c r="Z5" s="49">
        <f>SUMIF($E$8:$E$162,"이미지",Z$8:Z$162)</f>
        <v/>
      </c>
      <c r="AA5" s="49">
        <f>SUMIF($E$8:$E$162,"이미지",AA$8:AA$162)</f>
        <v/>
      </c>
      <c r="AB5" s="49">
        <f>SUMIF($E$8:$E$162,"이미지",AB$8:AB$162)</f>
        <v/>
      </c>
      <c r="AC5" s="49">
        <f>SUMIF($E$8:$E$162,"이미지",AC$8:AC$162)</f>
        <v/>
      </c>
      <c r="AD5" s="49">
        <f>SUMIF($E$8:$E$162,"이미지",AD$8:AD$162)</f>
        <v/>
      </c>
      <c r="AE5" s="49">
        <f>SUMIF($E$8:$E$162,"이미지",AE$8:AE$162)</f>
        <v/>
      </c>
      <c r="AF5" s="49">
        <f>SUMIF($E$8:$E$162,"이미지",AF$8:AF$162)</f>
        <v/>
      </c>
      <c r="AG5" s="49">
        <f>SUMIF($E$8:$E$162,"이미지",AG$8:AG$162)</f>
        <v/>
      </c>
      <c r="AH5" s="49">
        <f>SUMIF($E$8:$E$162,"이미지",AH$8:AH$162)</f>
        <v/>
      </c>
      <c r="AI5" s="49">
        <f>SUMIF($E$8:$E$162,"이미지",AI$8:AI$162)</f>
        <v/>
      </c>
      <c r="AJ5" s="49">
        <f>SUMIF($E$8:$E$162,"이미지",AJ$8:AJ$162)</f>
        <v/>
      </c>
      <c r="AK5" s="49">
        <f>SUMIF($E$8:$E$162,"이미지",AK$8:AK$162)</f>
        <v/>
      </c>
      <c r="AL5" s="49">
        <f>SUMIF($E$8:$E$162,"이미지",AL$8:AL$162)</f>
        <v/>
      </c>
      <c r="AM5" s="49">
        <f>SUMIF($E$8:$E$162,"이미지",AM$8:AM$162)</f>
        <v/>
      </c>
      <c r="AN5" s="49">
        <f>SUMIF($E$8:$E$162,"이미지",AN$8:AN$162)</f>
        <v/>
      </c>
      <c r="AO5" s="49">
        <f>SUMIF($E$8:$E$162,"이미지",AO$8:AO$162)</f>
        <v/>
      </c>
      <c r="AP5" s="49">
        <f>SUMIF($E$8:$E$162,"이미지",AP$8:AP$162)</f>
        <v/>
      </c>
      <c r="AQ5" s="49">
        <f>SUMIF($E$8:$E$162,"이미지",AQ$8:AQ$162)</f>
        <v/>
      </c>
      <c r="AR5" s="49">
        <f>SUMIF($E$8:$E$162,"이미지",AR$8:AR$162)</f>
        <v/>
      </c>
      <c r="AS5" s="49">
        <f>SUMIF($E$8:$E$162,"이미지",AS$8:AS$162)</f>
        <v/>
      </c>
      <c r="AT5" s="49">
        <f>SUMIF($E$8:$E$162,"이미지",AT$8:AT$162)</f>
        <v/>
      </c>
      <c r="AU5" s="49">
        <f>SUMIF($E$8:$E$162,"이미지",AU$8:AU$162)</f>
        <v/>
      </c>
      <c r="AV5" s="49">
        <f>SUMIF($E$8:$E$162,"이미지",AV$8:AV$162)</f>
        <v/>
      </c>
      <c r="AW5" s="49">
        <f>SUMIF($E$8:$E$162,"이미지",AW$8:AW$162)</f>
        <v/>
      </c>
      <c r="AX5" s="49">
        <f>SUMIF($E$8:$E$162,"이미지",AX$8:AX$162)</f>
        <v/>
      </c>
      <c r="AY5" s="49">
        <f>SUMIF($E$8:$E$162,"이미지",AY$8:AY$162)</f>
        <v/>
      </c>
    </row>
    <row r="6">
      <c r="A6" s="45" t="inlineStr">
        <is>
          <t>기획 TO</t>
        </is>
      </c>
      <c r="G6" s="46" t="inlineStr">
        <is>
          <t>정원</t>
        </is>
      </c>
      <c r="H6" s="47">
        <f>'마스터'!$J$10</f>
        <v/>
      </c>
      <c r="I6" s="48" t="n"/>
      <c r="J6" s="48" t="n"/>
      <c r="K6" s="48" t="n"/>
      <c r="L6" s="48" t="n"/>
      <c r="M6" s="48" t="n"/>
      <c r="N6" s="48" t="n"/>
      <c r="O6" s="48" t="n"/>
      <c r="P6" s="48" t="n"/>
      <c r="U6" s="49">
        <f>SUMIF($E$8:$E$162,"기획",U$8:U$162)</f>
        <v/>
      </c>
      <c r="V6" s="49">
        <f>SUMIF($E$8:$E$162,"기획",V$8:V$162)</f>
        <v/>
      </c>
      <c r="W6" s="49">
        <f>SUMIF($E$8:$E$162,"기획",W$8:W$162)</f>
        <v/>
      </c>
      <c r="X6" s="49">
        <f>SUMIF($E$8:$E$162,"기획",X$8:X$162)</f>
        <v/>
      </c>
      <c r="Y6" s="49">
        <f>SUMIF($E$8:$E$162,"기획",Y$8:Y$162)</f>
        <v/>
      </c>
      <c r="Z6" s="49">
        <f>SUMIF($E$8:$E$162,"기획",Z$8:Z$162)</f>
        <v/>
      </c>
      <c r="AA6" s="49">
        <f>SUMIF($E$8:$E$162,"기획",AA$8:AA$162)</f>
        <v/>
      </c>
      <c r="AB6" s="49">
        <f>SUMIF($E$8:$E$162,"기획",AB$8:AB$162)</f>
        <v/>
      </c>
      <c r="AC6" s="49">
        <f>SUMIF($E$8:$E$162,"기획",AC$8:AC$162)</f>
        <v/>
      </c>
      <c r="AD6" s="49">
        <f>SUMIF($E$8:$E$162,"기획",AD$8:AD$162)</f>
        <v/>
      </c>
      <c r="AE6" s="49">
        <f>SUMIF($E$8:$E$162,"기획",AE$8:AE$162)</f>
        <v/>
      </c>
      <c r="AF6" s="49">
        <f>SUMIF($E$8:$E$162,"기획",AF$8:AF$162)</f>
        <v/>
      </c>
      <c r="AG6" s="49">
        <f>SUMIF($E$8:$E$162,"기획",AG$8:AG$162)</f>
        <v/>
      </c>
      <c r="AH6" s="49">
        <f>SUMIF($E$8:$E$162,"기획",AH$8:AH$162)</f>
        <v/>
      </c>
      <c r="AI6" s="49">
        <f>SUMIF($E$8:$E$162,"기획",AI$8:AI$162)</f>
        <v/>
      </c>
      <c r="AJ6" s="49">
        <f>SUMIF($E$8:$E$162,"기획",AJ$8:AJ$162)</f>
        <v/>
      </c>
      <c r="AK6" s="49">
        <f>SUMIF($E$8:$E$162,"기획",AK$8:AK$162)</f>
        <v/>
      </c>
      <c r="AL6" s="49">
        <f>SUMIF($E$8:$E$162,"기획",AL$8:AL$162)</f>
        <v/>
      </c>
      <c r="AM6" s="49">
        <f>SUMIF($E$8:$E$162,"기획",AM$8:AM$162)</f>
        <v/>
      </c>
      <c r="AN6" s="49">
        <f>SUMIF($E$8:$E$162,"기획",AN$8:AN$162)</f>
        <v/>
      </c>
      <c r="AO6" s="49">
        <f>SUMIF($E$8:$E$162,"기획",AO$8:AO$162)</f>
        <v/>
      </c>
      <c r="AP6" s="49">
        <f>SUMIF($E$8:$E$162,"기획",AP$8:AP$162)</f>
        <v/>
      </c>
      <c r="AQ6" s="49">
        <f>SUMIF($E$8:$E$162,"기획",AQ$8:AQ$162)</f>
        <v/>
      </c>
      <c r="AR6" s="49">
        <f>SUMIF($E$8:$E$162,"기획",AR$8:AR$162)</f>
        <v/>
      </c>
      <c r="AS6" s="49">
        <f>SUMIF($E$8:$E$162,"기획",AS$8:AS$162)</f>
        <v/>
      </c>
      <c r="AT6" s="49">
        <f>SUMIF($E$8:$E$162,"기획",AT$8:AT$162)</f>
        <v/>
      </c>
      <c r="AU6" s="49">
        <f>SUMIF($E$8:$E$162,"기획",AU$8:AU$162)</f>
        <v/>
      </c>
      <c r="AV6" s="49">
        <f>SUMIF($E$8:$E$162,"기획",AV$8:AV$162)</f>
        <v/>
      </c>
      <c r="AW6" s="49">
        <f>SUMIF($E$8:$E$162,"기획",AW$8:AW$162)</f>
        <v/>
      </c>
      <c r="AX6" s="49">
        <f>SUMIF($E$8:$E$162,"기획",AX$8:AX$162)</f>
        <v/>
      </c>
      <c r="AY6" s="49">
        <f>SUMIF($E$8:$E$162,"기획",AY$8:AY$162)</f>
        <v/>
      </c>
    </row>
    <row r="8">
      <c r="A8" s="50" t="inlineStr">
        <is>
          <t>마케팅1팀  (9~38행)</t>
        </is>
      </c>
      <c r="U8" s="51" t="n"/>
      <c r="V8" s="51" t="n"/>
      <c r="W8" s="51" t="n"/>
      <c r="X8" s="51" t="n"/>
      <c r="Y8" s="51" t="n"/>
      <c r="Z8" s="51" t="n"/>
      <c r="AA8" s="51" t="n"/>
      <c r="AB8" s="51" t="n"/>
      <c r="AC8" s="51" t="n"/>
      <c r="AD8" s="51" t="n"/>
      <c r="AE8" s="51" t="n"/>
      <c r="AF8" s="51" t="n"/>
      <c r="AG8" s="51" t="n"/>
      <c r="AH8" s="51" t="n"/>
      <c r="AI8" s="51" t="n"/>
      <c r="AJ8" s="51" t="n"/>
      <c r="AK8" s="51" t="n"/>
      <c r="AL8" s="51" t="n"/>
      <c r="AM8" s="51" t="n"/>
      <c r="AN8" s="51" t="n"/>
      <c r="AO8" s="51" t="n"/>
      <c r="AP8" s="51" t="n"/>
      <c r="AQ8" s="51" t="n"/>
      <c r="AR8" s="51" t="n"/>
      <c r="AS8" s="51" t="n"/>
      <c r="AT8" s="51" t="n"/>
      <c r="AU8" s="51" t="n"/>
      <c r="AV8" s="51" t="n"/>
      <c r="AW8" s="51" t="n"/>
      <c r="AX8" s="51" t="n"/>
      <c r="AY8" s="51" t="n"/>
    </row>
    <row r="9">
      <c r="A9" s="38">
        <f>IF(D9="","",COUNTA($D$9:D9))</f>
        <v/>
      </c>
      <c r="B9" s="52" t="n"/>
      <c r="C9" s="53" t="inlineStr">
        <is>
          <t>마케팅1팀</t>
        </is>
      </c>
      <c r="D9" s="52" t="n"/>
      <c r="E9" s="54" t="n"/>
      <c r="F9" s="52" t="n"/>
      <c r="G9" s="55" t="n"/>
      <c r="H9" s="54" t="n"/>
      <c r="I9" s="54" t="n"/>
      <c r="J9" s="54" t="n"/>
      <c r="K9" s="56">
        <f>IF(SUM(U9:AY9)=0,"",SUM(U9:AY9))</f>
        <v/>
      </c>
      <c r="L9" s="57">
        <f>IFERROR(INDEX(U$2:AY$2,MATCH(TRUE,U9:AY9&lt;&gt;"",0)),"")</f>
        <v/>
      </c>
      <c r="M9" s="58">
        <f>IFERROR(LOOKUP(2,1/(U9:AY9&lt;&gt;""),U$2:AY$2),"")</f>
        <v/>
      </c>
      <c r="N9" s="59">
        <f>IF(OR(G9="",M9=""),"",G9-M9)</f>
        <v/>
      </c>
      <c r="O9" s="60" t="n"/>
      <c r="P9" s="61" t="n"/>
      <c r="U9" s="62" t="n"/>
      <c r="V9" s="62" t="n"/>
      <c r="W9" s="62" t="n"/>
      <c r="X9" s="62" t="n"/>
      <c r="Y9" s="62" t="n"/>
      <c r="Z9" s="62" t="n"/>
      <c r="AA9" s="62" t="n"/>
      <c r="AB9" s="62" t="n"/>
      <c r="AC9" s="62" t="n"/>
      <c r="AD9" s="62" t="n"/>
      <c r="AE9" s="62" t="n"/>
      <c r="AF9" s="62" t="n"/>
      <c r="AG9" s="62" t="n"/>
      <c r="AH9" s="62" t="n"/>
      <c r="AI9" s="62" t="n"/>
      <c r="AJ9" s="62" t="n"/>
      <c r="AK9" s="62" t="n"/>
      <c r="AL9" s="62" t="n"/>
      <c r="AM9" s="62" t="n"/>
      <c r="AN9" s="62" t="n"/>
      <c r="AO9" s="62" t="n"/>
      <c r="AP9" s="62" t="n"/>
      <c r="AQ9" s="62" t="n"/>
      <c r="AR9" s="62" t="n"/>
      <c r="AS9" s="62" t="n"/>
      <c r="AT9" s="62" t="n"/>
      <c r="AU9" s="62" t="n"/>
      <c r="AV9" s="62" t="n"/>
      <c r="AW9" s="62" t="n"/>
      <c r="AX9" s="62" t="n"/>
      <c r="AY9" s="62" t="n"/>
    </row>
    <row r="10">
      <c r="A10" s="38">
        <f>IF(D10="","",COUNTA($D$9:D10))</f>
        <v/>
      </c>
      <c r="B10" s="52" t="n"/>
      <c r="C10" s="53" t="inlineStr">
        <is>
          <t>마케팅1팀</t>
        </is>
      </c>
      <c r="D10" s="52" t="n"/>
      <c r="E10" s="54" t="n"/>
      <c r="F10" s="52" t="n"/>
      <c r="G10" s="55" t="n"/>
      <c r="H10" s="54" t="n"/>
      <c r="I10" s="54" t="n"/>
      <c r="J10" s="54" t="n"/>
      <c r="K10" s="56">
        <f>IF(SUM(U10:AY10)=0,"",SUM(U10:AY10))</f>
        <v/>
      </c>
      <c r="L10" s="57">
        <f>IFERROR(INDEX(U$2:AY$2,MATCH(TRUE,U10:AY10&lt;&gt;"",0)),"")</f>
        <v/>
      </c>
      <c r="M10" s="58">
        <f>IFERROR(LOOKUP(2,1/(U10:AY10&lt;&gt;""),U$2:AY$2),"")</f>
        <v/>
      </c>
      <c r="N10" s="59">
        <f>IF(OR(G10="",M10=""),"",G10-M10)</f>
        <v/>
      </c>
      <c r="O10" s="60" t="n"/>
      <c r="P10" s="61" t="n"/>
      <c r="U10" s="62" t="n"/>
      <c r="V10" s="62" t="n"/>
      <c r="W10" s="62" t="n"/>
      <c r="X10" s="62" t="n"/>
      <c r="Y10" s="62" t="n"/>
      <c r="Z10" s="62" t="n"/>
      <c r="AA10" s="62" t="n"/>
      <c r="AB10" s="62" t="n"/>
      <c r="AC10" s="62" t="n"/>
      <c r="AD10" s="62" t="n"/>
      <c r="AE10" s="62" t="n"/>
      <c r="AF10" s="62" t="n"/>
      <c r="AG10" s="62" t="n"/>
      <c r="AH10" s="62" t="n"/>
      <c r="AI10" s="62" t="n"/>
      <c r="AJ10" s="62" t="n"/>
      <c r="AK10" s="62" t="n"/>
      <c r="AL10" s="62" t="n"/>
      <c r="AM10" s="62" t="n"/>
      <c r="AN10" s="62" t="n"/>
      <c r="AO10" s="62" t="n"/>
      <c r="AP10" s="62" t="n"/>
      <c r="AQ10" s="62" t="n"/>
      <c r="AR10" s="62" t="n"/>
      <c r="AS10" s="62" t="n"/>
      <c r="AT10" s="62" t="n"/>
      <c r="AU10" s="62" t="n"/>
      <c r="AV10" s="62" t="n"/>
      <c r="AW10" s="62" t="n"/>
      <c r="AX10" s="62" t="n"/>
      <c r="AY10" s="62" t="n"/>
    </row>
    <row r="11">
      <c r="A11" s="38">
        <f>IF(D11="","",COUNTA($D$9:D11))</f>
        <v/>
      </c>
      <c r="B11" s="52" t="n"/>
      <c r="C11" s="53" t="inlineStr">
        <is>
          <t>마케팅1팀</t>
        </is>
      </c>
      <c r="D11" s="52" t="n"/>
      <c r="E11" s="54" t="n"/>
      <c r="F11" s="52" t="n"/>
      <c r="G11" s="55" t="n"/>
      <c r="H11" s="54" t="n"/>
      <c r="I11" s="54" t="n"/>
      <c r="J11" s="54" t="n"/>
      <c r="K11" s="56">
        <f>IF(SUM(U11:AY11)=0,"",SUM(U11:AY11))</f>
        <v/>
      </c>
      <c r="L11" s="57">
        <f>IFERROR(INDEX(U$2:AY$2,MATCH(TRUE,U11:AY11&lt;&gt;"",0)),"")</f>
        <v/>
      </c>
      <c r="M11" s="58">
        <f>IFERROR(LOOKUP(2,1/(U11:AY11&lt;&gt;""),U$2:AY$2),"")</f>
        <v/>
      </c>
      <c r="N11" s="59">
        <f>IF(OR(G11="",M11=""),"",G11-M11)</f>
        <v/>
      </c>
      <c r="O11" s="60" t="n"/>
      <c r="P11" s="61" t="n"/>
      <c r="U11" s="62" t="n"/>
      <c r="V11" s="62" t="n"/>
      <c r="W11" s="62" t="n"/>
      <c r="X11" s="62" t="n"/>
      <c r="Y11" s="62" t="n"/>
      <c r="Z11" s="62" t="n"/>
      <c r="AA11" s="62" t="n"/>
      <c r="AB11" s="62" t="n"/>
      <c r="AC11" s="62" t="n"/>
      <c r="AD11" s="62" t="n"/>
      <c r="AE11" s="62" t="n"/>
      <c r="AF11" s="62" t="n"/>
      <c r="AG11" s="62" t="n"/>
      <c r="AH11" s="62" t="n"/>
      <c r="AI11" s="62" t="n"/>
      <c r="AJ11" s="62" t="n"/>
      <c r="AK11" s="62" t="n"/>
      <c r="AL11" s="62" t="n"/>
      <c r="AM11" s="62" t="n"/>
      <c r="AN11" s="62" t="n"/>
      <c r="AO11" s="62" t="n"/>
      <c r="AP11" s="62" t="n"/>
      <c r="AQ11" s="62" t="n"/>
      <c r="AR11" s="62" t="n"/>
      <c r="AS11" s="62" t="n"/>
      <c r="AT11" s="62" t="n"/>
      <c r="AU11" s="62" t="n"/>
      <c r="AV11" s="62" t="n"/>
      <c r="AW11" s="62" t="n"/>
      <c r="AX11" s="62" t="n"/>
      <c r="AY11" s="62" t="n"/>
    </row>
    <row r="12">
      <c r="A12" s="38">
        <f>IF(D12="","",COUNTA($D$9:D12))</f>
        <v/>
      </c>
      <c r="B12" s="52" t="n"/>
      <c r="C12" s="53" t="inlineStr">
        <is>
          <t>마케팅1팀</t>
        </is>
      </c>
      <c r="D12" s="52" t="n"/>
      <c r="E12" s="54" t="n"/>
      <c r="F12" s="52" t="n"/>
      <c r="G12" s="55" t="n"/>
      <c r="H12" s="54" t="n"/>
      <c r="I12" s="54" t="n"/>
      <c r="J12" s="54" t="n"/>
      <c r="K12" s="56">
        <f>IF(SUM(U12:AY12)=0,"",SUM(U12:AY12))</f>
        <v/>
      </c>
      <c r="L12" s="57">
        <f>IFERROR(INDEX(U$2:AY$2,MATCH(TRUE,U12:AY12&lt;&gt;"",0)),"")</f>
        <v/>
      </c>
      <c r="M12" s="58">
        <f>IFERROR(LOOKUP(2,1/(U12:AY12&lt;&gt;""),U$2:AY$2),"")</f>
        <v/>
      </c>
      <c r="N12" s="59">
        <f>IF(OR(G12="",M12=""),"",G12-M12)</f>
        <v/>
      </c>
      <c r="O12" s="60" t="n"/>
      <c r="P12" s="61" t="n"/>
      <c r="U12" s="62" t="n"/>
      <c r="V12" s="62" t="n"/>
      <c r="W12" s="62" t="n"/>
      <c r="X12" s="62" t="n"/>
      <c r="Y12" s="62" t="n"/>
      <c r="Z12" s="62" t="n"/>
      <c r="AA12" s="62" t="n"/>
      <c r="AB12" s="62" t="n"/>
      <c r="AC12" s="62" t="n"/>
      <c r="AD12" s="62" t="n"/>
      <c r="AE12" s="62" t="n"/>
      <c r="AF12" s="62" t="n"/>
      <c r="AG12" s="62" t="n"/>
      <c r="AH12" s="62" t="n"/>
      <c r="AI12" s="62" t="n"/>
      <c r="AJ12" s="62" t="n"/>
      <c r="AK12" s="62" t="n"/>
      <c r="AL12" s="62" t="n"/>
      <c r="AM12" s="62" t="n"/>
      <c r="AN12" s="62" t="n"/>
      <c r="AO12" s="62" t="n"/>
      <c r="AP12" s="62" t="n"/>
      <c r="AQ12" s="62" t="n"/>
      <c r="AR12" s="62" t="n"/>
      <c r="AS12" s="62" t="n"/>
      <c r="AT12" s="62" t="n"/>
      <c r="AU12" s="62" t="n"/>
      <c r="AV12" s="62" t="n"/>
      <c r="AW12" s="62" t="n"/>
      <c r="AX12" s="62" t="n"/>
      <c r="AY12" s="62" t="n"/>
    </row>
    <row r="13">
      <c r="A13" s="38">
        <f>IF(D13="","",COUNTA($D$9:D13))</f>
        <v/>
      </c>
      <c r="B13" s="52" t="n"/>
      <c r="C13" s="53" t="inlineStr">
        <is>
          <t>마케팅1팀</t>
        </is>
      </c>
      <c r="D13" s="52" t="n"/>
      <c r="E13" s="54" t="n"/>
      <c r="F13" s="52" t="n"/>
      <c r="G13" s="55" t="n"/>
      <c r="H13" s="54" t="n"/>
      <c r="I13" s="54" t="n"/>
      <c r="J13" s="54" t="n"/>
      <c r="K13" s="56">
        <f>IF(SUM(U13:AY13)=0,"",SUM(U13:AY13))</f>
        <v/>
      </c>
      <c r="L13" s="57">
        <f>IFERROR(INDEX(U$2:AY$2,MATCH(TRUE,U13:AY13&lt;&gt;"",0)),"")</f>
        <v/>
      </c>
      <c r="M13" s="58">
        <f>IFERROR(LOOKUP(2,1/(U13:AY13&lt;&gt;""),U$2:AY$2),"")</f>
        <v/>
      </c>
      <c r="N13" s="59">
        <f>IF(OR(G13="",M13=""),"",G13-M13)</f>
        <v/>
      </c>
      <c r="O13" s="60" t="n"/>
      <c r="P13" s="61" t="n"/>
      <c r="U13" s="62" t="n"/>
      <c r="V13" s="62" t="n"/>
      <c r="W13" s="62" t="n"/>
      <c r="X13" s="62" t="n"/>
      <c r="Y13" s="62" t="n"/>
      <c r="Z13" s="62" t="n"/>
      <c r="AA13" s="62" t="n"/>
      <c r="AB13" s="62" t="n"/>
      <c r="AC13" s="62" t="n"/>
      <c r="AD13" s="62" t="n"/>
      <c r="AE13" s="62" t="n"/>
      <c r="AF13" s="62" t="n"/>
      <c r="AG13" s="62" t="n"/>
      <c r="AH13" s="62" t="n"/>
      <c r="AI13" s="62" t="n"/>
      <c r="AJ13" s="62" t="n"/>
      <c r="AK13" s="62" t="n"/>
      <c r="AL13" s="62" t="n"/>
      <c r="AM13" s="62" t="n"/>
      <c r="AN13" s="62" t="n"/>
      <c r="AO13" s="62" t="n"/>
      <c r="AP13" s="62" t="n"/>
      <c r="AQ13" s="62" t="n"/>
      <c r="AR13" s="62" t="n"/>
      <c r="AS13" s="62" t="n"/>
      <c r="AT13" s="62" t="n"/>
      <c r="AU13" s="62" t="n"/>
      <c r="AV13" s="62" t="n"/>
      <c r="AW13" s="62" t="n"/>
      <c r="AX13" s="62" t="n"/>
      <c r="AY13" s="62" t="n"/>
    </row>
    <row r="14">
      <c r="A14" s="38">
        <f>IF(D14="","",COUNTA($D$9:D14))</f>
        <v/>
      </c>
      <c r="B14" s="52" t="n"/>
      <c r="C14" s="53" t="inlineStr">
        <is>
          <t>마케팅1팀</t>
        </is>
      </c>
      <c r="D14" s="52" t="n"/>
      <c r="E14" s="54" t="n"/>
      <c r="F14" s="52" t="n"/>
      <c r="G14" s="55" t="n"/>
      <c r="H14" s="54" t="n"/>
      <c r="I14" s="54" t="n"/>
      <c r="J14" s="54" t="n"/>
      <c r="K14" s="56">
        <f>IF(SUM(U14:AY14)=0,"",SUM(U14:AY14))</f>
        <v/>
      </c>
      <c r="L14" s="57">
        <f>IFERROR(INDEX(U$2:AY$2,MATCH(TRUE,U14:AY14&lt;&gt;"",0)),"")</f>
        <v/>
      </c>
      <c r="M14" s="58">
        <f>IFERROR(LOOKUP(2,1/(U14:AY14&lt;&gt;""),U$2:AY$2),"")</f>
        <v/>
      </c>
      <c r="N14" s="59">
        <f>IF(OR(G14="",M14=""),"",G14-M14)</f>
        <v/>
      </c>
      <c r="O14" s="60" t="n"/>
      <c r="P14" s="61" t="n"/>
      <c r="U14" s="62" t="n"/>
      <c r="V14" s="62" t="n"/>
      <c r="W14" s="62" t="n"/>
      <c r="X14" s="62" t="n"/>
      <c r="Y14" s="62" t="n"/>
      <c r="Z14" s="62" t="n"/>
      <c r="AA14" s="62" t="n"/>
      <c r="AB14" s="62" t="n"/>
      <c r="AC14" s="62" t="n"/>
      <c r="AD14" s="62" t="n"/>
      <c r="AE14" s="62" t="n"/>
      <c r="AF14" s="62" t="n"/>
      <c r="AG14" s="62" t="n"/>
      <c r="AH14" s="62" t="n"/>
      <c r="AI14" s="62" t="n"/>
      <c r="AJ14" s="62" t="n"/>
      <c r="AK14" s="62" t="n"/>
      <c r="AL14" s="62" t="n"/>
      <c r="AM14" s="62" t="n"/>
      <c r="AN14" s="62" t="n"/>
      <c r="AO14" s="62" t="n"/>
      <c r="AP14" s="62" t="n"/>
      <c r="AQ14" s="62" t="n"/>
      <c r="AR14" s="62" t="n"/>
      <c r="AS14" s="62" t="n"/>
      <c r="AT14" s="62" t="n"/>
      <c r="AU14" s="62" t="n"/>
      <c r="AV14" s="62" t="n"/>
      <c r="AW14" s="62" t="n"/>
      <c r="AX14" s="62" t="n"/>
      <c r="AY14" s="62" t="n"/>
    </row>
    <row r="15">
      <c r="A15" s="38">
        <f>IF(D15="","",COUNTA($D$9:D15))</f>
        <v/>
      </c>
      <c r="B15" s="52" t="n"/>
      <c r="C15" s="53" t="inlineStr">
        <is>
          <t>마케팅1팀</t>
        </is>
      </c>
      <c r="D15" s="52" t="n"/>
      <c r="E15" s="54" t="n"/>
      <c r="F15" s="52" t="n"/>
      <c r="G15" s="55" t="n"/>
      <c r="H15" s="54" t="n"/>
      <c r="I15" s="54" t="n"/>
      <c r="J15" s="54" t="n"/>
      <c r="K15" s="56">
        <f>IF(SUM(U15:AY15)=0,"",SUM(U15:AY15))</f>
        <v/>
      </c>
      <c r="L15" s="57">
        <f>IFERROR(INDEX(U$2:AY$2,MATCH(TRUE,U15:AY15&lt;&gt;"",0)),"")</f>
        <v/>
      </c>
      <c r="M15" s="58">
        <f>IFERROR(LOOKUP(2,1/(U15:AY15&lt;&gt;""),U$2:AY$2),"")</f>
        <v/>
      </c>
      <c r="N15" s="59">
        <f>IF(OR(G15="",M15=""),"",G15-M15)</f>
        <v/>
      </c>
      <c r="O15" s="60" t="n"/>
      <c r="P15" s="61" t="n"/>
      <c r="U15" s="62" t="n"/>
      <c r="V15" s="62" t="n"/>
      <c r="W15" s="62" t="n"/>
      <c r="X15" s="62" t="n"/>
      <c r="Y15" s="62" t="n"/>
      <c r="Z15" s="62" t="n"/>
      <c r="AA15" s="62" t="n"/>
      <c r="AB15" s="62" t="n"/>
      <c r="AC15" s="62" t="n"/>
      <c r="AD15" s="62" t="n"/>
      <c r="AE15" s="62" t="n"/>
      <c r="AF15" s="62" t="n"/>
      <c r="AG15" s="62" t="n"/>
      <c r="AH15" s="62" t="n"/>
      <c r="AI15" s="62" t="n"/>
      <c r="AJ15" s="62" t="n"/>
      <c r="AK15" s="62" t="n"/>
      <c r="AL15" s="62" t="n"/>
      <c r="AM15" s="62" t="n"/>
      <c r="AN15" s="62" t="n"/>
      <c r="AO15" s="62" t="n"/>
      <c r="AP15" s="62" t="n"/>
      <c r="AQ15" s="62" t="n"/>
      <c r="AR15" s="62" t="n"/>
      <c r="AS15" s="62" t="n"/>
      <c r="AT15" s="62" t="n"/>
      <c r="AU15" s="62" t="n"/>
      <c r="AV15" s="62" t="n"/>
      <c r="AW15" s="62" t="n"/>
      <c r="AX15" s="62" t="n"/>
      <c r="AY15" s="62" t="n"/>
    </row>
    <row r="16">
      <c r="A16" s="38">
        <f>IF(D16="","",COUNTA($D$9:D16))</f>
        <v/>
      </c>
      <c r="B16" s="52" t="n"/>
      <c r="C16" s="53" t="inlineStr">
        <is>
          <t>마케팅1팀</t>
        </is>
      </c>
      <c r="D16" s="52" t="n"/>
      <c r="E16" s="54" t="n"/>
      <c r="F16" s="52" t="n"/>
      <c r="G16" s="55" t="n"/>
      <c r="H16" s="54" t="n"/>
      <c r="I16" s="54" t="n"/>
      <c r="J16" s="54" t="n"/>
      <c r="K16" s="56">
        <f>IF(SUM(U16:AY16)=0,"",SUM(U16:AY16))</f>
        <v/>
      </c>
      <c r="L16" s="57">
        <f>IFERROR(INDEX(U$2:AY$2,MATCH(TRUE,U16:AY16&lt;&gt;"",0)),"")</f>
        <v/>
      </c>
      <c r="M16" s="58">
        <f>IFERROR(LOOKUP(2,1/(U16:AY16&lt;&gt;""),U$2:AY$2),"")</f>
        <v/>
      </c>
      <c r="N16" s="59">
        <f>IF(OR(G16="",M16=""),"",G16-M16)</f>
        <v/>
      </c>
      <c r="O16" s="60" t="n"/>
      <c r="P16" s="61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  <c r="AG16" s="62" t="n"/>
      <c r="AH16" s="62" t="n"/>
      <c r="AI16" s="62" t="n"/>
      <c r="AJ16" s="62" t="n"/>
      <c r="AK16" s="62" t="n"/>
      <c r="AL16" s="62" t="n"/>
      <c r="AM16" s="62" t="n"/>
      <c r="AN16" s="62" t="n"/>
      <c r="AO16" s="62" t="n"/>
      <c r="AP16" s="62" t="n"/>
      <c r="AQ16" s="62" t="n"/>
      <c r="AR16" s="62" t="n"/>
      <c r="AS16" s="62" t="n"/>
      <c r="AT16" s="62" t="n"/>
      <c r="AU16" s="62" t="n"/>
      <c r="AV16" s="62" t="n"/>
      <c r="AW16" s="62" t="n"/>
      <c r="AX16" s="62" t="n"/>
      <c r="AY16" s="62" t="n"/>
    </row>
    <row r="17">
      <c r="A17" s="38">
        <f>IF(D17="","",COUNTA($D$9:D17))</f>
        <v/>
      </c>
      <c r="B17" s="52" t="n"/>
      <c r="C17" s="53" t="inlineStr">
        <is>
          <t>마케팅1팀</t>
        </is>
      </c>
      <c r="D17" s="52" t="n"/>
      <c r="E17" s="54" t="n"/>
      <c r="F17" s="52" t="n"/>
      <c r="G17" s="55" t="n"/>
      <c r="H17" s="54" t="n"/>
      <c r="I17" s="54" t="n"/>
      <c r="J17" s="54" t="n"/>
      <c r="K17" s="56">
        <f>IF(SUM(U17:AY17)=0,"",SUM(U17:AY17))</f>
        <v/>
      </c>
      <c r="L17" s="57">
        <f>IFERROR(INDEX(U$2:AY$2,MATCH(TRUE,U17:AY17&lt;&gt;"",0)),"")</f>
        <v/>
      </c>
      <c r="M17" s="58">
        <f>IFERROR(LOOKUP(2,1/(U17:AY17&lt;&gt;""),U$2:AY$2),"")</f>
        <v/>
      </c>
      <c r="N17" s="59">
        <f>IF(OR(G17="",M17=""),"",G17-M17)</f>
        <v/>
      </c>
      <c r="O17" s="60" t="n"/>
      <c r="P17" s="61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  <c r="AG17" s="62" t="n"/>
      <c r="AH17" s="62" t="n"/>
      <c r="AI17" s="62" t="n"/>
      <c r="AJ17" s="62" t="n"/>
      <c r="AK17" s="62" t="n"/>
      <c r="AL17" s="62" t="n"/>
      <c r="AM17" s="62" t="n"/>
      <c r="AN17" s="62" t="n"/>
      <c r="AO17" s="62" t="n"/>
      <c r="AP17" s="62" t="n"/>
      <c r="AQ17" s="62" t="n"/>
      <c r="AR17" s="62" t="n"/>
      <c r="AS17" s="62" t="n"/>
      <c r="AT17" s="62" t="n"/>
      <c r="AU17" s="62" t="n"/>
      <c r="AV17" s="62" t="n"/>
      <c r="AW17" s="62" t="n"/>
      <c r="AX17" s="62" t="n"/>
      <c r="AY17" s="62" t="n"/>
    </row>
    <row r="18">
      <c r="A18" s="38">
        <f>IF(D18="","",COUNTA($D$9:D18))</f>
        <v/>
      </c>
      <c r="B18" s="52" t="n"/>
      <c r="C18" s="53" t="inlineStr">
        <is>
          <t>마케팅1팀</t>
        </is>
      </c>
      <c r="D18" s="52" t="n"/>
      <c r="E18" s="54" t="n"/>
      <c r="F18" s="52" t="n"/>
      <c r="G18" s="55" t="n"/>
      <c r="H18" s="54" t="n"/>
      <c r="I18" s="54" t="n"/>
      <c r="J18" s="54" t="n"/>
      <c r="K18" s="56">
        <f>IF(SUM(U18:AY18)=0,"",SUM(U18:AY18))</f>
        <v/>
      </c>
      <c r="L18" s="57">
        <f>IFERROR(INDEX(U$2:AY$2,MATCH(TRUE,U18:AY18&lt;&gt;"",0)),"")</f>
        <v/>
      </c>
      <c r="M18" s="58">
        <f>IFERROR(LOOKUP(2,1/(U18:AY18&lt;&gt;""),U$2:AY$2),"")</f>
        <v/>
      </c>
      <c r="N18" s="59">
        <f>IF(OR(G18="",M18=""),"",G18-M18)</f>
        <v/>
      </c>
      <c r="O18" s="60" t="n"/>
      <c r="P18" s="61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  <c r="AG18" s="62" t="n"/>
      <c r="AH18" s="62" t="n"/>
      <c r="AI18" s="62" t="n"/>
      <c r="AJ18" s="62" t="n"/>
      <c r="AK18" s="62" t="n"/>
      <c r="AL18" s="62" t="n"/>
      <c r="AM18" s="62" t="n"/>
      <c r="AN18" s="62" t="n"/>
      <c r="AO18" s="62" t="n"/>
      <c r="AP18" s="62" t="n"/>
      <c r="AQ18" s="62" t="n"/>
      <c r="AR18" s="62" t="n"/>
      <c r="AS18" s="62" t="n"/>
      <c r="AT18" s="62" t="n"/>
      <c r="AU18" s="62" t="n"/>
      <c r="AV18" s="62" t="n"/>
      <c r="AW18" s="62" t="n"/>
      <c r="AX18" s="62" t="n"/>
      <c r="AY18" s="62" t="n"/>
    </row>
    <row r="19">
      <c r="A19" s="38">
        <f>IF(D19="","",COUNTA($D$9:D19))</f>
        <v/>
      </c>
      <c r="B19" s="52" t="n"/>
      <c r="C19" s="53" t="inlineStr">
        <is>
          <t>마케팅1팀</t>
        </is>
      </c>
      <c r="D19" s="52" t="n"/>
      <c r="E19" s="54" t="n"/>
      <c r="F19" s="52" t="n"/>
      <c r="G19" s="55" t="n"/>
      <c r="H19" s="54" t="n"/>
      <c r="I19" s="54" t="n"/>
      <c r="J19" s="54" t="n"/>
      <c r="K19" s="56">
        <f>IF(SUM(U19:AY19)=0,"",SUM(U19:AY19))</f>
        <v/>
      </c>
      <c r="L19" s="57">
        <f>IFERROR(INDEX(U$2:AY$2,MATCH(TRUE,U19:AY19&lt;&gt;"",0)),"")</f>
        <v/>
      </c>
      <c r="M19" s="58">
        <f>IFERROR(LOOKUP(2,1/(U19:AY19&lt;&gt;""),U$2:AY$2),"")</f>
        <v/>
      </c>
      <c r="N19" s="59">
        <f>IF(OR(G19="",M19=""),"",G19-M19)</f>
        <v/>
      </c>
      <c r="O19" s="60" t="n"/>
      <c r="P19" s="61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  <c r="AG19" s="62" t="n"/>
      <c r="AH19" s="62" t="n"/>
      <c r="AI19" s="62" t="n"/>
      <c r="AJ19" s="62" t="n"/>
      <c r="AK19" s="62" t="n"/>
      <c r="AL19" s="62" t="n"/>
      <c r="AM19" s="62" t="n"/>
      <c r="AN19" s="62" t="n"/>
      <c r="AO19" s="62" t="n"/>
      <c r="AP19" s="62" t="n"/>
      <c r="AQ19" s="62" t="n"/>
      <c r="AR19" s="62" t="n"/>
      <c r="AS19" s="62" t="n"/>
      <c r="AT19" s="62" t="n"/>
      <c r="AU19" s="62" t="n"/>
      <c r="AV19" s="62" t="n"/>
      <c r="AW19" s="62" t="n"/>
      <c r="AX19" s="62" t="n"/>
      <c r="AY19" s="62" t="n"/>
    </row>
    <row r="20">
      <c r="A20" s="38">
        <f>IF(D20="","",COUNTA($D$9:D20))</f>
        <v/>
      </c>
      <c r="B20" s="52" t="n"/>
      <c r="C20" s="53" t="inlineStr">
        <is>
          <t>마케팅1팀</t>
        </is>
      </c>
      <c r="D20" s="52" t="n"/>
      <c r="E20" s="54" t="n"/>
      <c r="F20" s="52" t="n"/>
      <c r="G20" s="55" t="n"/>
      <c r="H20" s="54" t="n"/>
      <c r="I20" s="54" t="n"/>
      <c r="J20" s="54" t="n"/>
      <c r="K20" s="56">
        <f>IF(SUM(U20:AY20)=0,"",SUM(U20:AY20))</f>
        <v/>
      </c>
      <c r="L20" s="57">
        <f>IFERROR(INDEX(U$2:AY$2,MATCH(TRUE,U20:AY20&lt;&gt;"",0)),"")</f>
        <v/>
      </c>
      <c r="M20" s="58">
        <f>IFERROR(LOOKUP(2,1/(U20:AY20&lt;&gt;""),U$2:AY$2),"")</f>
        <v/>
      </c>
      <c r="N20" s="59">
        <f>IF(OR(G20="",M20=""),"",G20-M20)</f>
        <v/>
      </c>
      <c r="O20" s="60" t="n"/>
      <c r="P20" s="61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  <c r="AG20" s="62" t="n"/>
      <c r="AH20" s="62" t="n"/>
      <c r="AI20" s="62" t="n"/>
      <c r="AJ20" s="62" t="n"/>
      <c r="AK20" s="62" t="n"/>
      <c r="AL20" s="62" t="n"/>
      <c r="AM20" s="62" t="n"/>
      <c r="AN20" s="62" t="n"/>
      <c r="AO20" s="62" t="n"/>
      <c r="AP20" s="62" t="n"/>
      <c r="AQ20" s="62" t="n"/>
      <c r="AR20" s="62" t="n"/>
      <c r="AS20" s="62" t="n"/>
      <c r="AT20" s="62" t="n"/>
      <c r="AU20" s="62" t="n"/>
      <c r="AV20" s="62" t="n"/>
      <c r="AW20" s="62" t="n"/>
      <c r="AX20" s="62" t="n"/>
      <c r="AY20" s="62" t="n"/>
    </row>
    <row r="21">
      <c r="A21" s="38">
        <f>IF(D21="","",COUNTA($D$9:D21))</f>
        <v/>
      </c>
      <c r="B21" s="52" t="n"/>
      <c r="C21" s="53" t="inlineStr">
        <is>
          <t>마케팅1팀</t>
        </is>
      </c>
      <c r="D21" s="52" t="n"/>
      <c r="E21" s="54" t="n"/>
      <c r="F21" s="52" t="n"/>
      <c r="G21" s="55" t="n"/>
      <c r="H21" s="54" t="n"/>
      <c r="I21" s="54" t="n"/>
      <c r="J21" s="54" t="n"/>
      <c r="K21" s="56">
        <f>IF(SUM(U21:AY21)=0,"",SUM(U21:AY21))</f>
        <v/>
      </c>
      <c r="L21" s="57">
        <f>IFERROR(INDEX(U$2:AY$2,MATCH(TRUE,U21:AY21&lt;&gt;"",0)),"")</f>
        <v/>
      </c>
      <c r="M21" s="58">
        <f>IFERROR(LOOKUP(2,1/(U21:AY21&lt;&gt;""),U$2:AY$2),"")</f>
        <v/>
      </c>
      <c r="N21" s="59">
        <f>IF(OR(G21="",M21=""),"",G21-M21)</f>
        <v/>
      </c>
      <c r="O21" s="60" t="n"/>
      <c r="P21" s="61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  <c r="AG21" s="62" t="n"/>
      <c r="AH21" s="62" t="n"/>
      <c r="AI21" s="62" t="n"/>
      <c r="AJ21" s="62" t="n"/>
      <c r="AK21" s="62" t="n"/>
      <c r="AL21" s="62" t="n"/>
      <c r="AM21" s="62" t="n"/>
      <c r="AN21" s="62" t="n"/>
      <c r="AO21" s="62" t="n"/>
      <c r="AP21" s="62" t="n"/>
      <c r="AQ21" s="62" t="n"/>
      <c r="AR21" s="62" t="n"/>
      <c r="AS21" s="62" t="n"/>
      <c r="AT21" s="62" t="n"/>
      <c r="AU21" s="62" t="n"/>
      <c r="AV21" s="62" t="n"/>
      <c r="AW21" s="62" t="n"/>
      <c r="AX21" s="62" t="n"/>
      <c r="AY21" s="62" t="n"/>
    </row>
    <row r="22">
      <c r="A22" s="38">
        <f>IF(D22="","",COUNTA($D$9:D22))</f>
        <v/>
      </c>
      <c r="B22" s="52" t="n"/>
      <c r="C22" s="53" t="inlineStr">
        <is>
          <t>마케팅1팀</t>
        </is>
      </c>
      <c r="D22" s="52" t="n"/>
      <c r="E22" s="54" t="n"/>
      <c r="F22" s="52" t="n"/>
      <c r="G22" s="55" t="n"/>
      <c r="H22" s="54" t="n"/>
      <c r="I22" s="54" t="n"/>
      <c r="J22" s="54" t="n"/>
      <c r="K22" s="56">
        <f>IF(SUM(U22:AY22)=0,"",SUM(U22:AY22))</f>
        <v/>
      </c>
      <c r="L22" s="57">
        <f>IFERROR(INDEX(U$2:AY$2,MATCH(TRUE,U22:AY22&lt;&gt;"",0)),"")</f>
        <v/>
      </c>
      <c r="M22" s="58">
        <f>IFERROR(LOOKUP(2,1/(U22:AY22&lt;&gt;""),U$2:AY$2),"")</f>
        <v/>
      </c>
      <c r="N22" s="59">
        <f>IF(OR(G22="",M22=""),"",G22-M22)</f>
        <v/>
      </c>
      <c r="O22" s="60" t="n"/>
      <c r="P22" s="61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  <c r="AG22" s="62" t="n"/>
      <c r="AH22" s="62" t="n"/>
      <c r="AI22" s="62" t="n"/>
      <c r="AJ22" s="62" t="n"/>
      <c r="AK22" s="62" t="n"/>
      <c r="AL22" s="62" t="n"/>
      <c r="AM22" s="62" t="n"/>
      <c r="AN22" s="62" t="n"/>
      <c r="AO22" s="62" t="n"/>
      <c r="AP22" s="62" t="n"/>
      <c r="AQ22" s="62" t="n"/>
      <c r="AR22" s="62" t="n"/>
      <c r="AS22" s="62" t="n"/>
      <c r="AT22" s="62" t="n"/>
      <c r="AU22" s="62" t="n"/>
      <c r="AV22" s="62" t="n"/>
      <c r="AW22" s="62" t="n"/>
      <c r="AX22" s="62" t="n"/>
      <c r="AY22" s="62" t="n"/>
    </row>
    <row r="23">
      <c r="A23" s="38">
        <f>IF(D23="","",COUNTA($D$9:D23))</f>
        <v/>
      </c>
      <c r="B23" s="52" t="n"/>
      <c r="C23" s="53" t="inlineStr">
        <is>
          <t>마케팅1팀</t>
        </is>
      </c>
      <c r="D23" s="52" t="n"/>
      <c r="E23" s="54" t="n"/>
      <c r="F23" s="52" t="n"/>
      <c r="G23" s="55" t="n"/>
      <c r="H23" s="54" t="n"/>
      <c r="I23" s="54" t="n"/>
      <c r="J23" s="54" t="n"/>
      <c r="K23" s="56">
        <f>IF(SUM(U23:AY23)=0,"",SUM(U23:AY23))</f>
        <v/>
      </c>
      <c r="L23" s="57">
        <f>IFERROR(INDEX(U$2:AY$2,MATCH(TRUE,U23:AY23&lt;&gt;"",0)),"")</f>
        <v/>
      </c>
      <c r="M23" s="58">
        <f>IFERROR(LOOKUP(2,1/(U23:AY23&lt;&gt;""),U$2:AY$2),"")</f>
        <v/>
      </c>
      <c r="N23" s="59">
        <f>IF(OR(G23="",M23=""),"",G23-M23)</f>
        <v/>
      </c>
      <c r="O23" s="60" t="n"/>
      <c r="P23" s="61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  <c r="AG23" s="62" t="n"/>
      <c r="AH23" s="62" t="n"/>
      <c r="AI23" s="62" t="n"/>
      <c r="AJ23" s="62" t="n"/>
      <c r="AK23" s="62" t="n"/>
      <c r="AL23" s="62" t="n"/>
      <c r="AM23" s="62" t="n"/>
      <c r="AN23" s="62" t="n"/>
      <c r="AO23" s="62" t="n"/>
      <c r="AP23" s="62" t="n"/>
      <c r="AQ23" s="62" t="n"/>
      <c r="AR23" s="62" t="n"/>
      <c r="AS23" s="62" t="n"/>
      <c r="AT23" s="62" t="n"/>
      <c r="AU23" s="62" t="n"/>
      <c r="AV23" s="62" t="n"/>
      <c r="AW23" s="62" t="n"/>
      <c r="AX23" s="62" t="n"/>
      <c r="AY23" s="62" t="n"/>
    </row>
    <row r="24">
      <c r="A24" s="38">
        <f>IF(D24="","",COUNTA($D$9:D24))</f>
        <v/>
      </c>
      <c r="B24" s="52" t="n"/>
      <c r="C24" s="53" t="inlineStr">
        <is>
          <t>마케팅1팀</t>
        </is>
      </c>
      <c r="D24" s="52" t="n"/>
      <c r="E24" s="54" t="n"/>
      <c r="F24" s="52" t="n"/>
      <c r="G24" s="55" t="n"/>
      <c r="H24" s="54" t="n"/>
      <c r="I24" s="54" t="n"/>
      <c r="J24" s="54" t="n"/>
      <c r="K24" s="56">
        <f>IF(SUM(U24:AY24)=0,"",SUM(U24:AY24))</f>
        <v/>
      </c>
      <c r="L24" s="57">
        <f>IFERROR(INDEX(U$2:AY$2,MATCH(TRUE,U24:AY24&lt;&gt;"",0)),"")</f>
        <v/>
      </c>
      <c r="M24" s="58">
        <f>IFERROR(LOOKUP(2,1/(U24:AY24&lt;&gt;""),U$2:AY$2),"")</f>
        <v/>
      </c>
      <c r="N24" s="59">
        <f>IF(OR(G24="",M24=""),"",G24-M24)</f>
        <v/>
      </c>
      <c r="O24" s="60" t="n"/>
      <c r="P24" s="61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  <c r="AG24" s="62" t="n"/>
      <c r="AH24" s="62" t="n"/>
      <c r="AI24" s="62" t="n"/>
      <c r="AJ24" s="62" t="n"/>
      <c r="AK24" s="62" t="n"/>
      <c r="AL24" s="62" t="n"/>
      <c r="AM24" s="62" t="n"/>
      <c r="AN24" s="62" t="n"/>
      <c r="AO24" s="62" t="n"/>
      <c r="AP24" s="62" t="n"/>
      <c r="AQ24" s="62" t="n"/>
      <c r="AR24" s="62" t="n"/>
      <c r="AS24" s="62" t="n"/>
      <c r="AT24" s="62" t="n"/>
      <c r="AU24" s="62" t="n"/>
      <c r="AV24" s="62" t="n"/>
      <c r="AW24" s="62" t="n"/>
      <c r="AX24" s="62" t="n"/>
      <c r="AY24" s="62" t="n"/>
    </row>
    <row r="25">
      <c r="A25" s="38">
        <f>IF(D25="","",COUNTA($D$9:D25))</f>
        <v/>
      </c>
      <c r="B25" s="52" t="n"/>
      <c r="C25" s="53" t="inlineStr">
        <is>
          <t>마케팅1팀</t>
        </is>
      </c>
      <c r="D25" s="52" t="n"/>
      <c r="E25" s="54" t="n"/>
      <c r="F25" s="52" t="n"/>
      <c r="G25" s="55" t="n"/>
      <c r="H25" s="54" t="n"/>
      <c r="I25" s="54" t="n"/>
      <c r="J25" s="54" t="n"/>
      <c r="K25" s="56">
        <f>IF(SUM(U25:AY25)=0,"",SUM(U25:AY25))</f>
        <v/>
      </c>
      <c r="L25" s="57">
        <f>IFERROR(INDEX(U$2:AY$2,MATCH(TRUE,U25:AY25&lt;&gt;"",0)),"")</f>
        <v/>
      </c>
      <c r="M25" s="58">
        <f>IFERROR(LOOKUP(2,1/(U25:AY25&lt;&gt;""),U$2:AY$2),"")</f>
        <v/>
      </c>
      <c r="N25" s="59">
        <f>IF(OR(G25="",M25=""),"",G25-M25)</f>
        <v/>
      </c>
      <c r="O25" s="60" t="n"/>
      <c r="P25" s="61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  <c r="AG25" s="62" t="n"/>
      <c r="AH25" s="62" t="n"/>
      <c r="AI25" s="62" t="n"/>
      <c r="AJ25" s="62" t="n"/>
      <c r="AK25" s="62" t="n"/>
      <c r="AL25" s="62" t="n"/>
      <c r="AM25" s="62" t="n"/>
      <c r="AN25" s="62" t="n"/>
      <c r="AO25" s="62" t="n"/>
      <c r="AP25" s="62" t="n"/>
      <c r="AQ25" s="62" t="n"/>
      <c r="AR25" s="62" t="n"/>
      <c r="AS25" s="62" t="n"/>
      <c r="AT25" s="62" t="n"/>
      <c r="AU25" s="62" t="n"/>
      <c r="AV25" s="62" t="n"/>
      <c r="AW25" s="62" t="n"/>
      <c r="AX25" s="62" t="n"/>
      <c r="AY25" s="62" t="n"/>
    </row>
    <row r="26">
      <c r="A26" s="38">
        <f>IF(D26="","",COUNTA($D$9:D26))</f>
        <v/>
      </c>
      <c r="B26" s="52" t="n"/>
      <c r="C26" s="53" t="inlineStr">
        <is>
          <t>마케팅1팀</t>
        </is>
      </c>
      <c r="D26" s="52" t="n"/>
      <c r="E26" s="54" t="n"/>
      <c r="F26" s="52" t="n"/>
      <c r="G26" s="55" t="n"/>
      <c r="H26" s="54" t="n"/>
      <c r="I26" s="54" t="n"/>
      <c r="J26" s="54" t="n"/>
      <c r="K26" s="56">
        <f>IF(SUM(U26:AY26)=0,"",SUM(U26:AY26))</f>
        <v/>
      </c>
      <c r="L26" s="57">
        <f>IFERROR(INDEX(U$2:AY$2,MATCH(TRUE,U26:AY26&lt;&gt;"",0)),"")</f>
        <v/>
      </c>
      <c r="M26" s="58">
        <f>IFERROR(LOOKUP(2,1/(U26:AY26&lt;&gt;""),U$2:AY$2),"")</f>
        <v/>
      </c>
      <c r="N26" s="59">
        <f>IF(OR(G26="",M26=""),"",G26-M26)</f>
        <v/>
      </c>
      <c r="O26" s="60" t="n"/>
      <c r="P26" s="61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  <c r="AG26" s="62" t="n"/>
      <c r="AH26" s="62" t="n"/>
      <c r="AI26" s="62" t="n"/>
      <c r="AJ26" s="62" t="n"/>
      <c r="AK26" s="62" t="n"/>
      <c r="AL26" s="62" t="n"/>
      <c r="AM26" s="62" t="n"/>
      <c r="AN26" s="62" t="n"/>
      <c r="AO26" s="62" t="n"/>
      <c r="AP26" s="62" t="n"/>
      <c r="AQ26" s="62" t="n"/>
      <c r="AR26" s="62" t="n"/>
      <c r="AS26" s="62" t="n"/>
      <c r="AT26" s="62" t="n"/>
      <c r="AU26" s="62" t="n"/>
      <c r="AV26" s="62" t="n"/>
      <c r="AW26" s="62" t="n"/>
      <c r="AX26" s="62" t="n"/>
      <c r="AY26" s="62" t="n"/>
    </row>
    <row r="27">
      <c r="A27" s="38">
        <f>IF(D27="","",COUNTA($D$9:D27))</f>
        <v/>
      </c>
      <c r="B27" s="52" t="n"/>
      <c r="C27" s="53" t="inlineStr">
        <is>
          <t>마케팅1팀</t>
        </is>
      </c>
      <c r="D27" s="52" t="n"/>
      <c r="E27" s="54" t="n"/>
      <c r="F27" s="52" t="n"/>
      <c r="G27" s="55" t="n"/>
      <c r="H27" s="54" t="n"/>
      <c r="I27" s="54" t="n"/>
      <c r="J27" s="54" t="n"/>
      <c r="K27" s="56">
        <f>IF(SUM(U27:AY27)=0,"",SUM(U27:AY27))</f>
        <v/>
      </c>
      <c r="L27" s="57">
        <f>IFERROR(INDEX(U$2:AY$2,MATCH(TRUE,U27:AY27&lt;&gt;"",0)),"")</f>
        <v/>
      </c>
      <c r="M27" s="58">
        <f>IFERROR(LOOKUP(2,1/(U27:AY27&lt;&gt;""),U$2:AY$2),"")</f>
        <v/>
      </c>
      <c r="N27" s="59">
        <f>IF(OR(G27="",M27=""),"",G27-M27)</f>
        <v/>
      </c>
      <c r="O27" s="60" t="n"/>
      <c r="P27" s="61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  <c r="AG27" s="62" t="n"/>
      <c r="AH27" s="62" t="n"/>
      <c r="AI27" s="62" t="n"/>
      <c r="AJ27" s="62" t="n"/>
      <c r="AK27" s="62" t="n"/>
      <c r="AL27" s="62" t="n"/>
      <c r="AM27" s="62" t="n"/>
      <c r="AN27" s="62" t="n"/>
      <c r="AO27" s="62" t="n"/>
      <c r="AP27" s="62" t="n"/>
      <c r="AQ27" s="62" t="n"/>
      <c r="AR27" s="62" t="n"/>
      <c r="AS27" s="62" t="n"/>
      <c r="AT27" s="62" t="n"/>
      <c r="AU27" s="62" t="n"/>
      <c r="AV27" s="62" t="n"/>
      <c r="AW27" s="62" t="n"/>
      <c r="AX27" s="62" t="n"/>
      <c r="AY27" s="62" t="n"/>
    </row>
    <row r="28">
      <c r="A28" s="38">
        <f>IF(D28="","",COUNTA($D$9:D28))</f>
        <v/>
      </c>
      <c r="B28" s="52" t="n"/>
      <c r="C28" s="53" t="inlineStr">
        <is>
          <t>마케팅1팀</t>
        </is>
      </c>
      <c r="D28" s="52" t="n"/>
      <c r="E28" s="54" t="n"/>
      <c r="F28" s="52" t="n"/>
      <c r="G28" s="55" t="n"/>
      <c r="H28" s="54" t="n"/>
      <c r="I28" s="54" t="n"/>
      <c r="J28" s="54" t="n"/>
      <c r="K28" s="56">
        <f>IF(SUM(U28:AY28)=0,"",SUM(U28:AY28))</f>
        <v/>
      </c>
      <c r="L28" s="57">
        <f>IFERROR(INDEX(U$2:AY$2,MATCH(TRUE,U28:AY28&lt;&gt;"",0)),"")</f>
        <v/>
      </c>
      <c r="M28" s="58">
        <f>IFERROR(LOOKUP(2,1/(U28:AY28&lt;&gt;""),U$2:AY$2),"")</f>
        <v/>
      </c>
      <c r="N28" s="59">
        <f>IF(OR(G28="",M28=""),"",G28-M28)</f>
        <v/>
      </c>
      <c r="O28" s="60" t="n"/>
      <c r="P28" s="61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  <c r="AG28" s="62" t="n"/>
      <c r="AH28" s="62" t="n"/>
      <c r="AI28" s="62" t="n"/>
      <c r="AJ28" s="62" t="n"/>
      <c r="AK28" s="62" t="n"/>
      <c r="AL28" s="62" t="n"/>
      <c r="AM28" s="62" t="n"/>
      <c r="AN28" s="62" t="n"/>
      <c r="AO28" s="62" t="n"/>
      <c r="AP28" s="62" t="n"/>
      <c r="AQ28" s="62" t="n"/>
      <c r="AR28" s="62" t="n"/>
      <c r="AS28" s="62" t="n"/>
      <c r="AT28" s="62" t="n"/>
      <c r="AU28" s="62" t="n"/>
      <c r="AV28" s="62" t="n"/>
      <c r="AW28" s="62" t="n"/>
      <c r="AX28" s="62" t="n"/>
      <c r="AY28" s="62" t="n"/>
    </row>
    <row r="29">
      <c r="A29" s="38">
        <f>IF(D29="","",COUNTA($D$9:D29))</f>
        <v/>
      </c>
      <c r="B29" s="52" t="n"/>
      <c r="C29" s="53" t="inlineStr">
        <is>
          <t>마케팅1팀</t>
        </is>
      </c>
      <c r="D29" s="52" t="n"/>
      <c r="E29" s="54" t="n"/>
      <c r="F29" s="52" t="n"/>
      <c r="G29" s="55" t="n"/>
      <c r="H29" s="54" t="n"/>
      <c r="I29" s="54" t="n"/>
      <c r="J29" s="54" t="n"/>
      <c r="K29" s="56">
        <f>IF(SUM(U29:AY29)=0,"",SUM(U29:AY29))</f>
        <v/>
      </c>
      <c r="L29" s="57">
        <f>IFERROR(INDEX(U$2:AY$2,MATCH(TRUE,U29:AY29&lt;&gt;"",0)),"")</f>
        <v/>
      </c>
      <c r="M29" s="58">
        <f>IFERROR(LOOKUP(2,1/(U29:AY29&lt;&gt;""),U$2:AY$2),"")</f>
        <v/>
      </c>
      <c r="N29" s="59">
        <f>IF(OR(G29="",M29=""),"",G29-M29)</f>
        <v/>
      </c>
      <c r="O29" s="60" t="n"/>
      <c r="P29" s="61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  <c r="AG29" s="62" t="n"/>
      <c r="AH29" s="62" t="n"/>
      <c r="AI29" s="62" t="n"/>
      <c r="AJ29" s="62" t="n"/>
      <c r="AK29" s="62" t="n"/>
      <c r="AL29" s="62" t="n"/>
      <c r="AM29" s="62" t="n"/>
      <c r="AN29" s="62" t="n"/>
      <c r="AO29" s="62" t="n"/>
      <c r="AP29" s="62" t="n"/>
      <c r="AQ29" s="62" t="n"/>
      <c r="AR29" s="62" t="n"/>
      <c r="AS29" s="62" t="n"/>
      <c r="AT29" s="62" t="n"/>
      <c r="AU29" s="62" t="n"/>
      <c r="AV29" s="62" t="n"/>
      <c r="AW29" s="62" t="n"/>
      <c r="AX29" s="62" t="n"/>
      <c r="AY29" s="62" t="n"/>
    </row>
    <row r="30">
      <c r="A30" s="38">
        <f>IF(D30="","",COUNTA($D$9:D30))</f>
        <v/>
      </c>
      <c r="B30" s="52" t="n"/>
      <c r="C30" s="53" t="inlineStr">
        <is>
          <t>마케팅1팀</t>
        </is>
      </c>
      <c r="D30" s="52" t="n"/>
      <c r="E30" s="54" t="n"/>
      <c r="F30" s="52" t="n"/>
      <c r="G30" s="55" t="n"/>
      <c r="H30" s="54" t="n"/>
      <c r="I30" s="54" t="n"/>
      <c r="J30" s="54" t="n"/>
      <c r="K30" s="56">
        <f>IF(SUM(U30:AY30)=0,"",SUM(U30:AY30))</f>
        <v/>
      </c>
      <c r="L30" s="57">
        <f>IFERROR(INDEX(U$2:AY$2,MATCH(TRUE,U30:AY30&lt;&gt;"",0)),"")</f>
        <v/>
      </c>
      <c r="M30" s="58">
        <f>IFERROR(LOOKUP(2,1/(U30:AY30&lt;&gt;""),U$2:AY$2),"")</f>
        <v/>
      </c>
      <c r="N30" s="59">
        <f>IF(OR(G30="",M30=""),"",G30-M30)</f>
        <v/>
      </c>
      <c r="O30" s="60" t="n"/>
      <c r="P30" s="61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  <c r="AG30" s="62" t="n"/>
      <c r="AH30" s="62" t="n"/>
      <c r="AI30" s="62" t="n"/>
      <c r="AJ30" s="62" t="n"/>
      <c r="AK30" s="62" t="n"/>
      <c r="AL30" s="62" t="n"/>
      <c r="AM30" s="62" t="n"/>
      <c r="AN30" s="62" t="n"/>
      <c r="AO30" s="62" t="n"/>
      <c r="AP30" s="62" t="n"/>
      <c r="AQ30" s="62" t="n"/>
      <c r="AR30" s="62" t="n"/>
      <c r="AS30" s="62" t="n"/>
      <c r="AT30" s="62" t="n"/>
      <c r="AU30" s="62" t="n"/>
      <c r="AV30" s="62" t="n"/>
      <c r="AW30" s="62" t="n"/>
      <c r="AX30" s="62" t="n"/>
      <c r="AY30" s="62" t="n"/>
    </row>
    <row r="31">
      <c r="A31" s="38">
        <f>IF(D31="","",COUNTA($D$9:D31))</f>
        <v/>
      </c>
      <c r="B31" s="52" t="n"/>
      <c r="C31" s="53" t="inlineStr">
        <is>
          <t>마케팅1팀</t>
        </is>
      </c>
      <c r="D31" s="52" t="n"/>
      <c r="E31" s="54" t="n"/>
      <c r="F31" s="52" t="n"/>
      <c r="G31" s="55" t="n"/>
      <c r="H31" s="54" t="n"/>
      <c r="I31" s="54" t="n"/>
      <c r="J31" s="54" t="n"/>
      <c r="K31" s="56">
        <f>IF(SUM(U31:AY31)=0,"",SUM(U31:AY31))</f>
        <v/>
      </c>
      <c r="L31" s="57">
        <f>IFERROR(INDEX(U$2:AY$2,MATCH(TRUE,U31:AY31&lt;&gt;"",0)),"")</f>
        <v/>
      </c>
      <c r="M31" s="58">
        <f>IFERROR(LOOKUP(2,1/(U31:AY31&lt;&gt;""),U$2:AY$2),"")</f>
        <v/>
      </c>
      <c r="N31" s="59">
        <f>IF(OR(G31="",M31=""),"",G31-M31)</f>
        <v/>
      </c>
      <c r="O31" s="60" t="n"/>
      <c r="P31" s="61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  <c r="AG31" s="62" t="n"/>
      <c r="AH31" s="62" t="n"/>
      <c r="AI31" s="62" t="n"/>
      <c r="AJ31" s="62" t="n"/>
      <c r="AK31" s="62" t="n"/>
      <c r="AL31" s="62" t="n"/>
      <c r="AM31" s="62" t="n"/>
      <c r="AN31" s="62" t="n"/>
      <c r="AO31" s="62" t="n"/>
      <c r="AP31" s="62" t="n"/>
      <c r="AQ31" s="62" t="n"/>
      <c r="AR31" s="62" t="n"/>
      <c r="AS31" s="62" t="n"/>
      <c r="AT31" s="62" t="n"/>
      <c r="AU31" s="62" t="n"/>
      <c r="AV31" s="62" t="n"/>
      <c r="AW31" s="62" t="n"/>
      <c r="AX31" s="62" t="n"/>
      <c r="AY31" s="62" t="n"/>
    </row>
    <row r="32">
      <c r="A32" s="38">
        <f>IF(D32="","",COUNTA($D$9:D32))</f>
        <v/>
      </c>
      <c r="B32" s="52" t="n"/>
      <c r="C32" s="53" t="inlineStr">
        <is>
          <t>마케팅1팀</t>
        </is>
      </c>
      <c r="D32" s="52" t="n"/>
      <c r="E32" s="54" t="n"/>
      <c r="F32" s="52" t="n"/>
      <c r="G32" s="55" t="n"/>
      <c r="H32" s="54" t="n"/>
      <c r="I32" s="54" t="n"/>
      <c r="J32" s="54" t="n"/>
      <c r="K32" s="56">
        <f>IF(SUM(U32:AY32)=0,"",SUM(U32:AY32))</f>
        <v/>
      </c>
      <c r="L32" s="57">
        <f>IFERROR(INDEX(U$2:AY$2,MATCH(TRUE,U32:AY32&lt;&gt;"",0)),"")</f>
        <v/>
      </c>
      <c r="M32" s="58">
        <f>IFERROR(LOOKUP(2,1/(U32:AY32&lt;&gt;""),U$2:AY$2),"")</f>
        <v/>
      </c>
      <c r="N32" s="59">
        <f>IF(OR(G32="",M32=""),"",G32-M32)</f>
        <v/>
      </c>
      <c r="O32" s="60" t="n"/>
      <c r="P32" s="61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  <c r="AG32" s="62" t="n"/>
      <c r="AH32" s="62" t="n"/>
      <c r="AI32" s="62" t="n"/>
      <c r="AJ32" s="62" t="n"/>
      <c r="AK32" s="62" t="n"/>
      <c r="AL32" s="62" t="n"/>
      <c r="AM32" s="62" t="n"/>
      <c r="AN32" s="62" t="n"/>
      <c r="AO32" s="62" t="n"/>
      <c r="AP32" s="62" t="n"/>
      <c r="AQ32" s="62" t="n"/>
      <c r="AR32" s="62" t="n"/>
      <c r="AS32" s="62" t="n"/>
      <c r="AT32" s="62" t="n"/>
      <c r="AU32" s="62" t="n"/>
      <c r="AV32" s="62" t="n"/>
      <c r="AW32" s="62" t="n"/>
      <c r="AX32" s="62" t="n"/>
      <c r="AY32" s="62" t="n"/>
    </row>
    <row r="33">
      <c r="A33" s="38">
        <f>IF(D33="","",COUNTA($D$9:D33))</f>
        <v/>
      </c>
      <c r="B33" s="52" t="n"/>
      <c r="C33" s="53" t="inlineStr">
        <is>
          <t>마케팅1팀</t>
        </is>
      </c>
      <c r="D33" s="52" t="n"/>
      <c r="E33" s="54" t="n"/>
      <c r="F33" s="52" t="n"/>
      <c r="G33" s="55" t="n"/>
      <c r="H33" s="54" t="n"/>
      <c r="I33" s="54" t="n"/>
      <c r="J33" s="54" t="n"/>
      <c r="K33" s="56">
        <f>IF(SUM(U33:AY33)=0,"",SUM(U33:AY33))</f>
        <v/>
      </c>
      <c r="L33" s="57">
        <f>IFERROR(INDEX(U$2:AY$2,MATCH(TRUE,U33:AY33&lt;&gt;"",0)),"")</f>
        <v/>
      </c>
      <c r="M33" s="58">
        <f>IFERROR(LOOKUP(2,1/(U33:AY33&lt;&gt;""),U$2:AY$2),"")</f>
        <v/>
      </c>
      <c r="N33" s="59">
        <f>IF(OR(G33="",M33=""),"",G33-M33)</f>
        <v/>
      </c>
      <c r="O33" s="60" t="n"/>
      <c r="P33" s="61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  <c r="AG33" s="62" t="n"/>
      <c r="AH33" s="62" t="n"/>
      <c r="AI33" s="62" t="n"/>
      <c r="AJ33" s="62" t="n"/>
      <c r="AK33" s="62" t="n"/>
      <c r="AL33" s="62" t="n"/>
      <c r="AM33" s="62" t="n"/>
      <c r="AN33" s="62" t="n"/>
      <c r="AO33" s="62" t="n"/>
      <c r="AP33" s="62" t="n"/>
      <c r="AQ33" s="62" t="n"/>
      <c r="AR33" s="62" t="n"/>
      <c r="AS33" s="62" t="n"/>
      <c r="AT33" s="62" t="n"/>
      <c r="AU33" s="62" t="n"/>
      <c r="AV33" s="62" t="n"/>
      <c r="AW33" s="62" t="n"/>
      <c r="AX33" s="62" t="n"/>
      <c r="AY33" s="62" t="n"/>
    </row>
    <row r="34">
      <c r="A34" s="38">
        <f>IF(D34="","",COUNTA($D$9:D34))</f>
        <v/>
      </c>
      <c r="B34" s="52" t="n"/>
      <c r="C34" s="53" t="inlineStr">
        <is>
          <t>마케팅1팀</t>
        </is>
      </c>
      <c r="D34" s="52" t="n"/>
      <c r="E34" s="54" t="n"/>
      <c r="F34" s="52" t="n"/>
      <c r="G34" s="55" t="n"/>
      <c r="H34" s="54" t="n"/>
      <c r="I34" s="54" t="n"/>
      <c r="J34" s="54" t="n"/>
      <c r="K34" s="56">
        <f>IF(SUM(U34:AY34)=0,"",SUM(U34:AY34))</f>
        <v/>
      </c>
      <c r="L34" s="57">
        <f>IFERROR(INDEX(U$2:AY$2,MATCH(TRUE,U34:AY34&lt;&gt;"",0)),"")</f>
        <v/>
      </c>
      <c r="M34" s="58">
        <f>IFERROR(LOOKUP(2,1/(U34:AY34&lt;&gt;""),U$2:AY$2),"")</f>
        <v/>
      </c>
      <c r="N34" s="59">
        <f>IF(OR(G34="",M34=""),"",G34-M34)</f>
        <v/>
      </c>
      <c r="O34" s="60" t="n"/>
      <c r="P34" s="61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  <c r="AG34" s="62" t="n"/>
      <c r="AH34" s="62" t="n"/>
      <c r="AI34" s="62" t="n"/>
      <c r="AJ34" s="62" t="n"/>
      <c r="AK34" s="62" t="n"/>
      <c r="AL34" s="62" t="n"/>
      <c r="AM34" s="62" t="n"/>
      <c r="AN34" s="62" t="n"/>
      <c r="AO34" s="62" t="n"/>
      <c r="AP34" s="62" t="n"/>
      <c r="AQ34" s="62" t="n"/>
      <c r="AR34" s="62" t="n"/>
      <c r="AS34" s="62" t="n"/>
      <c r="AT34" s="62" t="n"/>
      <c r="AU34" s="62" t="n"/>
      <c r="AV34" s="62" t="n"/>
      <c r="AW34" s="62" t="n"/>
      <c r="AX34" s="62" t="n"/>
      <c r="AY34" s="62" t="n"/>
    </row>
    <row r="35">
      <c r="A35" s="38">
        <f>IF(D35="","",COUNTA($D$9:D35))</f>
        <v/>
      </c>
      <c r="B35" s="52" t="n"/>
      <c r="C35" s="53" t="inlineStr">
        <is>
          <t>마케팅1팀</t>
        </is>
      </c>
      <c r="D35" s="52" t="n"/>
      <c r="E35" s="54" t="n"/>
      <c r="F35" s="52" t="n"/>
      <c r="G35" s="55" t="n"/>
      <c r="H35" s="54" t="n"/>
      <c r="I35" s="54" t="n"/>
      <c r="J35" s="54" t="n"/>
      <c r="K35" s="56">
        <f>IF(SUM(U35:AY35)=0,"",SUM(U35:AY35))</f>
        <v/>
      </c>
      <c r="L35" s="57">
        <f>IFERROR(INDEX(U$2:AY$2,MATCH(TRUE,U35:AY35&lt;&gt;"",0)),"")</f>
        <v/>
      </c>
      <c r="M35" s="58">
        <f>IFERROR(LOOKUP(2,1/(U35:AY35&lt;&gt;""),U$2:AY$2),"")</f>
        <v/>
      </c>
      <c r="N35" s="59">
        <f>IF(OR(G35="",M35=""),"",G35-M35)</f>
        <v/>
      </c>
      <c r="O35" s="60" t="n"/>
      <c r="P35" s="61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  <c r="AG35" s="62" t="n"/>
      <c r="AH35" s="62" t="n"/>
      <c r="AI35" s="62" t="n"/>
      <c r="AJ35" s="62" t="n"/>
      <c r="AK35" s="62" t="n"/>
      <c r="AL35" s="62" t="n"/>
      <c r="AM35" s="62" t="n"/>
      <c r="AN35" s="62" t="n"/>
      <c r="AO35" s="62" t="n"/>
      <c r="AP35" s="62" t="n"/>
      <c r="AQ35" s="62" t="n"/>
      <c r="AR35" s="62" t="n"/>
      <c r="AS35" s="62" t="n"/>
      <c r="AT35" s="62" t="n"/>
      <c r="AU35" s="62" t="n"/>
      <c r="AV35" s="62" t="n"/>
      <c r="AW35" s="62" t="n"/>
      <c r="AX35" s="62" t="n"/>
      <c r="AY35" s="62" t="n"/>
    </row>
    <row r="36">
      <c r="A36" s="38">
        <f>IF(D36="","",COUNTA($D$9:D36))</f>
        <v/>
      </c>
      <c r="B36" s="52" t="n"/>
      <c r="C36" s="53" t="inlineStr">
        <is>
          <t>마케팅1팀</t>
        </is>
      </c>
      <c r="D36" s="52" t="n"/>
      <c r="E36" s="54" t="n"/>
      <c r="F36" s="52" t="n"/>
      <c r="G36" s="55" t="n"/>
      <c r="H36" s="54" t="n"/>
      <c r="I36" s="54" t="n"/>
      <c r="J36" s="54" t="n"/>
      <c r="K36" s="56">
        <f>IF(SUM(U36:AY36)=0,"",SUM(U36:AY36))</f>
        <v/>
      </c>
      <c r="L36" s="57">
        <f>IFERROR(INDEX(U$2:AY$2,MATCH(TRUE,U36:AY36&lt;&gt;"",0)),"")</f>
        <v/>
      </c>
      <c r="M36" s="58">
        <f>IFERROR(LOOKUP(2,1/(U36:AY36&lt;&gt;""),U$2:AY$2),"")</f>
        <v/>
      </c>
      <c r="N36" s="59">
        <f>IF(OR(G36="",M36=""),"",G36-M36)</f>
        <v/>
      </c>
      <c r="O36" s="60" t="n"/>
      <c r="P36" s="61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  <c r="AG36" s="62" t="n"/>
      <c r="AH36" s="62" t="n"/>
      <c r="AI36" s="62" t="n"/>
      <c r="AJ36" s="62" t="n"/>
      <c r="AK36" s="62" t="n"/>
      <c r="AL36" s="62" t="n"/>
      <c r="AM36" s="62" t="n"/>
      <c r="AN36" s="62" t="n"/>
      <c r="AO36" s="62" t="n"/>
      <c r="AP36" s="62" t="n"/>
      <c r="AQ36" s="62" t="n"/>
      <c r="AR36" s="62" t="n"/>
      <c r="AS36" s="62" t="n"/>
      <c r="AT36" s="62" t="n"/>
      <c r="AU36" s="62" t="n"/>
      <c r="AV36" s="62" t="n"/>
      <c r="AW36" s="62" t="n"/>
      <c r="AX36" s="62" t="n"/>
      <c r="AY36" s="62" t="n"/>
    </row>
    <row r="37">
      <c r="A37" s="38">
        <f>IF(D37="","",COUNTA($D$9:D37))</f>
        <v/>
      </c>
      <c r="B37" s="52" t="n"/>
      <c r="C37" s="53" t="inlineStr">
        <is>
          <t>마케팅1팀</t>
        </is>
      </c>
      <c r="D37" s="52" t="n"/>
      <c r="E37" s="54" t="n"/>
      <c r="F37" s="52" t="n"/>
      <c r="G37" s="55" t="n"/>
      <c r="H37" s="54" t="n"/>
      <c r="I37" s="54" t="n"/>
      <c r="J37" s="54" t="n"/>
      <c r="K37" s="56">
        <f>IF(SUM(U37:AY37)=0,"",SUM(U37:AY37))</f>
        <v/>
      </c>
      <c r="L37" s="57">
        <f>IFERROR(INDEX(U$2:AY$2,MATCH(TRUE,U37:AY37&lt;&gt;"",0)),"")</f>
        <v/>
      </c>
      <c r="M37" s="58">
        <f>IFERROR(LOOKUP(2,1/(U37:AY37&lt;&gt;""),U$2:AY$2),"")</f>
        <v/>
      </c>
      <c r="N37" s="59">
        <f>IF(OR(G37="",M37=""),"",G37-M37)</f>
        <v/>
      </c>
      <c r="O37" s="60" t="n"/>
      <c r="P37" s="61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  <c r="AG37" s="62" t="n"/>
      <c r="AH37" s="62" t="n"/>
      <c r="AI37" s="62" t="n"/>
      <c r="AJ37" s="62" t="n"/>
      <c r="AK37" s="62" t="n"/>
      <c r="AL37" s="62" t="n"/>
      <c r="AM37" s="62" t="n"/>
      <c r="AN37" s="62" t="n"/>
      <c r="AO37" s="62" t="n"/>
      <c r="AP37" s="62" t="n"/>
      <c r="AQ37" s="62" t="n"/>
      <c r="AR37" s="62" t="n"/>
      <c r="AS37" s="62" t="n"/>
      <c r="AT37" s="62" t="n"/>
      <c r="AU37" s="62" t="n"/>
      <c r="AV37" s="62" t="n"/>
      <c r="AW37" s="62" t="n"/>
      <c r="AX37" s="62" t="n"/>
      <c r="AY37" s="62" t="n"/>
    </row>
    <row r="38">
      <c r="A38" s="38">
        <f>IF(D38="","",COUNTA($D$9:D38))</f>
        <v/>
      </c>
      <c r="B38" s="52" t="n"/>
      <c r="C38" s="53" t="inlineStr">
        <is>
          <t>마케팅1팀</t>
        </is>
      </c>
      <c r="D38" s="52" t="n"/>
      <c r="E38" s="54" t="n"/>
      <c r="F38" s="52" t="n"/>
      <c r="G38" s="55" t="n"/>
      <c r="H38" s="54" t="n"/>
      <c r="I38" s="54" t="n"/>
      <c r="J38" s="54" t="n"/>
      <c r="K38" s="56">
        <f>IF(SUM(U38:AY38)=0,"",SUM(U38:AY38))</f>
        <v/>
      </c>
      <c r="L38" s="57">
        <f>IFERROR(INDEX(U$2:AY$2,MATCH(TRUE,U38:AY38&lt;&gt;"",0)),"")</f>
        <v/>
      </c>
      <c r="M38" s="58">
        <f>IFERROR(LOOKUP(2,1/(U38:AY38&lt;&gt;""),U$2:AY$2),"")</f>
        <v/>
      </c>
      <c r="N38" s="59">
        <f>IF(OR(G38="",M38=""),"",G38-M38)</f>
        <v/>
      </c>
      <c r="O38" s="60" t="n"/>
      <c r="P38" s="61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  <c r="AG38" s="62" t="n"/>
      <c r="AH38" s="62" t="n"/>
      <c r="AI38" s="62" t="n"/>
      <c r="AJ38" s="62" t="n"/>
      <c r="AK38" s="62" t="n"/>
      <c r="AL38" s="62" t="n"/>
      <c r="AM38" s="62" t="n"/>
      <c r="AN38" s="62" t="n"/>
      <c r="AO38" s="62" t="n"/>
      <c r="AP38" s="62" t="n"/>
      <c r="AQ38" s="62" t="n"/>
      <c r="AR38" s="62" t="n"/>
      <c r="AS38" s="62" t="n"/>
      <c r="AT38" s="62" t="n"/>
      <c r="AU38" s="62" t="n"/>
      <c r="AV38" s="62" t="n"/>
      <c r="AW38" s="62" t="n"/>
      <c r="AX38" s="62" t="n"/>
      <c r="AY38" s="62" t="n"/>
    </row>
    <row r="39">
      <c r="A39" s="63" t="inlineStr">
        <is>
          <t>마케팅2팀  (40~69행)</t>
        </is>
      </c>
      <c r="U39" s="64" t="n"/>
      <c r="V39" s="64" t="n"/>
      <c r="W39" s="64" t="n"/>
      <c r="X39" s="64" t="n"/>
      <c r="Y39" s="64" t="n"/>
      <c r="Z39" s="64" t="n"/>
      <c r="AA39" s="64" t="n"/>
      <c r="AB39" s="64" t="n"/>
      <c r="AC39" s="64" t="n"/>
      <c r="AD39" s="64" t="n"/>
      <c r="AE39" s="64" t="n"/>
      <c r="AF39" s="64" t="n"/>
      <c r="AG39" s="64" t="n"/>
      <c r="AH39" s="64" t="n"/>
      <c r="AI39" s="64" t="n"/>
      <c r="AJ39" s="64" t="n"/>
      <c r="AK39" s="64" t="n"/>
      <c r="AL39" s="64" t="n"/>
      <c r="AM39" s="64" t="n"/>
      <c r="AN39" s="64" t="n"/>
      <c r="AO39" s="64" t="n"/>
      <c r="AP39" s="64" t="n"/>
      <c r="AQ39" s="64" t="n"/>
      <c r="AR39" s="64" t="n"/>
      <c r="AS39" s="64" t="n"/>
      <c r="AT39" s="64" t="n"/>
      <c r="AU39" s="64" t="n"/>
      <c r="AV39" s="64" t="n"/>
      <c r="AW39" s="64" t="n"/>
      <c r="AX39" s="64" t="n"/>
      <c r="AY39" s="64" t="n"/>
    </row>
    <row r="40">
      <c r="A40" s="38">
        <f>IF(D40="","",COUNTA($D$40:D40))</f>
        <v/>
      </c>
      <c r="B40" s="52" t="n"/>
      <c r="C40" s="65" t="inlineStr">
        <is>
          <t>마케팅2팀</t>
        </is>
      </c>
      <c r="D40" s="52" t="n"/>
      <c r="E40" s="54" t="n"/>
      <c r="F40" s="52" t="n"/>
      <c r="G40" s="55" t="n"/>
      <c r="H40" s="54" t="n"/>
      <c r="I40" s="54" t="n"/>
      <c r="J40" s="54" t="n"/>
      <c r="K40" s="56">
        <f>IF(SUM(U40:AY40)=0,"",SUM(U40:AY40))</f>
        <v/>
      </c>
      <c r="L40" s="57">
        <f>IFERROR(INDEX(U$2:AY$2,MATCH(TRUE,U40:AY40&lt;&gt;"",0)),"")</f>
        <v/>
      </c>
      <c r="M40" s="58">
        <f>IFERROR(LOOKUP(2,1/(U40:AY40&lt;&gt;""),U$2:AY$2),"")</f>
        <v/>
      </c>
      <c r="N40" s="59">
        <f>IF(OR(G40="",M40=""),"",G40-M40)</f>
        <v/>
      </c>
      <c r="O40" s="60" t="n"/>
      <c r="P40" s="61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  <c r="AG40" s="62" t="n"/>
      <c r="AH40" s="62" t="n"/>
      <c r="AI40" s="62" t="n"/>
      <c r="AJ40" s="62" t="n"/>
      <c r="AK40" s="62" t="n"/>
      <c r="AL40" s="62" t="n"/>
      <c r="AM40" s="62" t="n"/>
      <c r="AN40" s="62" t="n"/>
      <c r="AO40" s="62" t="n"/>
      <c r="AP40" s="62" t="n"/>
      <c r="AQ40" s="62" t="n"/>
      <c r="AR40" s="62" t="n"/>
      <c r="AS40" s="62" t="n"/>
      <c r="AT40" s="62" t="n"/>
      <c r="AU40" s="62" t="n"/>
      <c r="AV40" s="62" t="n"/>
      <c r="AW40" s="62" t="n"/>
      <c r="AX40" s="62" t="n"/>
      <c r="AY40" s="62" t="n"/>
    </row>
    <row r="41">
      <c r="A41" s="38">
        <f>IF(D41="","",COUNTA($D$40:D41))</f>
        <v/>
      </c>
      <c r="B41" s="52" t="n"/>
      <c r="C41" s="65" t="inlineStr">
        <is>
          <t>마케팅2팀</t>
        </is>
      </c>
      <c r="D41" s="52" t="n"/>
      <c r="E41" s="54" t="n"/>
      <c r="F41" s="52" t="n"/>
      <c r="G41" s="55" t="n"/>
      <c r="H41" s="54" t="n"/>
      <c r="I41" s="54" t="n"/>
      <c r="J41" s="54" t="n"/>
      <c r="K41" s="56">
        <f>IF(SUM(U41:AY41)=0,"",SUM(U41:AY41))</f>
        <v/>
      </c>
      <c r="L41" s="57">
        <f>IFERROR(INDEX(U$2:AY$2,MATCH(TRUE,U41:AY41&lt;&gt;"",0)),"")</f>
        <v/>
      </c>
      <c r="M41" s="58">
        <f>IFERROR(LOOKUP(2,1/(U41:AY41&lt;&gt;""),U$2:AY$2),"")</f>
        <v/>
      </c>
      <c r="N41" s="59">
        <f>IF(OR(G41="",M41=""),"",G41-M41)</f>
        <v/>
      </c>
      <c r="O41" s="60" t="n"/>
      <c r="P41" s="61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  <c r="AG41" s="62" t="n"/>
      <c r="AH41" s="62" t="n"/>
      <c r="AI41" s="62" t="n"/>
      <c r="AJ41" s="62" t="n"/>
      <c r="AK41" s="62" t="n"/>
      <c r="AL41" s="62" t="n"/>
      <c r="AM41" s="62" t="n"/>
      <c r="AN41" s="62" t="n"/>
      <c r="AO41" s="62" t="n"/>
      <c r="AP41" s="62" t="n"/>
      <c r="AQ41" s="62" t="n"/>
      <c r="AR41" s="62" t="n"/>
      <c r="AS41" s="62" t="n"/>
      <c r="AT41" s="62" t="n"/>
      <c r="AU41" s="62" t="n"/>
      <c r="AV41" s="62" t="n"/>
      <c r="AW41" s="62" t="n"/>
      <c r="AX41" s="62" t="n"/>
      <c r="AY41" s="62" t="n"/>
    </row>
    <row r="42">
      <c r="A42" s="38">
        <f>IF(D42="","",COUNTA($D$40:D42))</f>
        <v/>
      </c>
      <c r="B42" s="52" t="n"/>
      <c r="C42" s="65" t="inlineStr">
        <is>
          <t>마케팅2팀</t>
        </is>
      </c>
      <c r="D42" s="52" t="n"/>
      <c r="E42" s="54" t="n"/>
      <c r="F42" s="52" t="n"/>
      <c r="G42" s="55" t="n"/>
      <c r="H42" s="54" t="n"/>
      <c r="I42" s="54" t="n"/>
      <c r="J42" s="54" t="n"/>
      <c r="K42" s="56">
        <f>IF(SUM(U42:AY42)=0,"",SUM(U42:AY42))</f>
        <v/>
      </c>
      <c r="L42" s="57">
        <f>IFERROR(INDEX(U$2:AY$2,MATCH(TRUE,U42:AY42&lt;&gt;"",0)),"")</f>
        <v/>
      </c>
      <c r="M42" s="58">
        <f>IFERROR(LOOKUP(2,1/(U42:AY42&lt;&gt;""),U$2:AY$2),"")</f>
        <v/>
      </c>
      <c r="N42" s="59">
        <f>IF(OR(G42="",M42=""),"",G42-M42)</f>
        <v/>
      </c>
      <c r="O42" s="60" t="n"/>
      <c r="P42" s="61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  <c r="AG42" s="62" t="n"/>
      <c r="AH42" s="62" t="n"/>
      <c r="AI42" s="62" t="n"/>
      <c r="AJ42" s="62" t="n"/>
      <c r="AK42" s="62" t="n"/>
      <c r="AL42" s="62" t="n"/>
      <c r="AM42" s="62" t="n"/>
      <c r="AN42" s="62" t="n"/>
      <c r="AO42" s="62" t="n"/>
      <c r="AP42" s="62" t="n"/>
      <c r="AQ42" s="62" t="n"/>
      <c r="AR42" s="62" t="n"/>
      <c r="AS42" s="62" t="n"/>
      <c r="AT42" s="62" t="n"/>
      <c r="AU42" s="62" t="n"/>
      <c r="AV42" s="62" t="n"/>
      <c r="AW42" s="62" t="n"/>
      <c r="AX42" s="62" t="n"/>
      <c r="AY42" s="62" t="n"/>
    </row>
    <row r="43">
      <c r="A43" s="38">
        <f>IF(D43="","",COUNTA($D$40:D43))</f>
        <v/>
      </c>
      <c r="B43" s="52" t="n"/>
      <c r="C43" s="65" t="inlineStr">
        <is>
          <t>마케팅2팀</t>
        </is>
      </c>
      <c r="D43" s="52" t="n"/>
      <c r="E43" s="54" t="n"/>
      <c r="F43" s="52" t="n"/>
      <c r="G43" s="55" t="n"/>
      <c r="H43" s="54" t="n"/>
      <c r="I43" s="54" t="n"/>
      <c r="J43" s="54" t="n"/>
      <c r="K43" s="56">
        <f>IF(SUM(U43:AY43)=0,"",SUM(U43:AY43))</f>
        <v/>
      </c>
      <c r="L43" s="57">
        <f>IFERROR(INDEX(U$2:AY$2,MATCH(TRUE,U43:AY43&lt;&gt;"",0)),"")</f>
        <v/>
      </c>
      <c r="M43" s="58">
        <f>IFERROR(LOOKUP(2,1/(U43:AY43&lt;&gt;""),U$2:AY$2),"")</f>
        <v/>
      </c>
      <c r="N43" s="59">
        <f>IF(OR(G43="",M43=""),"",G43-M43)</f>
        <v/>
      </c>
      <c r="O43" s="60" t="n"/>
      <c r="P43" s="61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  <c r="AG43" s="62" t="n"/>
      <c r="AH43" s="62" t="n"/>
      <c r="AI43" s="62" t="n"/>
      <c r="AJ43" s="62" t="n"/>
      <c r="AK43" s="62" t="n"/>
      <c r="AL43" s="62" t="n"/>
      <c r="AM43" s="62" t="n"/>
      <c r="AN43" s="62" t="n"/>
      <c r="AO43" s="62" t="n"/>
      <c r="AP43" s="62" t="n"/>
      <c r="AQ43" s="62" t="n"/>
      <c r="AR43" s="62" t="n"/>
      <c r="AS43" s="62" t="n"/>
      <c r="AT43" s="62" t="n"/>
      <c r="AU43" s="62" t="n"/>
      <c r="AV43" s="62" t="n"/>
      <c r="AW43" s="62" t="n"/>
      <c r="AX43" s="62" t="n"/>
      <c r="AY43" s="62" t="n"/>
    </row>
    <row r="44">
      <c r="A44" s="38">
        <f>IF(D44="","",COUNTA($D$40:D44))</f>
        <v/>
      </c>
      <c r="B44" s="52" t="n"/>
      <c r="C44" s="65" t="inlineStr">
        <is>
          <t>마케팅2팀</t>
        </is>
      </c>
      <c r="D44" s="52" t="n"/>
      <c r="E44" s="54" t="n"/>
      <c r="F44" s="52" t="n"/>
      <c r="G44" s="55" t="n"/>
      <c r="H44" s="54" t="n"/>
      <c r="I44" s="54" t="n"/>
      <c r="J44" s="54" t="n"/>
      <c r="K44" s="56">
        <f>IF(SUM(U44:AY44)=0,"",SUM(U44:AY44))</f>
        <v/>
      </c>
      <c r="L44" s="57">
        <f>IFERROR(INDEX(U$2:AY$2,MATCH(TRUE,U44:AY44&lt;&gt;"",0)),"")</f>
        <v/>
      </c>
      <c r="M44" s="58">
        <f>IFERROR(LOOKUP(2,1/(U44:AY44&lt;&gt;""),U$2:AY$2),"")</f>
        <v/>
      </c>
      <c r="N44" s="59">
        <f>IF(OR(G44="",M44=""),"",G44-M44)</f>
        <v/>
      </c>
      <c r="O44" s="60" t="n"/>
      <c r="P44" s="61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  <c r="AG44" s="62" t="n"/>
      <c r="AH44" s="62" t="n"/>
      <c r="AI44" s="62" t="n"/>
      <c r="AJ44" s="62" t="n"/>
      <c r="AK44" s="62" t="n"/>
      <c r="AL44" s="62" t="n"/>
      <c r="AM44" s="62" t="n"/>
      <c r="AN44" s="62" t="n"/>
      <c r="AO44" s="62" t="n"/>
      <c r="AP44" s="62" t="n"/>
      <c r="AQ44" s="62" t="n"/>
      <c r="AR44" s="62" t="n"/>
      <c r="AS44" s="62" t="n"/>
      <c r="AT44" s="62" t="n"/>
      <c r="AU44" s="62" t="n"/>
      <c r="AV44" s="62" t="n"/>
      <c r="AW44" s="62" t="n"/>
      <c r="AX44" s="62" t="n"/>
      <c r="AY44" s="62" t="n"/>
    </row>
    <row r="45">
      <c r="A45" s="38">
        <f>IF(D45="","",COUNTA($D$40:D45))</f>
        <v/>
      </c>
      <c r="B45" s="52" t="n"/>
      <c r="C45" s="65" t="inlineStr">
        <is>
          <t>마케팅2팀</t>
        </is>
      </c>
      <c r="D45" s="52" t="n"/>
      <c r="E45" s="54" t="n"/>
      <c r="F45" s="52" t="n"/>
      <c r="G45" s="55" t="n"/>
      <c r="H45" s="54" t="n"/>
      <c r="I45" s="54" t="n"/>
      <c r="J45" s="54" t="n"/>
      <c r="K45" s="56">
        <f>IF(SUM(U45:AY45)=0,"",SUM(U45:AY45))</f>
        <v/>
      </c>
      <c r="L45" s="57">
        <f>IFERROR(INDEX(U$2:AY$2,MATCH(TRUE,U45:AY45&lt;&gt;"",0)),"")</f>
        <v/>
      </c>
      <c r="M45" s="58">
        <f>IFERROR(LOOKUP(2,1/(U45:AY45&lt;&gt;""),U$2:AY$2),"")</f>
        <v/>
      </c>
      <c r="N45" s="59">
        <f>IF(OR(G45="",M45=""),"",G45-M45)</f>
        <v/>
      </c>
      <c r="O45" s="60" t="n"/>
      <c r="P45" s="61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  <c r="AG45" s="62" t="n"/>
      <c r="AH45" s="62" t="n"/>
      <c r="AI45" s="62" t="n"/>
      <c r="AJ45" s="62" t="n"/>
      <c r="AK45" s="62" t="n"/>
      <c r="AL45" s="62" t="n"/>
      <c r="AM45" s="62" t="n"/>
      <c r="AN45" s="62" t="n"/>
      <c r="AO45" s="62" t="n"/>
      <c r="AP45" s="62" t="n"/>
      <c r="AQ45" s="62" t="n"/>
      <c r="AR45" s="62" t="n"/>
      <c r="AS45" s="62" t="n"/>
      <c r="AT45" s="62" t="n"/>
      <c r="AU45" s="62" t="n"/>
      <c r="AV45" s="62" t="n"/>
      <c r="AW45" s="62" t="n"/>
      <c r="AX45" s="62" t="n"/>
      <c r="AY45" s="62" t="n"/>
    </row>
    <row r="46">
      <c r="A46" s="38">
        <f>IF(D46="","",COUNTA($D$40:D46))</f>
        <v/>
      </c>
      <c r="B46" s="52" t="n"/>
      <c r="C46" s="65" t="inlineStr">
        <is>
          <t>마케팅2팀</t>
        </is>
      </c>
      <c r="D46" s="52" t="n"/>
      <c r="E46" s="54" t="n"/>
      <c r="F46" s="52" t="n"/>
      <c r="G46" s="55" t="n"/>
      <c r="H46" s="54" t="n"/>
      <c r="I46" s="54" t="n"/>
      <c r="J46" s="54" t="n"/>
      <c r="K46" s="56">
        <f>IF(SUM(U46:AY46)=0,"",SUM(U46:AY46))</f>
        <v/>
      </c>
      <c r="L46" s="57">
        <f>IFERROR(INDEX(U$2:AY$2,MATCH(TRUE,U46:AY46&lt;&gt;"",0)),"")</f>
        <v/>
      </c>
      <c r="M46" s="58">
        <f>IFERROR(LOOKUP(2,1/(U46:AY46&lt;&gt;""),U$2:AY$2),"")</f>
        <v/>
      </c>
      <c r="N46" s="59">
        <f>IF(OR(G46="",M46=""),"",G46-M46)</f>
        <v/>
      </c>
      <c r="O46" s="60" t="n"/>
      <c r="P46" s="61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  <c r="AG46" s="62" t="n"/>
      <c r="AH46" s="62" t="n"/>
      <c r="AI46" s="62" t="n"/>
      <c r="AJ46" s="62" t="n"/>
      <c r="AK46" s="62" t="n"/>
      <c r="AL46" s="62" t="n"/>
      <c r="AM46" s="62" t="n"/>
      <c r="AN46" s="62" t="n"/>
      <c r="AO46" s="62" t="n"/>
      <c r="AP46" s="62" t="n"/>
      <c r="AQ46" s="62" t="n"/>
      <c r="AR46" s="62" t="n"/>
      <c r="AS46" s="62" t="n"/>
      <c r="AT46" s="62" t="n"/>
      <c r="AU46" s="62" t="n"/>
      <c r="AV46" s="62" t="n"/>
      <c r="AW46" s="62" t="n"/>
      <c r="AX46" s="62" t="n"/>
      <c r="AY46" s="62" t="n"/>
    </row>
    <row r="47">
      <c r="A47" s="38">
        <f>IF(D47="","",COUNTA($D$40:D47))</f>
        <v/>
      </c>
      <c r="B47" s="52" t="n"/>
      <c r="C47" s="65" t="inlineStr">
        <is>
          <t>마케팅2팀</t>
        </is>
      </c>
      <c r="D47" s="52" t="n"/>
      <c r="E47" s="54" t="n"/>
      <c r="F47" s="52" t="n"/>
      <c r="G47" s="55" t="n"/>
      <c r="H47" s="54" t="n"/>
      <c r="I47" s="54" t="n"/>
      <c r="J47" s="54" t="n"/>
      <c r="K47" s="56">
        <f>IF(SUM(U47:AY47)=0,"",SUM(U47:AY47))</f>
        <v/>
      </c>
      <c r="L47" s="57">
        <f>IFERROR(INDEX(U$2:AY$2,MATCH(TRUE,U47:AY47&lt;&gt;"",0)),"")</f>
        <v/>
      </c>
      <c r="M47" s="58">
        <f>IFERROR(LOOKUP(2,1/(U47:AY47&lt;&gt;""),U$2:AY$2),"")</f>
        <v/>
      </c>
      <c r="N47" s="59">
        <f>IF(OR(G47="",M47=""),"",G47-M47)</f>
        <v/>
      </c>
      <c r="O47" s="60" t="n"/>
      <c r="P47" s="61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  <c r="AG47" s="62" t="n"/>
      <c r="AH47" s="62" t="n"/>
      <c r="AI47" s="62" t="n"/>
      <c r="AJ47" s="62" t="n"/>
      <c r="AK47" s="62" t="n"/>
      <c r="AL47" s="62" t="n"/>
      <c r="AM47" s="62" t="n"/>
      <c r="AN47" s="62" t="n"/>
      <c r="AO47" s="62" t="n"/>
      <c r="AP47" s="62" t="n"/>
      <c r="AQ47" s="62" t="n"/>
      <c r="AR47" s="62" t="n"/>
      <c r="AS47" s="62" t="n"/>
      <c r="AT47" s="62" t="n"/>
      <c r="AU47" s="62" t="n"/>
      <c r="AV47" s="62" t="n"/>
      <c r="AW47" s="62" t="n"/>
      <c r="AX47" s="62" t="n"/>
      <c r="AY47" s="62" t="n"/>
    </row>
    <row r="48">
      <c r="A48" s="38">
        <f>IF(D48="","",COUNTA($D$40:D48))</f>
        <v/>
      </c>
      <c r="B48" s="52" t="n"/>
      <c r="C48" s="65" t="inlineStr">
        <is>
          <t>마케팅2팀</t>
        </is>
      </c>
      <c r="D48" s="52" t="n"/>
      <c r="E48" s="54" t="n"/>
      <c r="F48" s="52" t="n"/>
      <c r="G48" s="55" t="n"/>
      <c r="H48" s="54" t="n"/>
      <c r="I48" s="54" t="n"/>
      <c r="J48" s="54" t="n"/>
      <c r="K48" s="56">
        <f>IF(SUM(U48:AY48)=0,"",SUM(U48:AY48))</f>
        <v/>
      </c>
      <c r="L48" s="57">
        <f>IFERROR(INDEX(U$2:AY$2,MATCH(TRUE,U48:AY48&lt;&gt;"",0)),"")</f>
        <v/>
      </c>
      <c r="M48" s="58">
        <f>IFERROR(LOOKUP(2,1/(U48:AY48&lt;&gt;""),U$2:AY$2),"")</f>
        <v/>
      </c>
      <c r="N48" s="59">
        <f>IF(OR(G48="",M48=""),"",G48-M48)</f>
        <v/>
      </c>
      <c r="O48" s="60" t="n"/>
      <c r="P48" s="61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  <c r="AG48" s="62" t="n"/>
      <c r="AH48" s="62" t="n"/>
      <c r="AI48" s="62" t="n"/>
      <c r="AJ48" s="62" t="n"/>
      <c r="AK48" s="62" t="n"/>
      <c r="AL48" s="62" t="n"/>
      <c r="AM48" s="62" t="n"/>
      <c r="AN48" s="62" t="n"/>
      <c r="AO48" s="62" t="n"/>
      <c r="AP48" s="62" t="n"/>
      <c r="AQ48" s="62" t="n"/>
      <c r="AR48" s="62" t="n"/>
      <c r="AS48" s="62" t="n"/>
      <c r="AT48" s="62" t="n"/>
      <c r="AU48" s="62" t="n"/>
      <c r="AV48" s="62" t="n"/>
      <c r="AW48" s="62" t="n"/>
      <c r="AX48" s="62" t="n"/>
      <c r="AY48" s="62" t="n"/>
    </row>
    <row r="49">
      <c r="A49" s="38">
        <f>IF(D49="","",COUNTA($D$40:D49))</f>
        <v/>
      </c>
      <c r="B49" s="52" t="n"/>
      <c r="C49" s="65" t="inlineStr">
        <is>
          <t>마케팅2팀</t>
        </is>
      </c>
      <c r="D49" s="52" t="n"/>
      <c r="E49" s="54" t="n"/>
      <c r="F49" s="52" t="n"/>
      <c r="G49" s="55" t="n"/>
      <c r="H49" s="54" t="n"/>
      <c r="I49" s="54" t="n"/>
      <c r="J49" s="54" t="n"/>
      <c r="K49" s="56">
        <f>IF(SUM(U49:AY49)=0,"",SUM(U49:AY49))</f>
        <v/>
      </c>
      <c r="L49" s="57">
        <f>IFERROR(INDEX(U$2:AY$2,MATCH(TRUE,U49:AY49&lt;&gt;"",0)),"")</f>
        <v/>
      </c>
      <c r="M49" s="58">
        <f>IFERROR(LOOKUP(2,1/(U49:AY49&lt;&gt;""),U$2:AY$2),"")</f>
        <v/>
      </c>
      <c r="N49" s="59">
        <f>IF(OR(G49="",M49=""),"",G49-M49)</f>
        <v/>
      </c>
      <c r="O49" s="60" t="n"/>
      <c r="P49" s="61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  <c r="AG49" s="62" t="n"/>
      <c r="AH49" s="62" t="n"/>
      <c r="AI49" s="62" t="n"/>
      <c r="AJ49" s="62" t="n"/>
      <c r="AK49" s="62" t="n"/>
      <c r="AL49" s="62" t="n"/>
      <c r="AM49" s="62" t="n"/>
      <c r="AN49" s="62" t="n"/>
      <c r="AO49" s="62" t="n"/>
      <c r="AP49" s="62" t="n"/>
      <c r="AQ49" s="62" t="n"/>
      <c r="AR49" s="62" t="n"/>
      <c r="AS49" s="62" t="n"/>
      <c r="AT49" s="62" t="n"/>
      <c r="AU49" s="62" t="n"/>
      <c r="AV49" s="62" t="n"/>
      <c r="AW49" s="62" t="n"/>
      <c r="AX49" s="62" t="n"/>
      <c r="AY49" s="62" t="n"/>
    </row>
    <row r="50">
      <c r="A50" s="38">
        <f>IF(D50="","",COUNTA($D$40:D50))</f>
        <v/>
      </c>
      <c r="B50" s="52" t="n"/>
      <c r="C50" s="65" t="inlineStr">
        <is>
          <t>마케팅2팀</t>
        </is>
      </c>
      <c r="D50" s="52" t="n"/>
      <c r="E50" s="54" t="n"/>
      <c r="F50" s="52" t="n"/>
      <c r="G50" s="55" t="n"/>
      <c r="H50" s="54" t="n"/>
      <c r="I50" s="54" t="n"/>
      <c r="J50" s="54" t="n"/>
      <c r="K50" s="56">
        <f>IF(SUM(U50:AY50)=0,"",SUM(U50:AY50))</f>
        <v/>
      </c>
      <c r="L50" s="57">
        <f>IFERROR(INDEX(U$2:AY$2,MATCH(TRUE,U50:AY50&lt;&gt;"",0)),"")</f>
        <v/>
      </c>
      <c r="M50" s="58">
        <f>IFERROR(LOOKUP(2,1/(U50:AY50&lt;&gt;""),U$2:AY$2),"")</f>
        <v/>
      </c>
      <c r="N50" s="59">
        <f>IF(OR(G50="",M50=""),"",G50-M50)</f>
        <v/>
      </c>
      <c r="O50" s="60" t="n"/>
      <c r="P50" s="61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  <c r="AG50" s="62" t="n"/>
      <c r="AH50" s="62" t="n"/>
      <c r="AI50" s="62" t="n"/>
      <c r="AJ50" s="62" t="n"/>
      <c r="AK50" s="62" t="n"/>
      <c r="AL50" s="62" t="n"/>
      <c r="AM50" s="62" t="n"/>
      <c r="AN50" s="62" t="n"/>
      <c r="AO50" s="62" t="n"/>
      <c r="AP50" s="62" t="n"/>
      <c r="AQ50" s="62" t="n"/>
      <c r="AR50" s="62" t="n"/>
      <c r="AS50" s="62" t="n"/>
      <c r="AT50" s="62" t="n"/>
      <c r="AU50" s="62" t="n"/>
      <c r="AV50" s="62" t="n"/>
      <c r="AW50" s="62" t="n"/>
      <c r="AX50" s="62" t="n"/>
      <c r="AY50" s="62" t="n"/>
    </row>
    <row r="51">
      <c r="A51" s="38">
        <f>IF(D51="","",COUNTA($D$40:D51))</f>
        <v/>
      </c>
      <c r="B51" s="52" t="n"/>
      <c r="C51" s="65" t="inlineStr">
        <is>
          <t>마케팅2팀</t>
        </is>
      </c>
      <c r="D51" s="52" t="n"/>
      <c r="E51" s="54" t="n"/>
      <c r="F51" s="52" t="n"/>
      <c r="G51" s="55" t="n"/>
      <c r="H51" s="54" t="n"/>
      <c r="I51" s="54" t="n"/>
      <c r="J51" s="54" t="n"/>
      <c r="K51" s="56">
        <f>IF(SUM(U51:AY51)=0,"",SUM(U51:AY51))</f>
        <v/>
      </c>
      <c r="L51" s="57">
        <f>IFERROR(INDEX(U$2:AY$2,MATCH(TRUE,U51:AY51&lt;&gt;"",0)),"")</f>
        <v/>
      </c>
      <c r="M51" s="58">
        <f>IFERROR(LOOKUP(2,1/(U51:AY51&lt;&gt;""),U$2:AY$2),"")</f>
        <v/>
      </c>
      <c r="N51" s="59">
        <f>IF(OR(G51="",M51=""),"",G51-M51)</f>
        <v/>
      </c>
      <c r="O51" s="60" t="n"/>
      <c r="P51" s="61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  <c r="AG51" s="62" t="n"/>
      <c r="AH51" s="62" t="n"/>
      <c r="AI51" s="62" t="n"/>
      <c r="AJ51" s="62" t="n"/>
      <c r="AK51" s="62" t="n"/>
      <c r="AL51" s="62" t="n"/>
      <c r="AM51" s="62" t="n"/>
      <c r="AN51" s="62" t="n"/>
      <c r="AO51" s="62" t="n"/>
      <c r="AP51" s="62" t="n"/>
      <c r="AQ51" s="62" t="n"/>
      <c r="AR51" s="62" t="n"/>
      <c r="AS51" s="62" t="n"/>
      <c r="AT51" s="62" t="n"/>
      <c r="AU51" s="62" t="n"/>
      <c r="AV51" s="62" t="n"/>
      <c r="AW51" s="62" t="n"/>
      <c r="AX51" s="62" t="n"/>
      <c r="AY51" s="62" t="n"/>
    </row>
    <row r="52">
      <c r="A52" s="38">
        <f>IF(D52="","",COUNTA($D$40:D52))</f>
        <v/>
      </c>
      <c r="B52" s="52" t="n"/>
      <c r="C52" s="65" t="inlineStr">
        <is>
          <t>마케팅2팀</t>
        </is>
      </c>
      <c r="D52" s="52" t="n"/>
      <c r="E52" s="54" t="n"/>
      <c r="F52" s="52" t="n"/>
      <c r="G52" s="55" t="n"/>
      <c r="H52" s="54" t="n"/>
      <c r="I52" s="54" t="n"/>
      <c r="J52" s="54" t="n"/>
      <c r="K52" s="56">
        <f>IF(SUM(U52:AY52)=0,"",SUM(U52:AY52))</f>
        <v/>
      </c>
      <c r="L52" s="57">
        <f>IFERROR(INDEX(U$2:AY$2,MATCH(TRUE,U52:AY52&lt;&gt;"",0)),"")</f>
        <v/>
      </c>
      <c r="M52" s="58">
        <f>IFERROR(LOOKUP(2,1/(U52:AY52&lt;&gt;""),U$2:AY$2),"")</f>
        <v/>
      </c>
      <c r="N52" s="59">
        <f>IF(OR(G52="",M52=""),"",G52-M52)</f>
        <v/>
      </c>
      <c r="O52" s="60" t="n"/>
      <c r="P52" s="61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  <c r="AG52" s="62" t="n"/>
      <c r="AH52" s="62" t="n"/>
      <c r="AI52" s="62" t="n"/>
      <c r="AJ52" s="62" t="n"/>
      <c r="AK52" s="62" t="n"/>
      <c r="AL52" s="62" t="n"/>
      <c r="AM52" s="62" t="n"/>
      <c r="AN52" s="62" t="n"/>
      <c r="AO52" s="62" t="n"/>
      <c r="AP52" s="62" t="n"/>
      <c r="AQ52" s="62" t="n"/>
      <c r="AR52" s="62" t="n"/>
      <c r="AS52" s="62" t="n"/>
      <c r="AT52" s="62" t="n"/>
      <c r="AU52" s="62" t="n"/>
      <c r="AV52" s="62" t="n"/>
      <c r="AW52" s="62" t="n"/>
      <c r="AX52" s="62" t="n"/>
      <c r="AY52" s="62" t="n"/>
    </row>
    <row r="53">
      <c r="A53" s="38">
        <f>IF(D53="","",COUNTA($D$40:D53))</f>
        <v/>
      </c>
      <c r="B53" s="52" t="n"/>
      <c r="C53" s="65" t="inlineStr">
        <is>
          <t>마케팅2팀</t>
        </is>
      </c>
      <c r="D53" s="52" t="n"/>
      <c r="E53" s="54" t="n"/>
      <c r="F53" s="52" t="n"/>
      <c r="G53" s="55" t="n"/>
      <c r="H53" s="54" t="n"/>
      <c r="I53" s="54" t="n"/>
      <c r="J53" s="54" t="n"/>
      <c r="K53" s="56">
        <f>IF(SUM(U53:AY53)=0,"",SUM(U53:AY53))</f>
        <v/>
      </c>
      <c r="L53" s="57">
        <f>IFERROR(INDEX(U$2:AY$2,MATCH(TRUE,U53:AY53&lt;&gt;"",0)),"")</f>
        <v/>
      </c>
      <c r="M53" s="58">
        <f>IFERROR(LOOKUP(2,1/(U53:AY53&lt;&gt;""),U$2:AY$2),"")</f>
        <v/>
      </c>
      <c r="N53" s="59">
        <f>IF(OR(G53="",M53=""),"",G53-M53)</f>
        <v/>
      </c>
      <c r="O53" s="60" t="n"/>
      <c r="P53" s="61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  <c r="AG53" s="62" t="n"/>
      <c r="AH53" s="62" t="n"/>
      <c r="AI53" s="62" t="n"/>
      <c r="AJ53" s="62" t="n"/>
      <c r="AK53" s="62" t="n"/>
      <c r="AL53" s="62" t="n"/>
      <c r="AM53" s="62" t="n"/>
      <c r="AN53" s="62" t="n"/>
      <c r="AO53" s="62" t="n"/>
      <c r="AP53" s="62" t="n"/>
      <c r="AQ53" s="62" t="n"/>
      <c r="AR53" s="62" t="n"/>
      <c r="AS53" s="62" t="n"/>
      <c r="AT53" s="62" t="n"/>
      <c r="AU53" s="62" t="n"/>
      <c r="AV53" s="62" t="n"/>
      <c r="AW53" s="62" t="n"/>
      <c r="AX53" s="62" t="n"/>
      <c r="AY53" s="62" t="n"/>
    </row>
    <row r="54">
      <c r="A54" s="38">
        <f>IF(D54="","",COUNTA($D$40:D54))</f>
        <v/>
      </c>
      <c r="B54" s="52" t="n"/>
      <c r="C54" s="65" t="inlineStr">
        <is>
          <t>마케팅2팀</t>
        </is>
      </c>
      <c r="D54" s="52" t="n"/>
      <c r="E54" s="54" t="n"/>
      <c r="F54" s="52" t="n"/>
      <c r="G54" s="55" t="n"/>
      <c r="H54" s="54" t="n"/>
      <c r="I54" s="54" t="n"/>
      <c r="J54" s="54" t="n"/>
      <c r="K54" s="56">
        <f>IF(SUM(U54:AY54)=0,"",SUM(U54:AY54))</f>
        <v/>
      </c>
      <c r="L54" s="57">
        <f>IFERROR(INDEX(U$2:AY$2,MATCH(TRUE,U54:AY54&lt;&gt;"",0)),"")</f>
        <v/>
      </c>
      <c r="M54" s="58">
        <f>IFERROR(LOOKUP(2,1/(U54:AY54&lt;&gt;""),U$2:AY$2),"")</f>
        <v/>
      </c>
      <c r="N54" s="59">
        <f>IF(OR(G54="",M54=""),"",G54-M54)</f>
        <v/>
      </c>
      <c r="O54" s="60" t="n"/>
      <c r="P54" s="61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  <c r="AG54" s="62" t="n"/>
      <c r="AH54" s="62" t="n"/>
      <c r="AI54" s="62" t="n"/>
      <c r="AJ54" s="62" t="n"/>
      <c r="AK54" s="62" t="n"/>
      <c r="AL54" s="62" t="n"/>
      <c r="AM54" s="62" t="n"/>
      <c r="AN54" s="62" t="n"/>
      <c r="AO54" s="62" t="n"/>
      <c r="AP54" s="62" t="n"/>
      <c r="AQ54" s="62" t="n"/>
      <c r="AR54" s="62" t="n"/>
      <c r="AS54" s="62" t="n"/>
      <c r="AT54" s="62" t="n"/>
      <c r="AU54" s="62" t="n"/>
      <c r="AV54" s="62" t="n"/>
      <c r="AW54" s="62" t="n"/>
      <c r="AX54" s="62" t="n"/>
      <c r="AY54" s="62" t="n"/>
    </row>
    <row r="55">
      <c r="A55" s="38">
        <f>IF(D55="","",COUNTA($D$40:D55))</f>
        <v/>
      </c>
      <c r="B55" s="52" t="n"/>
      <c r="C55" s="65" t="inlineStr">
        <is>
          <t>마케팅2팀</t>
        </is>
      </c>
      <c r="D55" s="52" t="n"/>
      <c r="E55" s="54" t="n"/>
      <c r="F55" s="52" t="n"/>
      <c r="G55" s="55" t="n"/>
      <c r="H55" s="54" t="n"/>
      <c r="I55" s="54" t="n"/>
      <c r="J55" s="54" t="n"/>
      <c r="K55" s="56">
        <f>IF(SUM(U55:AY55)=0,"",SUM(U55:AY55))</f>
        <v/>
      </c>
      <c r="L55" s="57">
        <f>IFERROR(INDEX(U$2:AY$2,MATCH(TRUE,U55:AY55&lt;&gt;"",0)),"")</f>
        <v/>
      </c>
      <c r="M55" s="58">
        <f>IFERROR(LOOKUP(2,1/(U55:AY55&lt;&gt;""),U$2:AY$2),"")</f>
        <v/>
      </c>
      <c r="N55" s="59">
        <f>IF(OR(G55="",M55=""),"",G55-M55)</f>
        <v/>
      </c>
      <c r="O55" s="60" t="n"/>
      <c r="P55" s="61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  <c r="AG55" s="62" t="n"/>
      <c r="AH55" s="62" t="n"/>
      <c r="AI55" s="62" t="n"/>
      <c r="AJ55" s="62" t="n"/>
      <c r="AK55" s="62" t="n"/>
      <c r="AL55" s="62" t="n"/>
      <c r="AM55" s="62" t="n"/>
      <c r="AN55" s="62" t="n"/>
      <c r="AO55" s="62" t="n"/>
      <c r="AP55" s="62" t="n"/>
      <c r="AQ55" s="62" t="n"/>
      <c r="AR55" s="62" t="n"/>
      <c r="AS55" s="62" t="n"/>
      <c r="AT55" s="62" t="n"/>
      <c r="AU55" s="62" t="n"/>
      <c r="AV55" s="62" t="n"/>
      <c r="AW55" s="62" t="n"/>
      <c r="AX55" s="62" t="n"/>
      <c r="AY55" s="62" t="n"/>
    </row>
    <row r="56">
      <c r="A56" s="38">
        <f>IF(D56="","",COUNTA($D$40:D56))</f>
        <v/>
      </c>
      <c r="B56" s="52" t="n"/>
      <c r="C56" s="65" t="inlineStr">
        <is>
          <t>마케팅2팀</t>
        </is>
      </c>
      <c r="D56" s="52" t="n"/>
      <c r="E56" s="54" t="n"/>
      <c r="F56" s="52" t="n"/>
      <c r="G56" s="55" t="n"/>
      <c r="H56" s="54" t="n"/>
      <c r="I56" s="54" t="n"/>
      <c r="J56" s="54" t="n"/>
      <c r="K56" s="56">
        <f>IF(SUM(U56:AY56)=0,"",SUM(U56:AY56))</f>
        <v/>
      </c>
      <c r="L56" s="57">
        <f>IFERROR(INDEX(U$2:AY$2,MATCH(TRUE,U56:AY56&lt;&gt;"",0)),"")</f>
        <v/>
      </c>
      <c r="M56" s="58">
        <f>IFERROR(LOOKUP(2,1/(U56:AY56&lt;&gt;""),U$2:AY$2),"")</f>
        <v/>
      </c>
      <c r="N56" s="59">
        <f>IF(OR(G56="",M56=""),"",G56-M56)</f>
        <v/>
      </c>
      <c r="O56" s="60" t="n"/>
      <c r="P56" s="61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  <c r="AG56" s="62" t="n"/>
      <c r="AH56" s="62" t="n"/>
      <c r="AI56" s="62" t="n"/>
      <c r="AJ56" s="62" t="n"/>
      <c r="AK56" s="62" t="n"/>
      <c r="AL56" s="62" t="n"/>
      <c r="AM56" s="62" t="n"/>
      <c r="AN56" s="62" t="n"/>
      <c r="AO56" s="62" t="n"/>
      <c r="AP56" s="62" t="n"/>
      <c r="AQ56" s="62" t="n"/>
      <c r="AR56" s="62" t="n"/>
      <c r="AS56" s="62" t="n"/>
      <c r="AT56" s="62" t="n"/>
      <c r="AU56" s="62" t="n"/>
      <c r="AV56" s="62" t="n"/>
      <c r="AW56" s="62" t="n"/>
      <c r="AX56" s="62" t="n"/>
      <c r="AY56" s="62" t="n"/>
    </row>
    <row r="57">
      <c r="A57" s="38">
        <f>IF(D57="","",COUNTA($D$40:D57))</f>
        <v/>
      </c>
      <c r="B57" s="52" t="n"/>
      <c r="C57" s="65" t="inlineStr">
        <is>
          <t>마케팅2팀</t>
        </is>
      </c>
      <c r="D57" s="52" t="n"/>
      <c r="E57" s="54" t="n"/>
      <c r="F57" s="52" t="n"/>
      <c r="G57" s="55" t="n"/>
      <c r="H57" s="54" t="n"/>
      <c r="I57" s="54" t="n"/>
      <c r="J57" s="54" t="n"/>
      <c r="K57" s="56">
        <f>IF(SUM(U57:AY57)=0,"",SUM(U57:AY57))</f>
        <v/>
      </c>
      <c r="L57" s="57">
        <f>IFERROR(INDEX(U$2:AY$2,MATCH(TRUE,U57:AY57&lt;&gt;"",0)),"")</f>
        <v/>
      </c>
      <c r="M57" s="58">
        <f>IFERROR(LOOKUP(2,1/(U57:AY57&lt;&gt;""),U$2:AY$2),"")</f>
        <v/>
      </c>
      <c r="N57" s="59">
        <f>IF(OR(G57="",M57=""),"",G57-M57)</f>
        <v/>
      </c>
      <c r="O57" s="60" t="n"/>
      <c r="P57" s="61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  <c r="AG57" s="62" t="n"/>
      <c r="AH57" s="62" t="n"/>
      <c r="AI57" s="62" t="n"/>
      <c r="AJ57" s="62" t="n"/>
      <c r="AK57" s="62" t="n"/>
      <c r="AL57" s="62" t="n"/>
      <c r="AM57" s="62" t="n"/>
      <c r="AN57" s="62" t="n"/>
      <c r="AO57" s="62" t="n"/>
      <c r="AP57" s="62" t="n"/>
      <c r="AQ57" s="62" t="n"/>
      <c r="AR57" s="62" t="n"/>
      <c r="AS57" s="62" t="n"/>
      <c r="AT57" s="62" t="n"/>
      <c r="AU57" s="62" t="n"/>
      <c r="AV57" s="62" t="n"/>
      <c r="AW57" s="62" t="n"/>
      <c r="AX57" s="62" t="n"/>
      <c r="AY57" s="62" t="n"/>
    </row>
    <row r="58">
      <c r="A58" s="38">
        <f>IF(D58="","",COUNTA($D$40:D58))</f>
        <v/>
      </c>
      <c r="B58" s="52" t="n"/>
      <c r="C58" s="65" t="inlineStr">
        <is>
          <t>마케팅2팀</t>
        </is>
      </c>
      <c r="D58" s="52" t="n"/>
      <c r="E58" s="54" t="n"/>
      <c r="F58" s="52" t="n"/>
      <c r="G58" s="55" t="n"/>
      <c r="H58" s="54" t="n"/>
      <c r="I58" s="54" t="n"/>
      <c r="J58" s="54" t="n"/>
      <c r="K58" s="56">
        <f>IF(SUM(U58:AY58)=0,"",SUM(U58:AY58))</f>
        <v/>
      </c>
      <c r="L58" s="57">
        <f>IFERROR(INDEX(U$2:AY$2,MATCH(TRUE,U58:AY58&lt;&gt;"",0)),"")</f>
        <v/>
      </c>
      <c r="M58" s="58">
        <f>IFERROR(LOOKUP(2,1/(U58:AY58&lt;&gt;""),U$2:AY$2),"")</f>
        <v/>
      </c>
      <c r="N58" s="59">
        <f>IF(OR(G58="",M58=""),"",G58-M58)</f>
        <v/>
      </c>
      <c r="O58" s="60" t="n"/>
      <c r="P58" s="61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  <c r="AG58" s="62" t="n"/>
      <c r="AH58" s="62" t="n"/>
      <c r="AI58" s="62" t="n"/>
      <c r="AJ58" s="62" t="n"/>
      <c r="AK58" s="62" t="n"/>
      <c r="AL58" s="62" t="n"/>
      <c r="AM58" s="62" t="n"/>
      <c r="AN58" s="62" t="n"/>
      <c r="AO58" s="62" t="n"/>
      <c r="AP58" s="62" t="n"/>
      <c r="AQ58" s="62" t="n"/>
      <c r="AR58" s="62" t="n"/>
      <c r="AS58" s="62" t="n"/>
      <c r="AT58" s="62" t="n"/>
      <c r="AU58" s="62" t="n"/>
      <c r="AV58" s="62" t="n"/>
      <c r="AW58" s="62" t="n"/>
      <c r="AX58" s="62" t="n"/>
      <c r="AY58" s="62" t="n"/>
    </row>
    <row r="59">
      <c r="A59" s="38">
        <f>IF(D59="","",COUNTA($D$40:D59))</f>
        <v/>
      </c>
      <c r="B59" s="52" t="n"/>
      <c r="C59" s="65" t="inlineStr">
        <is>
          <t>마케팅2팀</t>
        </is>
      </c>
      <c r="D59" s="52" t="n"/>
      <c r="E59" s="54" t="n"/>
      <c r="F59" s="52" t="n"/>
      <c r="G59" s="55" t="n"/>
      <c r="H59" s="54" t="n"/>
      <c r="I59" s="54" t="n"/>
      <c r="J59" s="54" t="n"/>
      <c r="K59" s="56">
        <f>IF(SUM(U59:AY59)=0,"",SUM(U59:AY59))</f>
        <v/>
      </c>
      <c r="L59" s="57">
        <f>IFERROR(INDEX(U$2:AY$2,MATCH(TRUE,U59:AY59&lt;&gt;"",0)),"")</f>
        <v/>
      </c>
      <c r="M59" s="58">
        <f>IFERROR(LOOKUP(2,1/(U59:AY59&lt;&gt;""),U$2:AY$2),"")</f>
        <v/>
      </c>
      <c r="N59" s="59">
        <f>IF(OR(G59="",M59=""),"",G59-M59)</f>
        <v/>
      </c>
      <c r="O59" s="60" t="n"/>
      <c r="P59" s="61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  <c r="AG59" s="62" t="n"/>
      <c r="AH59" s="62" t="n"/>
      <c r="AI59" s="62" t="n"/>
      <c r="AJ59" s="62" t="n"/>
      <c r="AK59" s="62" t="n"/>
      <c r="AL59" s="62" t="n"/>
      <c r="AM59" s="62" t="n"/>
      <c r="AN59" s="62" t="n"/>
      <c r="AO59" s="62" t="n"/>
      <c r="AP59" s="62" t="n"/>
      <c r="AQ59" s="62" t="n"/>
      <c r="AR59" s="62" t="n"/>
      <c r="AS59" s="62" t="n"/>
      <c r="AT59" s="62" t="n"/>
      <c r="AU59" s="62" t="n"/>
      <c r="AV59" s="62" t="n"/>
      <c r="AW59" s="62" t="n"/>
      <c r="AX59" s="62" t="n"/>
      <c r="AY59" s="62" t="n"/>
    </row>
    <row r="60">
      <c r="A60" s="38">
        <f>IF(D60="","",COUNTA($D$40:D60))</f>
        <v/>
      </c>
      <c r="B60" s="52" t="n"/>
      <c r="C60" s="65" t="inlineStr">
        <is>
          <t>마케팅2팀</t>
        </is>
      </c>
      <c r="D60" s="52" t="n"/>
      <c r="E60" s="54" t="n"/>
      <c r="F60" s="52" t="n"/>
      <c r="G60" s="55" t="n"/>
      <c r="H60" s="54" t="n"/>
      <c r="I60" s="54" t="n"/>
      <c r="J60" s="54" t="n"/>
      <c r="K60" s="56">
        <f>IF(SUM(U60:AY60)=0,"",SUM(U60:AY60))</f>
        <v/>
      </c>
      <c r="L60" s="57">
        <f>IFERROR(INDEX(U$2:AY$2,MATCH(TRUE,U60:AY60&lt;&gt;"",0)),"")</f>
        <v/>
      </c>
      <c r="M60" s="58">
        <f>IFERROR(LOOKUP(2,1/(U60:AY60&lt;&gt;""),U$2:AY$2),"")</f>
        <v/>
      </c>
      <c r="N60" s="59">
        <f>IF(OR(G60="",M60=""),"",G60-M60)</f>
        <v/>
      </c>
      <c r="O60" s="60" t="n"/>
      <c r="P60" s="61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  <c r="AG60" s="62" t="n"/>
      <c r="AH60" s="62" t="n"/>
      <c r="AI60" s="62" t="n"/>
      <c r="AJ60" s="62" t="n"/>
      <c r="AK60" s="62" t="n"/>
      <c r="AL60" s="62" t="n"/>
      <c r="AM60" s="62" t="n"/>
      <c r="AN60" s="62" t="n"/>
      <c r="AO60" s="62" t="n"/>
      <c r="AP60" s="62" t="n"/>
      <c r="AQ60" s="62" t="n"/>
      <c r="AR60" s="62" t="n"/>
      <c r="AS60" s="62" t="n"/>
      <c r="AT60" s="62" t="n"/>
      <c r="AU60" s="62" t="n"/>
      <c r="AV60" s="62" t="n"/>
      <c r="AW60" s="62" t="n"/>
      <c r="AX60" s="62" t="n"/>
      <c r="AY60" s="62" t="n"/>
    </row>
    <row r="61">
      <c r="A61" s="38">
        <f>IF(D61="","",COUNTA($D$40:D61))</f>
        <v/>
      </c>
      <c r="B61" s="52" t="n"/>
      <c r="C61" s="65" t="inlineStr">
        <is>
          <t>마케팅2팀</t>
        </is>
      </c>
      <c r="D61" s="52" t="n"/>
      <c r="E61" s="54" t="n"/>
      <c r="F61" s="52" t="n"/>
      <c r="G61" s="55" t="n"/>
      <c r="H61" s="54" t="n"/>
      <c r="I61" s="54" t="n"/>
      <c r="J61" s="54" t="n"/>
      <c r="K61" s="56">
        <f>IF(SUM(U61:AY61)=0,"",SUM(U61:AY61))</f>
        <v/>
      </c>
      <c r="L61" s="57">
        <f>IFERROR(INDEX(U$2:AY$2,MATCH(TRUE,U61:AY61&lt;&gt;"",0)),"")</f>
        <v/>
      </c>
      <c r="M61" s="58">
        <f>IFERROR(LOOKUP(2,1/(U61:AY61&lt;&gt;""),U$2:AY$2),"")</f>
        <v/>
      </c>
      <c r="N61" s="59">
        <f>IF(OR(G61="",M61=""),"",G61-M61)</f>
        <v/>
      </c>
      <c r="O61" s="60" t="n"/>
      <c r="P61" s="61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  <c r="AG61" s="62" t="n"/>
      <c r="AH61" s="62" t="n"/>
      <c r="AI61" s="62" t="n"/>
      <c r="AJ61" s="62" t="n"/>
      <c r="AK61" s="62" t="n"/>
      <c r="AL61" s="62" t="n"/>
      <c r="AM61" s="62" t="n"/>
      <c r="AN61" s="62" t="n"/>
      <c r="AO61" s="62" t="n"/>
      <c r="AP61" s="62" t="n"/>
      <c r="AQ61" s="62" t="n"/>
      <c r="AR61" s="62" t="n"/>
      <c r="AS61" s="62" t="n"/>
      <c r="AT61" s="62" t="n"/>
      <c r="AU61" s="62" t="n"/>
      <c r="AV61" s="62" t="n"/>
      <c r="AW61" s="62" t="n"/>
      <c r="AX61" s="62" t="n"/>
      <c r="AY61" s="62" t="n"/>
    </row>
    <row r="62">
      <c r="A62" s="38">
        <f>IF(D62="","",COUNTA($D$40:D62))</f>
        <v/>
      </c>
      <c r="B62" s="52" t="n"/>
      <c r="C62" s="65" t="inlineStr">
        <is>
          <t>마케팅2팀</t>
        </is>
      </c>
      <c r="D62" s="52" t="n"/>
      <c r="E62" s="54" t="n"/>
      <c r="F62" s="52" t="n"/>
      <c r="G62" s="55" t="n"/>
      <c r="H62" s="54" t="n"/>
      <c r="I62" s="54" t="n"/>
      <c r="J62" s="54" t="n"/>
      <c r="K62" s="56">
        <f>IF(SUM(U62:AY62)=0,"",SUM(U62:AY62))</f>
        <v/>
      </c>
      <c r="L62" s="57">
        <f>IFERROR(INDEX(U$2:AY$2,MATCH(TRUE,U62:AY62&lt;&gt;"",0)),"")</f>
        <v/>
      </c>
      <c r="M62" s="58">
        <f>IFERROR(LOOKUP(2,1/(U62:AY62&lt;&gt;""),U$2:AY$2),"")</f>
        <v/>
      </c>
      <c r="N62" s="59">
        <f>IF(OR(G62="",M62=""),"",G62-M62)</f>
        <v/>
      </c>
      <c r="O62" s="60" t="n"/>
      <c r="P62" s="61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  <c r="AG62" s="62" t="n"/>
      <c r="AH62" s="62" t="n"/>
      <c r="AI62" s="62" t="n"/>
      <c r="AJ62" s="62" t="n"/>
      <c r="AK62" s="62" t="n"/>
      <c r="AL62" s="62" t="n"/>
      <c r="AM62" s="62" t="n"/>
      <c r="AN62" s="62" t="n"/>
      <c r="AO62" s="62" t="n"/>
      <c r="AP62" s="62" t="n"/>
      <c r="AQ62" s="62" t="n"/>
      <c r="AR62" s="62" t="n"/>
      <c r="AS62" s="62" t="n"/>
      <c r="AT62" s="62" t="n"/>
      <c r="AU62" s="62" t="n"/>
      <c r="AV62" s="62" t="n"/>
      <c r="AW62" s="62" t="n"/>
      <c r="AX62" s="62" t="n"/>
      <c r="AY62" s="62" t="n"/>
    </row>
    <row r="63">
      <c r="A63" s="38">
        <f>IF(D63="","",COUNTA($D$40:D63))</f>
        <v/>
      </c>
      <c r="B63" s="52" t="n"/>
      <c r="C63" s="65" t="inlineStr">
        <is>
          <t>마케팅2팀</t>
        </is>
      </c>
      <c r="D63" s="52" t="n"/>
      <c r="E63" s="54" t="n"/>
      <c r="F63" s="52" t="n"/>
      <c r="G63" s="55" t="n"/>
      <c r="H63" s="54" t="n"/>
      <c r="I63" s="54" t="n"/>
      <c r="J63" s="54" t="n"/>
      <c r="K63" s="56">
        <f>IF(SUM(U63:AY63)=0,"",SUM(U63:AY63))</f>
        <v/>
      </c>
      <c r="L63" s="57">
        <f>IFERROR(INDEX(U$2:AY$2,MATCH(TRUE,U63:AY63&lt;&gt;"",0)),"")</f>
        <v/>
      </c>
      <c r="M63" s="58">
        <f>IFERROR(LOOKUP(2,1/(U63:AY63&lt;&gt;""),U$2:AY$2),"")</f>
        <v/>
      </c>
      <c r="N63" s="59">
        <f>IF(OR(G63="",M63=""),"",G63-M63)</f>
        <v/>
      </c>
      <c r="O63" s="60" t="n"/>
      <c r="P63" s="61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  <c r="AG63" s="62" t="n"/>
      <c r="AH63" s="62" t="n"/>
      <c r="AI63" s="62" t="n"/>
      <c r="AJ63" s="62" t="n"/>
      <c r="AK63" s="62" t="n"/>
      <c r="AL63" s="62" t="n"/>
      <c r="AM63" s="62" t="n"/>
      <c r="AN63" s="62" t="n"/>
      <c r="AO63" s="62" t="n"/>
      <c r="AP63" s="62" t="n"/>
      <c r="AQ63" s="62" t="n"/>
      <c r="AR63" s="62" t="n"/>
      <c r="AS63" s="62" t="n"/>
      <c r="AT63" s="62" t="n"/>
      <c r="AU63" s="62" t="n"/>
      <c r="AV63" s="62" t="n"/>
      <c r="AW63" s="62" t="n"/>
      <c r="AX63" s="62" t="n"/>
      <c r="AY63" s="62" t="n"/>
    </row>
    <row r="64">
      <c r="A64" s="38">
        <f>IF(D64="","",COUNTA($D$40:D64))</f>
        <v/>
      </c>
      <c r="B64" s="52" t="n"/>
      <c r="C64" s="65" t="inlineStr">
        <is>
          <t>마케팅2팀</t>
        </is>
      </c>
      <c r="D64" s="52" t="n"/>
      <c r="E64" s="54" t="n"/>
      <c r="F64" s="52" t="n"/>
      <c r="G64" s="55" t="n"/>
      <c r="H64" s="54" t="n"/>
      <c r="I64" s="54" t="n"/>
      <c r="J64" s="54" t="n"/>
      <c r="K64" s="56">
        <f>IF(SUM(U64:AY64)=0,"",SUM(U64:AY64))</f>
        <v/>
      </c>
      <c r="L64" s="57">
        <f>IFERROR(INDEX(U$2:AY$2,MATCH(TRUE,U64:AY64&lt;&gt;"",0)),"")</f>
        <v/>
      </c>
      <c r="M64" s="58">
        <f>IFERROR(LOOKUP(2,1/(U64:AY64&lt;&gt;""),U$2:AY$2),"")</f>
        <v/>
      </c>
      <c r="N64" s="59">
        <f>IF(OR(G64="",M64=""),"",G64-M64)</f>
        <v/>
      </c>
      <c r="O64" s="60" t="n"/>
      <c r="P64" s="61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  <c r="AG64" s="62" t="n"/>
      <c r="AH64" s="62" t="n"/>
      <c r="AI64" s="62" t="n"/>
      <c r="AJ64" s="62" t="n"/>
      <c r="AK64" s="62" t="n"/>
      <c r="AL64" s="62" t="n"/>
      <c r="AM64" s="62" t="n"/>
      <c r="AN64" s="62" t="n"/>
      <c r="AO64" s="62" t="n"/>
      <c r="AP64" s="62" t="n"/>
      <c r="AQ64" s="62" t="n"/>
      <c r="AR64" s="62" t="n"/>
      <c r="AS64" s="62" t="n"/>
      <c r="AT64" s="62" t="n"/>
      <c r="AU64" s="62" t="n"/>
      <c r="AV64" s="62" t="n"/>
      <c r="AW64" s="62" t="n"/>
      <c r="AX64" s="62" t="n"/>
      <c r="AY64" s="62" t="n"/>
    </row>
    <row r="65">
      <c r="A65" s="38">
        <f>IF(D65="","",COUNTA($D$40:D65))</f>
        <v/>
      </c>
      <c r="B65" s="52" t="n"/>
      <c r="C65" s="65" t="inlineStr">
        <is>
          <t>마케팅2팀</t>
        </is>
      </c>
      <c r="D65" s="52" t="n"/>
      <c r="E65" s="54" t="n"/>
      <c r="F65" s="52" t="n"/>
      <c r="G65" s="55" t="n"/>
      <c r="H65" s="54" t="n"/>
      <c r="I65" s="54" t="n"/>
      <c r="J65" s="54" t="n"/>
      <c r="K65" s="56">
        <f>IF(SUM(U65:AY65)=0,"",SUM(U65:AY65))</f>
        <v/>
      </c>
      <c r="L65" s="57">
        <f>IFERROR(INDEX(U$2:AY$2,MATCH(TRUE,U65:AY65&lt;&gt;"",0)),"")</f>
        <v/>
      </c>
      <c r="M65" s="58">
        <f>IFERROR(LOOKUP(2,1/(U65:AY65&lt;&gt;""),U$2:AY$2),"")</f>
        <v/>
      </c>
      <c r="N65" s="59">
        <f>IF(OR(G65="",M65=""),"",G65-M65)</f>
        <v/>
      </c>
      <c r="O65" s="60" t="n"/>
      <c r="P65" s="61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  <c r="AG65" s="62" t="n"/>
      <c r="AH65" s="62" t="n"/>
      <c r="AI65" s="62" t="n"/>
      <c r="AJ65" s="62" t="n"/>
      <c r="AK65" s="62" t="n"/>
      <c r="AL65" s="62" t="n"/>
      <c r="AM65" s="62" t="n"/>
      <c r="AN65" s="62" t="n"/>
      <c r="AO65" s="62" t="n"/>
      <c r="AP65" s="62" t="n"/>
      <c r="AQ65" s="62" t="n"/>
      <c r="AR65" s="62" t="n"/>
      <c r="AS65" s="62" t="n"/>
      <c r="AT65" s="62" t="n"/>
      <c r="AU65" s="62" t="n"/>
      <c r="AV65" s="62" t="n"/>
      <c r="AW65" s="62" t="n"/>
      <c r="AX65" s="62" t="n"/>
      <c r="AY65" s="62" t="n"/>
    </row>
    <row r="66">
      <c r="A66" s="38">
        <f>IF(D66="","",COUNTA($D$40:D66))</f>
        <v/>
      </c>
      <c r="B66" s="52" t="n"/>
      <c r="C66" s="65" t="inlineStr">
        <is>
          <t>마케팅2팀</t>
        </is>
      </c>
      <c r="D66" s="52" t="n"/>
      <c r="E66" s="54" t="n"/>
      <c r="F66" s="52" t="n"/>
      <c r="G66" s="55" t="n"/>
      <c r="H66" s="54" t="n"/>
      <c r="I66" s="54" t="n"/>
      <c r="J66" s="54" t="n"/>
      <c r="K66" s="56">
        <f>IF(SUM(U66:AY66)=0,"",SUM(U66:AY66))</f>
        <v/>
      </c>
      <c r="L66" s="57">
        <f>IFERROR(INDEX(U$2:AY$2,MATCH(TRUE,U66:AY66&lt;&gt;"",0)),"")</f>
        <v/>
      </c>
      <c r="M66" s="58">
        <f>IFERROR(LOOKUP(2,1/(U66:AY66&lt;&gt;""),U$2:AY$2),"")</f>
        <v/>
      </c>
      <c r="N66" s="59">
        <f>IF(OR(G66="",M66=""),"",G66-M66)</f>
        <v/>
      </c>
      <c r="O66" s="60" t="n"/>
      <c r="P66" s="61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  <c r="AG66" s="62" t="n"/>
      <c r="AH66" s="62" t="n"/>
      <c r="AI66" s="62" t="n"/>
      <c r="AJ66" s="62" t="n"/>
      <c r="AK66" s="62" t="n"/>
      <c r="AL66" s="62" t="n"/>
      <c r="AM66" s="62" t="n"/>
      <c r="AN66" s="62" t="n"/>
      <c r="AO66" s="62" t="n"/>
      <c r="AP66" s="62" t="n"/>
      <c r="AQ66" s="62" t="n"/>
      <c r="AR66" s="62" t="n"/>
      <c r="AS66" s="62" t="n"/>
      <c r="AT66" s="62" t="n"/>
      <c r="AU66" s="62" t="n"/>
      <c r="AV66" s="62" t="n"/>
      <c r="AW66" s="62" t="n"/>
      <c r="AX66" s="62" t="n"/>
      <c r="AY66" s="62" t="n"/>
    </row>
    <row r="67">
      <c r="A67" s="38">
        <f>IF(D67="","",COUNTA($D$40:D67))</f>
        <v/>
      </c>
      <c r="B67" s="52" t="n"/>
      <c r="C67" s="65" t="inlineStr">
        <is>
          <t>마케팅2팀</t>
        </is>
      </c>
      <c r="D67" s="52" t="n"/>
      <c r="E67" s="54" t="n"/>
      <c r="F67" s="52" t="n"/>
      <c r="G67" s="55" t="n"/>
      <c r="H67" s="54" t="n"/>
      <c r="I67" s="54" t="n"/>
      <c r="J67" s="54" t="n"/>
      <c r="K67" s="56">
        <f>IF(SUM(U67:AY67)=0,"",SUM(U67:AY67))</f>
        <v/>
      </c>
      <c r="L67" s="57">
        <f>IFERROR(INDEX(U$2:AY$2,MATCH(TRUE,U67:AY67&lt;&gt;"",0)),"")</f>
        <v/>
      </c>
      <c r="M67" s="58">
        <f>IFERROR(LOOKUP(2,1/(U67:AY67&lt;&gt;""),U$2:AY$2),"")</f>
        <v/>
      </c>
      <c r="N67" s="59">
        <f>IF(OR(G67="",M67=""),"",G67-M67)</f>
        <v/>
      </c>
      <c r="O67" s="60" t="n"/>
      <c r="P67" s="61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  <c r="AG67" s="62" t="n"/>
      <c r="AH67" s="62" t="n"/>
      <c r="AI67" s="62" t="n"/>
      <c r="AJ67" s="62" t="n"/>
      <c r="AK67" s="62" t="n"/>
      <c r="AL67" s="62" t="n"/>
      <c r="AM67" s="62" t="n"/>
      <c r="AN67" s="62" t="n"/>
      <c r="AO67" s="62" t="n"/>
      <c r="AP67" s="62" t="n"/>
      <c r="AQ67" s="62" t="n"/>
      <c r="AR67" s="62" t="n"/>
      <c r="AS67" s="62" t="n"/>
      <c r="AT67" s="62" t="n"/>
      <c r="AU67" s="62" t="n"/>
      <c r="AV67" s="62" t="n"/>
      <c r="AW67" s="62" t="n"/>
      <c r="AX67" s="62" t="n"/>
      <c r="AY67" s="62" t="n"/>
    </row>
    <row r="68">
      <c r="A68" s="38">
        <f>IF(D68="","",COUNTA($D$40:D68))</f>
        <v/>
      </c>
      <c r="B68" s="52" t="n"/>
      <c r="C68" s="65" t="inlineStr">
        <is>
          <t>마케팅2팀</t>
        </is>
      </c>
      <c r="D68" s="52" t="n"/>
      <c r="E68" s="54" t="n"/>
      <c r="F68" s="52" t="n"/>
      <c r="G68" s="55" t="n"/>
      <c r="H68" s="54" t="n"/>
      <c r="I68" s="54" t="n"/>
      <c r="J68" s="54" t="n"/>
      <c r="K68" s="56">
        <f>IF(SUM(U68:AY68)=0,"",SUM(U68:AY68))</f>
        <v/>
      </c>
      <c r="L68" s="57">
        <f>IFERROR(INDEX(U$2:AY$2,MATCH(TRUE,U68:AY68&lt;&gt;"",0)),"")</f>
        <v/>
      </c>
      <c r="M68" s="58">
        <f>IFERROR(LOOKUP(2,1/(U68:AY68&lt;&gt;""),U$2:AY$2),"")</f>
        <v/>
      </c>
      <c r="N68" s="59">
        <f>IF(OR(G68="",M68=""),"",G68-M68)</f>
        <v/>
      </c>
      <c r="O68" s="60" t="n"/>
      <c r="P68" s="61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  <c r="AG68" s="62" t="n"/>
      <c r="AH68" s="62" t="n"/>
      <c r="AI68" s="62" t="n"/>
      <c r="AJ68" s="62" t="n"/>
      <c r="AK68" s="62" t="n"/>
      <c r="AL68" s="62" t="n"/>
      <c r="AM68" s="62" t="n"/>
      <c r="AN68" s="62" t="n"/>
      <c r="AO68" s="62" t="n"/>
      <c r="AP68" s="62" t="n"/>
      <c r="AQ68" s="62" t="n"/>
      <c r="AR68" s="62" t="n"/>
      <c r="AS68" s="62" t="n"/>
      <c r="AT68" s="62" t="n"/>
      <c r="AU68" s="62" t="n"/>
      <c r="AV68" s="62" t="n"/>
      <c r="AW68" s="62" t="n"/>
      <c r="AX68" s="62" t="n"/>
      <c r="AY68" s="62" t="n"/>
    </row>
    <row r="69">
      <c r="A69" s="38">
        <f>IF(D69="","",COUNTA($D$40:D69))</f>
        <v/>
      </c>
      <c r="B69" s="52" t="n"/>
      <c r="C69" s="65" t="inlineStr">
        <is>
          <t>마케팅2팀</t>
        </is>
      </c>
      <c r="D69" s="52" t="n"/>
      <c r="E69" s="54" t="n"/>
      <c r="F69" s="52" t="n"/>
      <c r="G69" s="55" t="n"/>
      <c r="H69" s="54" t="n"/>
      <c r="I69" s="54" t="n"/>
      <c r="J69" s="54" t="n"/>
      <c r="K69" s="56">
        <f>IF(SUM(U69:AY69)=0,"",SUM(U69:AY69))</f>
        <v/>
      </c>
      <c r="L69" s="57">
        <f>IFERROR(INDEX(U$2:AY$2,MATCH(TRUE,U69:AY69&lt;&gt;"",0)),"")</f>
        <v/>
      </c>
      <c r="M69" s="58">
        <f>IFERROR(LOOKUP(2,1/(U69:AY69&lt;&gt;""),U$2:AY$2),"")</f>
        <v/>
      </c>
      <c r="N69" s="59">
        <f>IF(OR(G69="",M69=""),"",G69-M69)</f>
        <v/>
      </c>
      <c r="O69" s="60" t="n"/>
      <c r="P69" s="61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  <c r="AG69" s="62" t="n"/>
      <c r="AH69" s="62" t="n"/>
      <c r="AI69" s="62" t="n"/>
      <c r="AJ69" s="62" t="n"/>
      <c r="AK69" s="62" t="n"/>
      <c r="AL69" s="62" t="n"/>
      <c r="AM69" s="62" t="n"/>
      <c r="AN69" s="62" t="n"/>
      <c r="AO69" s="62" t="n"/>
      <c r="AP69" s="62" t="n"/>
      <c r="AQ69" s="62" t="n"/>
      <c r="AR69" s="62" t="n"/>
      <c r="AS69" s="62" t="n"/>
      <c r="AT69" s="62" t="n"/>
      <c r="AU69" s="62" t="n"/>
      <c r="AV69" s="62" t="n"/>
      <c r="AW69" s="62" t="n"/>
      <c r="AX69" s="62" t="n"/>
      <c r="AY69" s="62" t="n"/>
    </row>
    <row r="70">
      <c r="A70" s="66" t="inlineStr">
        <is>
          <t>마케팅3팀  (71~100행)</t>
        </is>
      </c>
      <c r="U70" s="67" t="n"/>
      <c r="V70" s="67" t="n"/>
      <c r="W70" s="67" t="n"/>
      <c r="X70" s="67" t="n"/>
      <c r="Y70" s="67" t="n"/>
      <c r="Z70" s="67" t="n"/>
      <c r="AA70" s="67" t="n"/>
      <c r="AB70" s="67" t="n"/>
      <c r="AC70" s="67" t="n"/>
      <c r="AD70" s="67" t="n"/>
      <c r="AE70" s="67" t="n"/>
      <c r="AF70" s="67" t="n"/>
      <c r="AG70" s="67" t="n"/>
      <c r="AH70" s="67" t="n"/>
      <c r="AI70" s="67" t="n"/>
      <c r="AJ70" s="67" t="n"/>
      <c r="AK70" s="67" t="n"/>
      <c r="AL70" s="67" t="n"/>
      <c r="AM70" s="67" t="n"/>
      <c r="AN70" s="67" t="n"/>
      <c r="AO70" s="67" t="n"/>
      <c r="AP70" s="67" t="n"/>
      <c r="AQ70" s="67" t="n"/>
      <c r="AR70" s="67" t="n"/>
      <c r="AS70" s="67" t="n"/>
      <c r="AT70" s="67" t="n"/>
      <c r="AU70" s="67" t="n"/>
      <c r="AV70" s="67" t="n"/>
      <c r="AW70" s="67" t="n"/>
      <c r="AX70" s="67" t="n"/>
      <c r="AY70" s="67" t="n"/>
    </row>
    <row r="71">
      <c r="A71" s="38">
        <f>IF(D71="","",COUNTA($D$71:D71))</f>
        <v/>
      </c>
      <c r="B71" s="52" t="n"/>
      <c r="C71" s="68" t="inlineStr">
        <is>
          <t>마케팅3팀</t>
        </is>
      </c>
      <c r="D71" s="52" t="n"/>
      <c r="E71" s="54" t="n"/>
      <c r="F71" s="52" t="n"/>
      <c r="G71" s="55" t="n"/>
      <c r="H71" s="54" t="n"/>
      <c r="I71" s="54" t="n"/>
      <c r="J71" s="54" t="n"/>
      <c r="K71" s="56">
        <f>IF(SUM(U71:AY71)=0,"",SUM(U71:AY71))</f>
        <v/>
      </c>
      <c r="L71" s="57">
        <f>IFERROR(INDEX(U$2:AY$2,MATCH(TRUE,U71:AY71&lt;&gt;"",0)),"")</f>
        <v/>
      </c>
      <c r="M71" s="58">
        <f>IFERROR(LOOKUP(2,1/(U71:AY71&lt;&gt;""),U$2:AY$2),"")</f>
        <v/>
      </c>
      <c r="N71" s="59">
        <f>IF(OR(G71="",M71=""),"",G71-M71)</f>
        <v/>
      </c>
      <c r="O71" s="60" t="n"/>
      <c r="P71" s="61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  <c r="AG71" s="62" t="n"/>
      <c r="AH71" s="62" t="n"/>
      <c r="AI71" s="62" t="n"/>
      <c r="AJ71" s="62" t="n"/>
      <c r="AK71" s="62" t="n"/>
      <c r="AL71" s="62" t="n"/>
      <c r="AM71" s="62" t="n"/>
      <c r="AN71" s="62" t="n"/>
      <c r="AO71" s="62" t="n"/>
      <c r="AP71" s="62" t="n"/>
      <c r="AQ71" s="62" t="n"/>
      <c r="AR71" s="62" t="n"/>
      <c r="AS71" s="62" t="n"/>
      <c r="AT71" s="62" t="n"/>
      <c r="AU71" s="62" t="n"/>
      <c r="AV71" s="62" t="n"/>
      <c r="AW71" s="62" t="n"/>
      <c r="AX71" s="62" t="n"/>
      <c r="AY71" s="62" t="n"/>
    </row>
    <row r="72">
      <c r="A72" s="38">
        <f>IF(D72="","",COUNTA($D$71:D72))</f>
        <v/>
      </c>
      <c r="B72" s="52" t="n"/>
      <c r="C72" s="68" t="inlineStr">
        <is>
          <t>마케팅3팀</t>
        </is>
      </c>
      <c r="D72" s="52" t="n"/>
      <c r="E72" s="54" t="n"/>
      <c r="F72" s="52" t="n"/>
      <c r="G72" s="55" t="n"/>
      <c r="H72" s="54" t="n"/>
      <c r="I72" s="54" t="n"/>
      <c r="J72" s="54" t="n"/>
      <c r="K72" s="56">
        <f>IF(SUM(U72:AY72)=0,"",SUM(U72:AY72))</f>
        <v/>
      </c>
      <c r="L72" s="57">
        <f>IFERROR(INDEX(U$2:AY$2,MATCH(TRUE,U72:AY72&lt;&gt;"",0)),"")</f>
        <v/>
      </c>
      <c r="M72" s="58">
        <f>IFERROR(LOOKUP(2,1/(U72:AY72&lt;&gt;""),U$2:AY$2),"")</f>
        <v/>
      </c>
      <c r="N72" s="59">
        <f>IF(OR(G72="",M72=""),"",G72-M72)</f>
        <v/>
      </c>
      <c r="O72" s="60" t="n"/>
      <c r="P72" s="61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  <c r="AG72" s="62" t="n"/>
      <c r="AH72" s="62" t="n"/>
      <c r="AI72" s="62" t="n"/>
      <c r="AJ72" s="62" t="n"/>
      <c r="AK72" s="62" t="n"/>
      <c r="AL72" s="62" t="n"/>
      <c r="AM72" s="62" t="n"/>
      <c r="AN72" s="62" t="n"/>
      <c r="AO72" s="62" t="n"/>
      <c r="AP72" s="62" t="n"/>
      <c r="AQ72" s="62" t="n"/>
      <c r="AR72" s="62" t="n"/>
      <c r="AS72" s="62" t="n"/>
      <c r="AT72" s="62" t="n"/>
      <c r="AU72" s="62" t="n"/>
      <c r="AV72" s="62" t="n"/>
      <c r="AW72" s="62" t="n"/>
      <c r="AX72" s="62" t="n"/>
      <c r="AY72" s="62" t="n"/>
    </row>
    <row r="73">
      <c r="A73" s="38">
        <f>IF(D73="","",COUNTA($D$71:D73))</f>
        <v/>
      </c>
      <c r="B73" s="52" t="n"/>
      <c r="C73" s="68" t="inlineStr">
        <is>
          <t>마케팅3팀</t>
        </is>
      </c>
      <c r="D73" s="52" t="n"/>
      <c r="E73" s="54" t="n"/>
      <c r="F73" s="52" t="n"/>
      <c r="G73" s="55" t="n"/>
      <c r="H73" s="54" t="n"/>
      <c r="I73" s="54" t="n"/>
      <c r="J73" s="54" t="n"/>
      <c r="K73" s="56">
        <f>IF(SUM(U73:AY73)=0,"",SUM(U73:AY73))</f>
        <v/>
      </c>
      <c r="L73" s="57">
        <f>IFERROR(INDEX(U$2:AY$2,MATCH(TRUE,U73:AY73&lt;&gt;"",0)),"")</f>
        <v/>
      </c>
      <c r="M73" s="58">
        <f>IFERROR(LOOKUP(2,1/(U73:AY73&lt;&gt;""),U$2:AY$2),"")</f>
        <v/>
      </c>
      <c r="N73" s="59">
        <f>IF(OR(G73="",M73=""),"",G73-M73)</f>
        <v/>
      </c>
      <c r="O73" s="60" t="n"/>
      <c r="P73" s="61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  <c r="AG73" s="62" t="n"/>
      <c r="AH73" s="62" t="n"/>
      <c r="AI73" s="62" t="n"/>
      <c r="AJ73" s="62" t="n"/>
      <c r="AK73" s="62" t="n"/>
      <c r="AL73" s="62" t="n"/>
      <c r="AM73" s="62" t="n"/>
      <c r="AN73" s="62" t="n"/>
      <c r="AO73" s="62" t="n"/>
      <c r="AP73" s="62" t="n"/>
      <c r="AQ73" s="62" t="n"/>
      <c r="AR73" s="62" t="n"/>
      <c r="AS73" s="62" t="n"/>
      <c r="AT73" s="62" t="n"/>
      <c r="AU73" s="62" t="n"/>
      <c r="AV73" s="62" t="n"/>
      <c r="AW73" s="62" t="n"/>
      <c r="AX73" s="62" t="n"/>
      <c r="AY73" s="62" t="n"/>
    </row>
    <row r="74">
      <c r="A74" s="38">
        <f>IF(D74="","",COUNTA($D$71:D74))</f>
        <v/>
      </c>
      <c r="B74" s="52" t="n"/>
      <c r="C74" s="68" t="inlineStr">
        <is>
          <t>마케팅3팀</t>
        </is>
      </c>
      <c r="D74" s="52" t="n"/>
      <c r="E74" s="54" t="n"/>
      <c r="F74" s="52" t="n"/>
      <c r="G74" s="55" t="n"/>
      <c r="H74" s="54" t="n"/>
      <c r="I74" s="54" t="n"/>
      <c r="J74" s="54" t="n"/>
      <c r="K74" s="56">
        <f>IF(SUM(U74:AY74)=0,"",SUM(U74:AY74))</f>
        <v/>
      </c>
      <c r="L74" s="57">
        <f>IFERROR(INDEX(U$2:AY$2,MATCH(TRUE,U74:AY74&lt;&gt;"",0)),"")</f>
        <v/>
      </c>
      <c r="M74" s="58">
        <f>IFERROR(LOOKUP(2,1/(U74:AY74&lt;&gt;""),U$2:AY$2),"")</f>
        <v/>
      </c>
      <c r="N74" s="59">
        <f>IF(OR(G74="",M74=""),"",G74-M74)</f>
        <v/>
      </c>
      <c r="O74" s="60" t="n"/>
      <c r="P74" s="61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  <c r="AG74" s="62" t="n"/>
      <c r="AH74" s="62" t="n"/>
      <c r="AI74" s="62" t="n"/>
      <c r="AJ74" s="62" t="n"/>
      <c r="AK74" s="62" t="n"/>
      <c r="AL74" s="62" t="n"/>
      <c r="AM74" s="62" t="n"/>
      <c r="AN74" s="62" t="n"/>
      <c r="AO74" s="62" t="n"/>
      <c r="AP74" s="62" t="n"/>
      <c r="AQ74" s="62" t="n"/>
      <c r="AR74" s="62" t="n"/>
      <c r="AS74" s="62" t="n"/>
      <c r="AT74" s="62" t="n"/>
      <c r="AU74" s="62" t="n"/>
      <c r="AV74" s="62" t="n"/>
      <c r="AW74" s="62" t="n"/>
      <c r="AX74" s="62" t="n"/>
      <c r="AY74" s="62" t="n"/>
    </row>
    <row r="75">
      <c r="A75" s="38">
        <f>IF(D75="","",COUNTA($D$71:D75))</f>
        <v/>
      </c>
      <c r="B75" s="52" t="n"/>
      <c r="C75" s="68" t="inlineStr">
        <is>
          <t>마케팅3팀</t>
        </is>
      </c>
      <c r="D75" s="52" t="n"/>
      <c r="E75" s="54" t="n"/>
      <c r="F75" s="52" t="n"/>
      <c r="G75" s="55" t="n"/>
      <c r="H75" s="54" t="n"/>
      <c r="I75" s="54" t="n"/>
      <c r="J75" s="54" t="n"/>
      <c r="K75" s="56">
        <f>IF(SUM(U75:AY75)=0,"",SUM(U75:AY75))</f>
        <v/>
      </c>
      <c r="L75" s="57">
        <f>IFERROR(INDEX(U$2:AY$2,MATCH(TRUE,U75:AY75&lt;&gt;"",0)),"")</f>
        <v/>
      </c>
      <c r="M75" s="58">
        <f>IFERROR(LOOKUP(2,1/(U75:AY75&lt;&gt;""),U$2:AY$2),"")</f>
        <v/>
      </c>
      <c r="N75" s="59">
        <f>IF(OR(G75="",M75=""),"",G75-M75)</f>
        <v/>
      </c>
      <c r="O75" s="60" t="n"/>
      <c r="P75" s="61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  <c r="AG75" s="62" t="n"/>
      <c r="AH75" s="62" t="n"/>
      <c r="AI75" s="62" t="n"/>
      <c r="AJ75" s="62" t="n"/>
      <c r="AK75" s="62" t="n"/>
      <c r="AL75" s="62" t="n"/>
      <c r="AM75" s="62" t="n"/>
      <c r="AN75" s="62" t="n"/>
      <c r="AO75" s="62" t="n"/>
      <c r="AP75" s="62" t="n"/>
      <c r="AQ75" s="62" t="n"/>
      <c r="AR75" s="62" t="n"/>
      <c r="AS75" s="62" t="n"/>
      <c r="AT75" s="62" t="n"/>
      <c r="AU75" s="62" t="n"/>
      <c r="AV75" s="62" t="n"/>
      <c r="AW75" s="62" t="n"/>
      <c r="AX75" s="62" t="n"/>
      <c r="AY75" s="62" t="n"/>
    </row>
    <row r="76">
      <c r="A76" s="38">
        <f>IF(D76="","",COUNTA($D$71:D76))</f>
        <v/>
      </c>
      <c r="B76" s="52" t="n"/>
      <c r="C76" s="68" t="inlineStr">
        <is>
          <t>마케팅3팀</t>
        </is>
      </c>
      <c r="D76" s="52" t="n"/>
      <c r="E76" s="54" t="n"/>
      <c r="F76" s="52" t="n"/>
      <c r="G76" s="55" t="n"/>
      <c r="H76" s="54" t="n"/>
      <c r="I76" s="54" t="n"/>
      <c r="J76" s="54" t="n"/>
      <c r="K76" s="56">
        <f>IF(SUM(U76:AY76)=0,"",SUM(U76:AY76))</f>
        <v/>
      </c>
      <c r="L76" s="57">
        <f>IFERROR(INDEX(U$2:AY$2,MATCH(TRUE,U76:AY76&lt;&gt;"",0)),"")</f>
        <v/>
      </c>
      <c r="M76" s="58">
        <f>IFERROR(LOOKUP(2,1/(U76:AY76&lt;&gt;""),U$2:AY$2),"")</f>
        <v/>
      </c>
      <c r="N76" s="59">
        <f>IF(OR(G76="",M76=""),"",G76-M76)</f>
        <v/>
      </c>
      <c r="O76" s="60" t="n"/>
      <c r="P76" s="61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  <c r="AG76" s="62" t="n"/>
      <c r="AH76" s="62" t="n"/>
      <c r="AI76" s="62" t="n"/>
      <c r="AJ76" s="62" t="n"/>
      <c r="AK76" s="62" t="n"/>
      <c r="AL76" s="62" t="n"/>
      <c r="AM76" s="62" t="n"/>
      <c r="AN76" s="62" t="n"/>
      <c r="AO76" s="62" t="n"/>
      <c r="AP76" s="62" t="n"/>
      <c r="AQ76" s="62" t="n"/>
      <c r="AR76" s="62" t="n"/>
      <c r="AS76" s="62" t="n"/>
      <c r="AT76" s="62" t="n"/>
      <c r="AU76" s="62" t="n"/>
      <c r="AV76" s="62" t="n"/>
      <c r="AW76" s="62" t="n"/>
      <c r="AX76" s="62" t="n"/>
      <c r="AY76" s="62" t="n"/>
    </row>
    <row r="77">
      <c r="A77" s="38">
        <f>IF(D77="","",COUNTA($D$71:D77))</f>
        <v/>
      </c>
      <c r="B77" s="52" t="n"/>
      <c r="C77" s="68" t="inlineStr">
        <is>
          <t>마케팅3팀</t>
        </is>
      </c>
      <c r="D77" s="52" t="n"/>
      <c r="E77" s="54" t="n"/>
      <c r="F77" s="52" t="n"/>
      <c r="G77" s="55" t="n"/>
      <c r="H77" s="54" t="n"/>
      <c r="I77" s="54" t="n"/>
      <c r="J77" s="54" t="n"/>
      <c r="K77" s="56">
        <f>IF(SUM(U77:AY77)=0,"",SUM(U77:AY77))</f>
        <v/>
      </c>
      <c r="L77" s="57">
        <f>IFERROR(INDEX(U$2:AY$2,MATCH(TRUE,U77:AY77&lt;&gt;"",0)),"")</f>
        <v/>
      </c>
      <c r="M77" s="58">
        <f>IFERROR(LOOKUP(2,1/(U77:AY77&lt;&gt;""),U$2:AY$2),"")</f>
        <v/>
      </c>
      <c r="N77" s="59">
        <f>IF(OR(G77="",M77=""),"",G77-M77)</f>
        <v/>
      </c>
      <c r="O77" s="60" t="n"/>
      <c r="P77" s="61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  <c r="AG77" s="62" t="n"/>
      <c r="AH77" s="62" t="n"/>
      <c r="AI77" s="62" t="n"/>
      <c r="AJ77" s="62" t="n"/>
      <c r="AK77" s="62" t="n"/>
      <c r="AL77" s="62" t="n"/>
      <c r="AM77" s="62" t="n"/>
      <c r="AN77" s="62" t="n"/>
      <c r="AO77" s="62" t="n"/>
      <c r="AP77" s="62" t="n"/>
      <c r="AQ77" s="62" t="n"/>
      <c r="AR77" s="62" t="n"/>
      <c r="AS77" s="62" t="n"/>
      <c r="AT77" s="62" t="n"/>
      <c r="AU77" s="62" t="n"/>
      <c r="AV77" s="62" t="n"/>
      <c r="AW77" s="62" t="n"/>
      <c r="AX77" s="62" t="n"/>
      <c r="AY77" s="62" t="n"/>
    </row>
    <row r="78">
      <c r="A78" s="38">
        <f>IF(D78="","",COUNTA($D$71:D78))</f>
        <v/>
      </c>
      <c r="B78" s="52" t="n"/>
      <c r="C78" s="68" t="inlineStr">
        <is>
          <t>마케팅3팀</t>
        </is>
      </c>
      <c r="D78" s="52" t="n"/>
      <c r="E78" s="54" t="n"/>
      <c r="F78" s="52" t="n"/>
      <c r="G78" s="55" t="n"/>
      <c r="H78" s="54" t="n"/>
      <c r="I78" s="54" t="n"/>
      <c r="J78" s="54" t="n"/>
      <c r="K78" s="56">
        <f>IF(SUM(U78:AY78)=0,"",SUM(U78:AY78))</f>
        <v/>
      </c>
      <c r="L78" s="57">
        <f>IFERROR(INDEX(U$2:AY$2,MATCH(TRUE,U78:AY78&lt;&gt;"",0)),"")</f>
        <v/>
      </c>
      <c r="M78" s="58">
        <f>IFERROR(LOOKUP(2,1/(U78:AY78&lt;&gt;""),U$2:AY$2),"")</f>
        <v/>
      </c>
      <c r="N78" s="59">
        <f>IF(OR(G78="",M78=""),"",G78-M78)</f>
        <v/>
      </c>
      <c r="O78" s="60" t="n"/>
      <c r="P78" s="61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  <c r="AG78" s="62" t="n"/>
      <c r="AH78" s="62" t="n"/>
      <c r="AI78" s="62" t="n"/>
      <c r="AJ78" s="62" t="n"/>
      <c r="AK78" s="62" t="n"/>
      <c r="AL78" s="62" t="n"/>
      <c r="AM78" s="62" t="n"/>
      <c r="AN78" s="62" t="n"/>
      <c r="AO78" s="62" t="n"/>
      <c r="AP78" s="62" t="n"/>
      <c r="AQ78" s="62" t="n"/>
      <c r="AR78" s="62" t="n"/>
      <c r="AS78" s="62" t="n"/>
      <c r="AT78" s="62" t="n"/>
      <c r="AU78" s="62" t="n"/>
      <c r="AV78" s="62" t="n"/>
      <c r="AW78" s="62" t="n"/>
      <c r="AX78" s="62" t="n"/>
      <c r="AY78" s="62" t="n"/>
    </row>
    <row r="79">
      <c r="A79" s="38">
        <f>IF(D79="","",COUNTA($D$71:D79))</f>
        <v/>
      </c>
      <c r="B79" s="52" t="n"/>
      <c r="C79" s="68" t="inlineStr">
        <is>
          <t>마케팅3팀</t>
        </is>
      </c>
      <c r="D79" s="52" t="n"/>
      <c r="E79" s="54" t="n"/>
      <c r="F79" s="52" t="n"/>
      <c r="G79" s="55" t="n"/>
      <c r="H79" s="54" t="n"/>
      <c r="I79" s="54" t="n"/>
      <c r="J79" s="54" t="n"/>
      <c r="K79" s="56">
        <f>IF(SUM(U79:AY79)=0,"",SUM(U79:AY79))</f>
        <v/>
      </c>
      <c r="L79" s="57">
        <f>IFERROR(INDEX(U$2:AY$2,MATCH(TRUE,U79:AY79&lt;&gt;"",0)),"")</f>
        <v/>
      </c>
      <c r="M79" s="58">
        <f>IFERROR(LOOKUP(2,1/(U79:AY79&lt;&gt;""),U$2:AY$2),"")</f>
        <v/>
      </c>
      <c r="N79" s="59">
        <f>IF(OR(G79="",M79=""),"",G79-M79)</f>
        <v/>
      </c>
      <c r="O79" s="60" t="n"/>
      <c r="P79" s="61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  <c r="AG79" s="62" t="n"/>
      <c r="AH79" s="62" t="n"/>
      <c r="AI79" s="62" t="n"/>
      <c r="AJ79" s="62" t="n"/>
      <c r="AK79" s="62" t="n"/>
      <c r="AL79" s="62" t="n"/>
      <c r="AM79" s="62" t="n"/>
      <c r="AN79" s="62" t="n"/>
      <c r="AO79" s="62" t="n"/>
      <c r="AP79" s="62" t="n"/>
      <c r="AQ79" s="62" t="n"/>
      <c r="AR79" s="62" t="n"/>
      <c r="AS79" s="62" t="n"/>
      <c r="AT79" s="62" t="n"/>
      <c r="AU79" s="62" t="n"/>
      <c r="AV79" s="62" t="n"/>
      <c r="AW79" s="62" t="n"/>
      <c r="AX79" s="62" t="n"/>
      <c r="AY79" s="62" t="n"/>
    </row>
    <row r="80">
      <c r="A80" s="38">
        <f>IF(D80="","",COUNTA($D$71:D80))</f>
        <v/>
      </c>
      <c r="B80" s="52" t="n"/>
      <c r="C80" s="68" t="inlineStr">
        <is>
          <t>마케팅3팀</t>
        </is>
      </c>
      <c r="D80" s="52" t="n"/>
      <c r="E80" s="54" t="n"/>
      <c r="F80" s="52" t="n"/>
      <c r="G80" s="55" t="n"/>
      <c r="H80" s="54" t="n"/>
      <c r="I80" s="54" t="n"/>
      <c r="J80" s="54" t="n"/>
      <c r="K80" s="56">
        <f>IF(SUM(U80:AY80)=0,"",SUM(U80:AY80))</f>
        <v/>
      </c>
      <c r="L80" s="57">
        <f>IFERROR(INDEX(U$2:AY$2,MATCH(TRUE,U80:AY80&lt;&gt;"",0)),"")</f>
        <v/>
      </c>
      <c r="M80" s="58">
        <f>IFERROR(LOOKUP(2,1/(U80:AY80&lt;&gt;""),U$2:AY$2),"")</f>
        <v/>
      </c>
      <c r="N80" s="59">
        <f>IF(OR(G80="",M80=""),"",G80-M80)</f>
        <v/>
      </c>
      <c r="O80" s="60" t="n"/>
      <c r="P80" s="61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  <c r="AG80" s="62" t="n"/>
      <c r="AH80" s="62" t="n"/>
      <c r="AI80" s="62" t="n"/>
      <c r="AJ80" s="62" t="n"/>
      <c r="AK80" s="62" t="n"/>
      <c r="AL80" s="62" t="n"/>
      <c r="AM80" s="62" t="n"/>
      <c r="AN80" s="62" t="n"/>
      <c r="AO80" s="62" t="n"/>
      <c r="AP80" s="62" t="n"/>
      <c r="AQ80" s="62" t="n"/>
      <c r="AR80" s="62" t="n"/>
      <c r="AS80" s="62" t="n"/>
      <c r="AT80" s="62" t="n"/>
      <c r="AU80" s="62" t="n"/>
      <c r="AV80" s="62" t="n"/>
      <c r="AW80" s="62" t="n"/>
      <c r="AX80" s="62" t="n"/>
      <c r="AY80" s="62" t="n"/>
    </row>
    <row r="81">
      <c r="A81" s="38">
        <f>IF(D81="","",COUNTA($D$71:D81))</f>
        <v/>
      </c>
      <c r="B81" s="52" t="n"/>
      <c r="C81" s="68" t="inlineStr">
        <is>
          <t>마케팅3팀</t>
        </is>
      </c>
      <c r="D81" s="52" t="n"/>
      <c r="E81" s="54" t="n"/>
      <c r="F81" s="52" t="n"/>
      <c r="G81" s="55" t="n"/>
      <c r="H81" s="54" t="n"/>
      <c r="I81" s="54" t="n"/>
      <c r="J81" s="54" t="n"/>
      <c r="K81" s="56">
        <f>IF(SUM(U81:AY81)=0,"",SUM(U81:AY81))</f>
        <v/>
      </c>
      <c r="L81" s="57">
        <f>IFERROR(INDEX(U$2:AY$2,MATCH(TRUE,U81:AY81&lt;&gt;"",0)),"")</f>
        <v/>
      </c>
      <c r="M81" s="58">
        <f>IFERROR(LOOKUP(2,1/(U81:AY81&lt;&gt;""),U$2:AY$2),"")</f>
        <v/>
      </c>
      <c r="N81" s="59">
        <f>IF(OR(G81="",M81=""),"",G81-M81)</f>
        <v/>
      </c>
      <c r="O81" s="60" t="n"/>
      <c r="P81" s="61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  <c r="AG81" s="62" t="n"/>
      <c r="AH81" s="62" t="n"/>
      <c r="AI81" s="62" t="n"/>
      <c r="AJ81" s="62" t="n"/>
      <c r="AK81" s="62" t="n"/>
      <c r="AL81" s="62" t="n"/>
      <c r="AM81" s="62" t="n"/>
      <c r="AN81" s="62" t="n"/>
      <c r="AO81" s="62" t="n"/>
      <c r="AP81" s="62" t="n"/>
      <c r="AQ81" s="62" t="n"/>
      <c r="AR81" s="62" t="n"/>
      <c r="AS81" s="62" t="n"/>
      <c r="AT81" s="62" t="n"/>
      <c r="AU81" s="62" t="n"/>
      <c r="AV81" s="62" t="n"/>
      <c r="AW81" s="62" t="n"/>
      <c r="AX81" s="62" t="n"/>
      <c r="AY81" s="62" t="n"/>
    </row>
    <row r="82">
      <c r="A82" s="38">
        <f>IF(D82="","",COUNTA($D$71:D82))</f>
        <v/>
      </c>
      <c r="B82" s="52" t="n"/>
      <c r="C82" s="68" t="inlineStr">
        <is>
          <t>마케팅3팀</t>
        </is>
      </c>
      <c r="D82" s="52" t="n"/>
      <c r="E82" s="54" t="n"/>
      <c r="F82" s="52" t="n"/>
      <c r="G82" s="55" t="n"/>
      <c r="H82" s="54" t="n"/>
      <c r="I82" s="54" t="n"/>
      <c r="J82" s="54" t="n"/>
      <c r="K82" s="56">
        <f>IF(SUM(U82:AY82)=0,"",SUM(U82:AY82))</f>
        <v/>
      </c>
      <c r="L82" s="57">
        <f>IFERROR(INDEX(U$2:AY$2,MATCH(TRUE,U82:AY82&lt;&gt;"",0)),"")</f>
        <v/>
      </c>
      <c r="M82" s="58">
        <f>IFERROR(LOOKUP(2,1/(U82:AY82&lt;&gt;""),U$2:AY$2),"")</f>
        <v/>
      </c>
      <c r="N82" s="59">
        <f>IF(OR(G82="",M82=""),"",G82-M82)</f>
        <v/>
      </c>
      <c r="O82" s="60" t="n"/>
      <c r="P82" s="61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  <c r="AG82" s="62" t="n"/>
      <c r="AH82" s="62" t="n"/>
      <c r="AI82" s="62" t="n"/>
      <c r="AJ82" s="62" t="n"/>
      <c r="AK82" s="62" t="n"/>
      <c r="AL82" s="62" t="n"/>
      <c r="AM82" s="62" t="n"/>
      <c r="AN82" s="62" t="n"/>
      <c r="AO82" s="62" t="n"/>
      <c r="AP82" s="62" t="n"/>
      <c r="AQ82" s="62" t="n"/>
      <c r="AR82" s="62" t="n"/>
      <c r="AS82" s="62" t="n"/>
      <c r="AT82" s="62" t="n"/>
      <c r="AU82" s="62" t="n"/>
      <c r="AV82" s="62" t="n"/>
      <c r="AW82" s="62" t="n"/>
      <c r="AX82" s="62" t="n"/>
      <c r="AY82" s="62" t="n"/>
    </row>
    <row r="83">
      <c r="A83" s="38">
        <f>IF(D83="","",COUNTA($D$71:D83))</f>
        <v/>
      </c>
      <c r="B83" s="52" t="n"/>
      <c r="C83" s="68" t="inlineStr">
        <is>
          <t>마케팅3팀</t>
        </is>
      </c>
      <c r="D83" s="52" t="n"/>
      <c r="E83" s="54" t="n"/>
      <c r="F83" s="52" t="n"/>
      <c r="G83" s="55" t="n"/>
      <c r="H83" s="54" t="n"/>
      <c r="I83" s="54" t="n"/>
      <c r="J83" s="54" t="n"/>
      <c r="K83" s="56">
        <f>IF(SUM(U83:AY83)=0,"",SUM(U83:AY83))</f>
        <v/>
      </c>
      <c r="L83" s="57">
        <f>IFERROR(INDEX(U$2:AY$2,MATCH(TRUE,U83:AY83&lt;&gt;"",0)),"")</f>
        <v/>
      </c>
      <c r="M83" s="58">
        <f>IFERROR(LOOKUP(2,1/(U83:AY83&lt;&gt;""),U$2:AY$2),"")</f>
        <v/>
      </c>
      <c r="N83" s="59">
        <f>IF(OR(G83="",M83=""),"",G83-M83)</f>
        <v/>
      </c>
      <c r="O83" s="60" t="n"/>
      <c r="P83" s="61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  <c r="AG83" s="62" t="n"/>
      <c r="AH83" s="62" t="n"/>
      <c r="AI83" s="62" t="n"/>
      <c r="AJ83" s="62" t="n"/>
      <c r="AK83" s="62" t="n"/>
      <c r="AL83" s="62" t="n"/>
      <c r="AM83" s="62" t="n"/>
      <c r="AN83" s="62" t="n"/>
      <c r="AO83" s="62" t="n"/>
      <c r="AP83" s="62" t="n"/>
      <c r="AQ83" s="62" t="n"/>
      <c r="AR83" s="62" t="n"/>
      <c r="AS83" s="62" t="n"/>
      <c r="AT83" s="62" t="n"/>
      <c r="AU83" s="62" t="n"/>
      <c r="AV83" s="62" t="n"/>
      <c r="AW83" s="62" t="n"/>
      <c r="AX83" s="62" t="n"/>
      <c r="AY83" s="62" t="n"/>
    </row>
    <row r="84">
      <c r="A84" s="38">
        <f>IF(D84="","",COUNTA($D$71:D84))</f>
        <v/>
      </c>
      <c r="B84" s="52" t="n"/>
      <c r="C84" s="68" t="inlineStr">
        <is>
          <t>마케팅3팀</t>
        </is>
      </c>
      <c r="D84" s="52" t="n"/>
      <c r="E84" s="54" t="n"/>
      <c r="F84" s="52" t="n"/>
      <c r="G84" s="55" t="n"/>
      <c r="H84" s="54" t="n"/>
      <c r="I84" s="54" t="n"/>
      <c r="J84" s="54" t="n"/>
      <c r="K84" s="56">
        <f>IF(SUM(U84:AY84)=0,"",SUM(U84:AY84))</f>
        <v/>
      </c>
      <c r="L84" s="57">
        <f>IFERROR(INDEX(U$2:AY$2,MATCH(TRUE,U84:AY84&lt;&gt;"",0)),"")</f>
        <v/>
      </c>
      <c r="M84" s="58">
        <f>IFERROR(LOOKUP(2,1/(U84:AY84&lt;&gt;""),U$2:AY$2),"")</f>
        <v/>
      </c>
      <c r="N84" s="59">
        <f>IF(OR(G84="",M84=""),"",G84-M84)</f>
        <v/>
      </c>
      <c r="O84" s="60" t="n"/>
      <c r="P84" s="61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  <c r="AG84" s="62" t="n"/>
      <c r="AH84" s="62" t="n"/>
      <c r="AI84" s="62" t="n"/>
      <c r="AJ84" s="62" t="n"/>
      <c r="AK84" s="62" t="n"/>
      <c r="AL84" s="62" t="n"/>
      <c r="AM84" s="62" t="n"/>
      <c r="AN84" s="62" t="n"/>
      <c r="AO84" s="62" t="n"/>
      <c r="AP84" s="62" t="n"/>
      <c r="AQ84" s="62" t="n"/>
      <c r="AR84" s="62" t="n"/>
      <c r="AS84" s="62" t="n"/>
      <c r="AT84" s="62" t="n"/>
      <c r="AU84" s="62" t="n"/>
      <c r="AV84" s="62" t="n"/>
      <c r="AW84" s="62" t="n"/>
      <c r="AX84" s="62" t="n"/>
      <c r="AY84" s="62" t="n"/>
    </row>
    <row r="85">
      <c r="A85" s="38">
        <f>IF(D85="","",COUNTA($D$71:D85))</f>
        <v/>
      </c>
      <c r="B85" s="52" t="n"/>
      <c r="C85" s="68" t="inlineStr">
        <is>
          <t>마케팅3팀</t>
        </is>
      </c>
      <c r="D85" s="52" t="n"/>
      <c r="E85" s="54" t="n"/>
      <c r="F85" s="52" t="n"/>
      <c r="G85" s="55" t="n"/>
      <c r="H85" s="54" t="n"/>
      <c r="I85" s="54" t="n"/>
      <c r="J85" s="54" t="n"/>
      <c r="K85" s="56">
        <f>IF(SUM(U85:AY85)=0,"",SUM(U85:AY85))</f>
        <v/>
      </c>
      <c r="L85" s="57">
        <f>IFERROR(INDEX(U$2:AY$2,MATCH(TRUE,U85:AY85&lt;&gt;"",0)),"")</f>
        <v/>
      </c>
      <c r="M85" s="58">
        <f>IFERROR(LOOKUP(2,1/(U85:AY85&lt;&gt;""),U$2:AY$2),"")</f>
        <v/>
      </c>
      <c r="N85" s="59">
        <f>IF(OR(G85="",M85=""),"",G85-M85)</f>
        <v/>
      </c>
      <c r="O85" s="60" t="n"/>
      <c r="P85" s="61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  <c r="AG85" s="62" t="n"/>
      <c r="AH85" s="62" t="n"/>
      <c r="AI85" s="62" t="n"/>
      <c r="AJ85" s="62" t="n"/>
      <c r="AK85" s="62" t="n"/>
      <c r="AL85" s="62" t="n"/>
      <c r="AM85" s="62" t="n"/>
      <c r="AN85" s="62" t="n"/>
      <c r="AO85" s="62" t="n"/>
      <c r="AP85" s="62" t="n"/>
      <c r="AQ85" s="62" t="n"/>
      <c r="AR85" s="62" t="n"/>
      <c r="AS85" s="62" t="n"/>
      <c r="AT85" s="62" t="n"/>
      <c r="AU85" s="62" t="n"/>
      <c r="AV85" s="62" t="n"/>
      <c r="AW85" s="62" t="n"/>
      <c r="AX85" s="62" t="n"/>
      <c r="AY85" s="62" t="n"/>
    </row>
    <row r="86">
      <c r="A86" s="38">
        <f>IF(D86="","",COUNTA($D$71:D86))</f>
        <v/>
      </c>
      <c r="B86" s="52" t="n"/>
      <c r="C86" s="68" t="inlineStr">
        <is>
          <t>마케팅3팀</t>
        </is>
      </c>
      <c r="D86" s="52" t="n"/>
      <c r="E86" s="54" t="n"/>
      <c r="F86" s="52" t="n"/>
      <c r="G86" s="55" t="n"/>
      <c r="H86" s="54" t="n"/>
      <c r="I86" s="54" t="n"/>
      <c r="J86" s="54" t="n"/>
      <c r="K86" s="56">
        <f>IF(SUM(U86:AY86)=0,"",SUM(U86:AY86))</f>
        <v/>
      </c>
      <c r="L86" s="57">
        <f>IFERROR(INDEX(U$2:AY$2,MATCH(TRUE,U86:AY86&lt;&gt;"",0)),"")</f>
        <v/>
      </c>
      <c r="M86" s="58">
        <f>IFERROR(LOOKUP(2,1/(U86:AY86&lt;&gt;""),U$2:AY$2),"")</f>
        <v/>
      </c>
      <c r="N86" s="59">
        <f>IF(OR(G86="",M86=""),"",G86-M86)</f>
        <v/>
      </c>
      <c r="O86" s="60" t="n"/>
      <c r="P86" s="61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  <c r="AG86" s="62" t="n"/>
      <c r="AH86" s="62" t="n"/>
      <c r="AI86" s="62" t="n"/>
      <c r="AJ86" s="62" t="n"/>
      <c r="AK86" s="62" t="n"/>
      <c r="AL86" s="62" t="n"/>
      <c r="AM86" s="62" t="n"/>
      <c r="AN86" s="62" t="n"/>
      <c r="AO86" s="62" t="n"/>
      <c r="AP86" s="62" t="n"/>
      <c r="AQ86" s="62" t="n"/>
      <c r="AR86" s="62" t="n"/>
      <c r="AS86" s="62" t="n"/>
      <c r="AT86" s="62" t="n"/>
      <c r="AU86" s="62" t="n"/>
      <c r="AV86" s="62" t="n"/>
      <c r="AW86" s="62" t="n"/>
      <c r="AX86" s="62" t="n"/>
      <c r="AY86" s="62" t="n"/>
    </row>
    <row r="87">
      <c r="A87" s="38">
        <f>IF(D87="","",COUNTA($D$71:D87))</f>
        <v/>
      </c>
      <c r="B87" s="52" t="n"/>
      <c r="C87" s="68" t="inlineStr">
        <is>
          <t>마케팅3팀</t>
        </is>
      </c>
      <c r="D87" s="52" t="n"/>
      <c r="E87" s="54" t="n"/>
      <c r="F87" s="52" t="n"/>
      <c r="G87" s="55" t="n"/>
      <c r="H87" s="54" t="n"/>
      <c r="I87" s="54" t="n"/>
      <c r="J87" s="54" t="n"/>
      <c r="K87" s="56">
        <f>IF(SUM(U87:AY87)=0,"",SUM(U87:AY87))</f>
        <v/>
      </c>
      <c r="L87" s="57">
        <f>IFERROR(INDEX(U$2:AY$2,MATCH(TRUE,U87:AY87&lt;&gt;"",0)),"")</f>
        <v/>
      </c>
      <c r="M87" s="58">
        <f>IFERROR(LOOKUP(2,1/(U87:AY87&lt;&gt;""),U$2:AY$2),"")</f>
        <v/>
      </c>
      <c r="N87" s="59">
        <f>IF(OR(G87="",M87=""),"",G87-M87)</f>
        <v/>
      </c>
      <c r="O87" s="60" t="n"/>
      <c r="P87" s="61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  <c r="AG87" s="62" t="n"/>
      <c r="AH87" s="62" t="n"/>
      <c r="AI87" s="62" t="n"/>
      <c r="AJ87" s="62" t="n"/>
      <c r="AK87" s="62" t="n"/>
      <c r="AL87" s="62" t="n"/>
      <c r="AM87" s="62" t="n"/>
      <c r="AN87" s="62" t="n"/>
      <c r="AO87" s="62" t="n"/>
      <c r="AP87" s="62" t="n"/>
      <c r="AQ87" s="62" t="n"/>
      <c r="AR87" s="62" t="n"/>
      <c r="AS87" s="62" t="n"/>
      <c r="AT87" s="62" t="n"/>
      <c r="AU87" s="62" t="n"/>
      <c r="AV87" s="62" t="n"/>
      <c r="AW87" s="62" t="n"/>
      <c r="AX87" s="62" t="n"/>
      <c r="AY87" s="62" t="n"/>
    </row>
    <row r="88">
      <c r="A88" s="38">
        <f>IF(D88="","",COUNTA($D$71:D88))</f>
        <v/>
      </c>
      <c r="B88" s="52" t="n"/>
      <c r="C88" s="68" t="inlineStr">
        <is>
          <t>마케팅3팀</t>
        </is>
      </c>
      <c r="D88" s="52" t="n"/>
      <c r="E88" s="54" t="n"/>
      <c r="F88" s="52" t="n"/>
      <c r="G88" s="55" t="n"/>
      <c r="H88" s="54" t="n"/>
      <c r="I88" s="54" t="n"/>
      <c r="J88" s="54" t="n"/>
      <c r="K88" s="56">
        <f>IF(SUM(U88:AY88)=0,"",SUM(U88:AY88))</f>
        <v/>
      </c>
      <c r="L88" s="57">
        <f>IFERROR(INDEX(U$2:AY$2,MATCH(TRUE,U88:AY88&lt;&gt;"",0)),"")</f>
        <v/>
      </c>
      <c r="M88" s="58">
        <f>IFERROR(LOOKUP(2,1/(U88:AY88&lt;&gt;""),U$2:AY$2),"")</f>
        <v/>
      </c>
      <c r="N88" s="59">
        <f>IF(OR(G88="",M88=""),"",G88-M88)</f>
        <v/>
      </c>
      <c r="O88" s="60" t="n"/>
      <c r="P88" s="61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  <c r="AG88" s="62" t="n"/>
      <c r="AH88" s="62" t="n"/>
      <c r="AI88" s="62" t="n"/>
      <c r="AJ88" s="62" t="n"/>
      <c r="AK88" s="62" t="n"/>
      <c r="AL88" s="62" t="n"/>
      <c r="AM88" s="62" t="n"/>
      <c r="AN88" s="62" t="n"/>
      <c r="AO88" s="62" t="n"/>
      <c r="AP88" s="62" t="n"/>
      <c r="AQ88" s="62" t="n"/>
      <c r="AR88" s="62" t="n"/>
      <c r="AS88" s="62" t="n"/>
      <c r="AT88" s="62" t="n"/>
      <c r="AU88" s="62" t="n"/>
      <c r="AV88" s="62" t="n"/>
      <c r="AW88" s="62" t="n"/>
      <c r="AX88" s="62" t="n"/>
      <c r="AY88" s="62" t="n"/>
    </row>
    <row r="89">
      <c r="A89" s="38">
        <f>IF(D89="","",COUNTA($D$71:D89))</f>
        <v/>
      </c>
      <c r="B89" s="52" t="n"/>
      <c r="C89" s="68" t="inlineStr">
        <is>
          <t>마케팅3팀</t>
        </is>
      </c>
      <c r="D89" s="52" t="n"/>
      <c r="E89" s="54" t="n"/>
      <c r="F89" s="52" t="n"/>
      <c r="G89" s="55" t="n"/>
      <c r="H89" s="54" t="n"/>
      <c r="I89" s="54" t="n"/>
      <c r="J89" s="54" t="n"/>
      <c r="K89" s="56">
        <f>IF(SUM(U89:AY89)=0,"",SUM(U89:AY89))</f>
        <v/>
      </c>
      <c r="L89" s="57">
        <f>IFERROR(INDEX(U$2:AY$2,MATCH(TRUE,U89:AY89&lt;&gt;"",0)),"")</f>
        <v/>
      </c>
      <c r="M89" s="58">
        <f>IFERROR(LOOKUP(2,1/(U89:AY89&lt;&gt;""),U$2:AY$2),"")</f>
        <v/>
      </c>
      <c r="N89" s="59">
        <f>IF(OR(G89="",M89=""),"",G89-M89)</f>
        <v/>
      </c>
      <c r="O89" s="60" t="n"/>
      <c r="P89" s="61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  <c r="AG89" s="62" t="n"/>
      <c r="AH89" s="62" t="n"/>
      <c r="AI89" s="62" t="n"/>
      <c r="AJ89" s="62" t="n"/>
      <c r="AK89" s="62" t="n"/>
      <c r="AL89" s="62" t="n"/>
      <c r="AM89" s="62" t="n"/>
      <c r="AN89" s="62" t="n"/>
      <c r="AO89" s="62" t="n"/>
      <c r="AP89" s="62" t="n"/>
      <c r="AQ89" s="62" t="n"/>
      <c r="AR89" s="62" t="n"/>
      <c r="AS89" s="62" t="n"/>
      <c r="AT89" s="62" t="n"/>
      <c r="AU89" s="62" t="n"/>
      <c r="AV89" s="62" t="n"/>
      <c r="AW89" s="62" t="n"/>
      <c r="AX89" s="62" t="n"/>
      <c r="AY89" s="62" t="n"/>
    </row>
    <row r="90">
      <c r="A90" s="38">
        <f>IF(D90="","",COUNTA($D$71:D90))</f>
        <v/>
      </c>
      <c r="B90" s="52" t="n"/>
      <c r="C90" s="68" t="inlineStr">
        <is>
          <t>마케팅3팀</t>
        </is>
      </c>
      <c r="D90" s="52" t="n"/>
      <c r="E90" s="54" t="n"/>
      <c r="F90" s="52" t="n"/>
      <c r="G90" s="55" t="n"/>
      <c r="H90" s="54" t="n"/>
      <c r="I90" s="54" t="n"/>
      <c r="J90" s="54" t="n"/>
      <c r="K90" s="56">
        <f>IF(SUM(U90:AY90)=0,"",SUM(U90:AY90))</f>
        <v/>
      </c>
      <c r="L90" s="57">
        <f>IFERROR(INDEX(U$2:AY$2,MATCH(TRUE,U90:AY90&lt;&gt;"",0)),"")</f>
        <v/>
      </c>
      <c r="M90" s="58">
        <f>IFERROR(LOOKUP(2,1/(U90:AY90&lt;&gt;""),U$2:AY$2),"")</f>
        <v/>
      </c>
      <c r="N90" s="59">
        <f>IF(OR(G90="",M90=""),"",G90-M90)</f>
        <v/>
      </c>
      <c r="O90" s="60" t="n"/>
      <c r="P90" s="61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  <c r="AG90" s="62" t="n"/>
      <c r="AH90" s="62" t="n"/>
      <c r="AI90" s="62" t="n"/>
      <c r="AJ90" s="62" t="n"/>
      <c r="AK90" s="62" t="n"/>
      <c r="AL90" s="62" t="n"/>
      <c r="AM90" s="62" t="n"/>
      <c r="AN90" s="62" t="n"/>
      <c r="AO90" s="62" t="n"/>
      <c r="AP90" s="62" t="n"/>
      <c r="AQ90" s="62" t="n"/>
      <c r="AR90" s="62" t="n"/>
      <c r="AS90" s="62" t="n"/>
      <c r="AT90" s="62" t="n"/>
      <c r="AU90" s="62" t="n"/>
      <c r="AV90" s="62" t="n"/>
      <c r="AW90" s="62" t="n"/>
      <c r="AX90" s="62" t="n"/>
      <c r="AY90" s="62" t="n"/>
    </row>
    <row r="91">
      <c r="A91" s="38">
        <f>IF(D91="","",COUNTA($D$71:D91))</f>
        <v/>
      </c>
      <c r="B91" s="52" t="n"/>
      <c r="C91" s="68" t="inlineStr">
        <is>
          <t>마케팅3팀</t>
        </is>
      </c>
      <c r="D91" s="52" t="n"/>
      <c r="E91" s="54" t="n"/>
      <c r="F91" s="52" t="n"/>
      <c r="G91" s="55" t="n"/>
      <c r="H91" s="54" t="n"/>
      <c r="I91" s="54" t="n"/>
      <c r="J91" s="54" t="n"/>
      <c r="K91" s="56">
        <f>IF(SUM(U91:AY91)=0,"",SUM(U91:AY91))</f>
        <v/>
      </c>
      <c r="L91" s="57">
        <f>IFERROR(INDEX(U$2:AY$2,MATCH(TRUE,U91:AY91&lt;&gt;"",0)),"")</f>
        <v/>
      </c>
      <c r="M91" s="58">
        <f>IFERROR(LOOKUP(2,1/(U91:AY91&lt;&gt;""),U$2:AY$2),"")</f>
        <v/>
      </c>
      <c r="N91" s="59">
        <f>IF(OR(G91="",M91=""),"",G91-M91)</f>
        <v/>
      </c>
      <c r="O91" s="60" t="n"/>
      <c r="P91" s="61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  <c r="AG91" s="62" t="n"/>
      <c r="AH91" s="62" t="n"/>
      <c r="AI91" s="62" t="n"/>
      <c r="AJ91" s="62" t="n"/>
      <c r="AK91" s="62" t="n"/>
      <c r="AL91" s="62" t="n"/>
      <c r="AM91" s="62" t="n"/>
      <c r="AN91" s="62" t="n"/>
      <c r="AO91" s="62" t="n"/>
      <c r="AP91" s="62" t="n"/>
      <c r="AQ91" s="62" t="n"/>
      <c r="AR91" s="62" t="n"/>
      <c r="AS91" s="62" t="n"/>
      <c r="AT91" s="62" t="n"/>
      <c r="AU91" s="62" t="n"/>
      <c r="AV91" s="62" t="n"/>
      <c r="AW91" s="62" t="n"/>
      <c r="AX91" s="62" t="n"/>
      <c r="AY91" s="62" t="n"/>
    </row>
    <row r="92">
      <c r="A92" s="38">
        <f>IF(D92="","",COUNTA($D$71:D92))</f>
        <v/>
      </c>
      <c r="B92" s="52" t="n"/>
      <c r="C92" s="68" t="inlineStr">
        <is>
          <t>마케팅3팀</t>
        </is>
      </c>
      <c r="D92" s="52" t="n"/>
      <c r="E92" s="54" t="n"/>
      <c r="F92" s="52" t="n"/>
      <c r="G92" s="55" t="n"/>
      <c r="H92" s="54" t="n"/>
      <c r="I92" s="54" t="n"/>
      <c r="J92" s="54" t="n"/>
      <c r="K92" s="56">
        <f>IF(SUM(U92:AY92)=0,"",SUM(U92:AY92))</f>
        <v/>
      </c>
      <c r="L92" s="57">
        <f>IFERROR(INDEX(U$2:AY$2,MATCH(TRUE,U92:AY92&lt;&gt;"",0)),"")</f>
        <v/>
      </c>
      <c r="M92" s="58">
        <f>IFERROR(LOOKUP(2,1/(U92:AY92&lt;&gt;""),U$2:AY$2),"")</f>
        <v/>
      </c>
      <c r="N92" s="59">
        <f>IF(OR(G92="",M92=""),"",G92-M92)</f>
        <v/>
      </c>
      <c r="O92" s="60" t="n"/>
      <c r="P92" s="61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  <c r="AG92" s="62" t="n"/>
      <c r="AH92" s="62" t="n"/>
      <c r="AI92" s="62" t="n"/>
      <c r="AJ92" s="62" t="n"/>
      <c r="AK92" s="62" t="n"/>
      <c r="AL92" s="62" t="n"/>
      <c r="AM92" s="62" t="n"/>
      <c r="AN92" s="62" t="n"/>
      <c r="AO92" s="62" t="n"/>
      <c r="AP92" s="62" t="n"/>
      <c r="AQ92" s="62" t="n"/>
      <c r="AR92" s="62" t="n"/>
      <c r="AS92" s="62" t="n"/>
      <c r="AT92" s="62" t="n"/>
      <c r="AU92" s="62" t="n"/>
      <c r="AV92" s="62" t="n"/>
      <c r="AW92" s="62" t="n"/>
      <c r="AX92" s="62" t="n"/>
      <c r="AY92" s="62" t="n"/>
    </row>
    <row r="93">
      <c r="A93" s="38">
        <f>IF(D93="","",COUNTA($D$71:D93))</f>
        <v/>
      </c>
      <c r="B93" s="52" t="n"/>
      <c r="C93" s="68" t="inlineStr">
        <is>
          <t>마케팅3팀</t>
        </is>
      </c>
      <c r="D93" s="52" t="n"/>
      <c r="E93" s="54" t="n"/>
      <c r="F93" s="52" t="n"/>
      <c r="G93" s="55" t="n"/>
      <c r="H93" s="54" t="n"/>
      <c r="I93" s="54" t="n"/>
      <c r="J93" s="54" t="n"/>
      <c r="K93" s="56">
        <f>IF(SUM(U93:AY93)=0,"",SUM(U93:AY93))</f>
        <v/>
      </c>
      <c r="L93" s="57">
        <f>IFERROR(INDEX(U$2:AY$2,MATCH(TRUE,U93:AY93&lt;&gt;"",0)),"")</f>
        <v/>
      </c>
      <c r="M93" s="58">
        <f>IFERROR(LOOKUP(2,1/(U93:AY93&lt;&gt;""),U$2:AY$2),"")</f>
        <v/>
      </c>
      <c r="N93" s="59">
        <f>IF(OR(G93="",M93=""),"",G93-M93)</f>
        <v/>
      </c>
      <c r="O93" s="60" t="n"/>
      <c r="P93" s="61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  <c r="AG93" s="62" t="n"/>
      <c r="AH93" s="62" t="n"/>
      <c r="AI93" s="62" t="n"/>
      <c r="AJ93" s="62" t="n"/>
      <c r="AK93" s="62" t="n"/>
      <c r="AL93" s="62" t="n"/>
      <c r="AM93" s="62" t="n"/>
      <c r="AN93" s="62" t="n"/>
      <c r="AO93" s="62" t="n"/>
      <c r="AP93" s="62" t="n"/>
      <c r="AQ93" s="62" t="n"/>
      <c r="AR93" s="62" t="n"/>
      <c r="AS93" s="62" t="n"/>
      <c r="AT93" s="62" t="n"/>
      <c r="AU93" s="62" t="n"/>
      <c r="AV93" s="62" t="n"/>
      <c r="AW93" s="62" t="n"/>
      <c r="AX93" s="62" t="n"/>
      <c r="AY93" s="62" t="n"/>
    </row>
    <row r="94">
      <c r="A94" s="38">
        <f>IF(D94="","",COUNTA($D$71:D94))</f>
        <v/>
      </c>
      <c r="B94" s="52" t="n"/>
      <c r="C94" s="68" t="inlineStr">
        <is>
          <t>마케팅3팀</t>
        </is>
      </c>
      <c r="D94" s="52" t="n"/>
      <c r="E94" s="54" t="n"/>
      <c r="F94" s="52" t="n"/>
      <c r="G94" s="55" t="n"/>
      <c r="H94" s="54" t="n"/>
      <c r="I94" s="54" t="n"/>
      <c r="J94" s="54" t="n"/>
      <c r="K94" s="56">
        <f>IF(SUM(U94:AY94)=0,"",SUM(U94:AY94))</f>
        <v/>
      </c>
      <c r="L94" s="57">
        <f>IFERROR(INDEX(U$2:AY$2,MATCH(TRUE,U94:AY94&lt;&gt;"",0)),"")</f>
        <v/>
      </c>
      <c r="M94" s="58">
        <f>IFERROR(LOOKUP(2,1/(U94:AY94&lt;&gt;""),U$2:AY$2),"")</f>
        <v/>
      </c>
      <c r="N94" s="59">
        <f>IF(OR(G94="",M94=""),"",G94-M94)</f>
        <v/>
      </c>
      <c r="O94" s="60" t="n"/>
      <c r="P94" s="61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  <c r="AG94" s="62" t="n"/>
      <c r="AH94" s="62" t="n"/>
      <c r="AI94" s="62" t="n"/>
      <c r="AJ94" s="62" t="n"/>
      <c r="AK94" s="62" t="n"/>
      <c r="AL94" s="62" t="n"/>
      <c r="AM94" s="62" t="n"/>
      <c r="AN94" s="62" t="n"/>
      <c r="AO94" s="62" t="n"/>
      <c r="AP94" s="62" t="n"/>
      <c r="AQ94" s="62" t="n"/>
      <c r="AR94" s="62" t="n"/>
      <c r="AS94" s="62" t="n"/>
      <c r="AT94" s="62" t="n"/>
      <c r="AU94" s="62" t="n"/>
      <c r="AV94" s="62" t="n"/>
      <c r="AW94" s="62" t="n"/>
      <c r="AX94" s="62" t="n"/>
      <c r="AY94" s="62" t="n"/>
    </row>
    <row r="95">
      <c r="A95" s="38">
        <f>IF(D95="","",COUNTA($D$71:D95))</f>
        <v/>
      </c>
      <c r="B95" s="52" t="n"/>
      <c r="C95" s="68" t="inlineStr">
        <is>
          <t>마케팅3팀</t>
        </is>
      </c>
      <c r="D95" s="52" t="n"/>
      <c r="E95" s="54" t="n"/>
      <c r="F95" s="52" t="n"/>
      <c r="G95" s="55" t="n"/>
      <c r="H95" s="54" t="n"/>
      <c r="I95" s="54" t="n"/>
      <c r="J95" s="54" t="n"/>
      <c r="K95" s="56">
        <f>IF(SUM(U95:AY95)=0,"",SUM(U95:AY95))</f>
        <v/>
      </c>
      <c r="L95" s="57">
        <f>IFERROR(INDEX(U$2:AY$2,MATCH(TRUE,U95:AY95&lt;&gt;"",0)),"")</f>
        <v/>
      </c>
      <c r="M95" s="58">
        <f>IFERROR(LOOKUP(2,1/(U95:AY95&lt;&gt;""),U$2:AY$2),"")</f>
        <v/>
      </c>
      <c r="N95" s="59">
        <f>IF(OR(G95="",M95=""),"",G95-M95)</f>
        <v/>
      </c>
      <c r="O95" s="60" t="n"/>
      <c r="P95" s="61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  <c r="AG95" s="62" t="n"/>
      <c r="AH95" s="62" t="n"/>
      <c r="AI95" s="62" t="n"/>
      <c r="AJ95" s="62" t="n"/>
      <c r="AK95" s="62" t="n"/>
      <c r="AL95" s="62" t="n"/>
      <c r="AM95" s="62" t="n"/>
      <c r="AN95" s="62" t="n"/>
      <c r="AO95" s="62" t="n"/>
      <c r="AP95" s="62" t="n"/>
      <c r="AQ95" s="62" t="n"/>
      <c r="AR95" s="62" t="n"/>
      <c r="AS95" s="62" t="n"/>
      <c r="AT95" s="62" t="n"/>
      <c r="AU95" s="62" t="n"/>
      <c r="AV95" s="62" t="n"/>
      <c r="AW95" s="62" t="n"/>
      <c r="AX95" s="62" t="n"/>
      <c r="AY95" s="62" t="n"/>
    </row>
    <row r="96">
      <c r="A96" s="38">
        <f>IF(D96="","",COUNTA($D$71:D96))</f>
        <v/>
      </c>
      <c r="B96" s="52" t="n"/>
      <c r="C96" s="68" t="inlineStr">
        <is>
          <t>마케팅3팀</t>
        </is>
      </c>
      <c r="D96" s="52" t="n"/>
      <c r="E96" s="54" t="n"/>
      <c r="F96" s="52" t="n"/>
      <c r="G96" s="55" t="n"/>
      <c r="H96" s="54" t="n"/>
      <c r="I96" s="54" t="n"/>
      <c r="J96" s="54" t="n"/>
      <c r="K96" s="56">
        <f>IF(SUM(U96:AY96)=0,"",SUM(U96:AY96))</f>
        <v/>
      </c>
      <c r="L96" s="57">
        <f>IFERROR(INDEX(U$2:AY$2,MATCH(TRUE,U96:AY96&lt;&gt;"",0)),"")</f>
        <v/>
      </c>
      <c r="M96" s="58">
        <f>IFERROR(LOOKUP(2,1/(U96:AY96&lt;&gt;""),U$2:AY$2),"")</f>
        <v/>
      </c>
      <c r="N96" s="59">
        <f>IF(OR(G96="",M96=""),"",G96-M96)</f>
        <v/>
      </c>
      <c r="O96" s="60" t="n"/>
      <c r="P96" s="61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  <c r="AG96" s="62" t="n"/>
      <c r="AH96" s="62" t="n"/>
      <c r="AI96" s="62" t="n"/>
      <c r="AJ96" s="62" t="n"/>
      <c r="AK96" s="62" t="n"/>
      <c r="AL96" s="62" t="n"/>
      <c r="AM96" s="62" t="n"/>
      <c r="AN96" s="62" t="n"/>
      <c r="AO96" s="62" t="n"/>
      <c r="AP96" s="62" t="n"/>
      <c r="AQ96" s="62" t="n"/>
      <c r="AR96" s="62" t="n"/>
      <c r="AS96" s="62" t="n"/>
      <c r="AT96" s="62" t="n"/>
      <c r="AU96" s="62" t="n"/>
      <c r="AV96" s="62" t="n"/>
      <c r="AW96" s="62" t="n"/>
      <c r="AX96" s="62" t="n"/>
      <c r="AY96" s="62" t="n"/>
    </row>
    <row r="97">
      <c r="A97" s="38">
        <f>IF(D97="","",COUNTA($D$71:D97))</f>
        <v/>
      </c>
      <c r="B97" s="52" t="n"/>
      <c r="C97" s="68" t="inlineStr">
        <is>
          <t>마케팅3팀</t>
        </is>
      </c>
      <c r="D97" s="52" t="n"/>
      <c r="E97" s="54" t="n"/>
      <c r="F97" s="52" t="n"/>
      <c r="G97" s="55" t="n"/>
      <c r="H97" s="54" t="n"/>
      <c r="I97" s="54" t="n"/>
      <c r="J97" s="54" t="n"/>
      <c r="K97" s="56">
        <f>IF(SUM(U97:AY97)=0,"",SUM(U97:AY97))</f>
        <v/>
      </c>
      <c r="L97" s="57">
        <f>IFERROR(INDEX(U$2:AY$2,MATCH(TRUE,U97:AY97&lt;&gt;"",0)),"")</f>
        <v/>
      </c>
      <c r="M97" s="58">
        <f>IFERROR(LOOKUP(2,1/(U97:AY97&lt;&gt;""),U$2:AY$2),"")</f>
        <v/>
      </c>
      <c r="N97" s="59">
        <f>IF(OR(G97="",M97=""),"",G97-M97)</f>
        <v/>
      </c>
      <c r="O97" s="60" t="n"/>
      <c r="P97" s="61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  <c r="AG97" s="62" t="n"/>
      <c r="AH97" s="62" t="n"/>
      <c r="AI97" s="62" t="n"/>
      <c r="AJ97" s="62" t="n"/>
      <c r="AK97" s="62" t="n"/>
      <c r="AL97" s="62" t="n"/>
      <c r="AM97" s="62" t="n"/>
      <c r="AN97" s="62" t="n"/>
      <c r="AO97" s="62" t="n"/>
      <c r="AP97" s="62" t="n"/>
      <c r="AQ97" s="62" t="n"/>
      <c r="AR97" s="62" t="n"/>
      <c r="AS97" s="62" t="n"/>
      <c r="AT97" s="62" t="n"/>
      <c r="AU97" s="62" t="n"/>
      <c r="AV97" s="62" t="n"/>
      <c r="AW97" s="62" t="n"/>
      <c r="AX97" s="62" t="n"/>
      <c r="AY97" s="62" t="n"/>
    </row>
    <row r="98">
      <c r="A98" s="38">
        <f>IF(D98="","",COUNTA($D$71:D98))</f>
        <v/>
      </c>
      <c r="B98" s="52" t="n"/>
      <c r="C98" s="68" t="inlineStr">
        <is>
          <t>마케팅3팀</t>
        </is>
      </c>
      <c r="D98" s="52" t="n"/>
      <c r="E98" s="54" t="n"/>
      <c r="F98" s="52" t="n"/>
      <c r="G98" s="55" t="n"/>
      <c r="H98" s="54" t="n"/>
      <c r="I98" s="54" t="n"/>
      <c r="J98" s="54" t="n"/>
      <c r="K98" s="56">
        <f>IF(SUM(U98:AY98)=0,"",SUM(U98:AY98))</f>
        <v/>
      </c>
      <c r="L98" s="57">
        <f>IFERROR(INDEX(U$2:AY$2,MATCH(TRUE,U98:AY98&lt;&gt;"",0)),"")</f>
        <v/>
      </c>
      <c r="M98" s="58">
        <f>IFERROR(LOOKUP(2,1/(U98:AY98&lt;&gt;""),U$2:AY$2),"")</f>
        <v/>
      </c>
      <c r="N98" s="59">
        <f>IF(OR(G98="",M98=""),"",G98-M98)</f>
        <v/>
      </c>
      <c r="O98" s="60" t="n"/>
      <c r="P98" s="61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  <c r="AG98" s="62" t="n"/>
      <c r="AH98" s="62" t="n"/>
      <c r="AI98" s="62" t="n"/>
      <c r="AJ98" s="62" t="n"/>
      <c r="AK98" s="62" t="n"/>
      <c r="AL98" s="62" t="n"/>
      <c r="AM98" s="62" t="n"/>
      <c r="AN98" s="62" t="n"/>
      <c r="AO98" s="62" t="n"/>
      <c r="AP98" s="62" t="n"/>
      <c r="AQ98" s="62" t="n"/>
      <c r="AR98" s="62" t="n"/>
      <c r="AS98" s="62" t="n"/>
      <c r="AT98" s="62" t="n"/>
      <c r="AU98" s="62" t="n"/>
      <c r="AV98" s="62" t="n"/>
      <c r="AW98" s="62" t="n"/>
      <c r="AX98" s="62" t="n"/>
      <c r="AY98" s="62" t="n"/>
    </row>
    <row r="99">
      <c r="A99" s="38">
        <f>IF(D99="","",COUNTA($D$71:D99))</f>
        <v/>
      </c>
      <c r="B99" s="52" t="n"/>
      <c r="C99" s="68" t="inlineStr">
        <is>
          <t>마케팅3팀</t>
        </is>
      </c>
      <c r="D99" s="52" t="n"/>
      <c r="E99" s="54" t="n"/>
      <c r="F99" s="52" t="n"/>
      <c r="G99" s="55" t="n"/>
      <c r="H99" s="54" t="n"/>
      <c r="I99" s="54" t="n"/>
      <c r="J99" s="54" t="n"/>
      <c r="K99" s="56">
        <f>IF(SUM(U99:AY99)=0,"",SUM(U99:AY99))</f>
        <v/>
      </c>
      <c r="L99" s="57">
        <f>IFERROR(INDEX(U$2:AY$2,MATCH(TRUE,U99:AY99&lt;&gt;"",0)),"")</f>
        <v/>
      </c>
      <c r="M99" s="58">
        <f>IFERROR(LOOKUP(2,1/(U99:AY99&lt;&gt;""),U$2:AY$2),"")</f>
        <v/>
      </c>
      <c r="N99" s="59">
        <f>IF(OR(G99="",M99=""),"",G99-M99)</f>
        <v/>
      </c>
      <c r="O99" s="60" t="n"/>
      <c r="P99" s="61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  <c r="AG99" s="62" t="n"/>
      <c r="AH99" s="62" t="n"/>
      <c r="AI99" s="62" t="n"/>
      <c r="AJ99" s="62" t="n"/>
      <c r="AK99" s="62" t="n"/>
      <c r="AL99" s="62" t="n"/>
      <c r="AM99" s="62" t="n"/>
      <c r="AN99" s="62" t="n"/>
      <c r="AO99" s="62" t="n"/>
      <c r="AP99" s="62" t="n"/>
      <c r="AQ99" s="62" t="n"/>
      <c r="AR99" s="62" t="n"/>
      <c r="AS99" s="62" t="n"/>
      <c r="AT99" s="62" t="n"/>
      <c r="AU99" s="62" t="n"/>
      <c r="AV99" s="62" t="n"/>
      <c r="AW99" s="62" t="n"/>
      <c r="AX99" s="62" t="n"/>
      <c r="AY99" s="62" t="n"/>
    </row>
    <row r="100">
      <c r="A100" s="38">
        <f>IF(D100="","",COUNTA($D$71:D100))</f>
        <v/>
      </c>
      <c r="B100" s="52" t="n"/>
      <c r="C100" s="68" t="inlineStr">
        <is>
          <t>마케팅3팀</t>
        </is>
      </c>
      <c r="D100" s="52" t="n"/>
      <c r="E100" s="54" t="n"/>
      <c r="F100" s="52" t="n"/>
      <c r="G100" s="55" t="n"/>
      <c r="H100" s="54" t="n"/>
      <c r="I100" s="54" t="n"/>
      <c r="J100" s="54" t="n"/>
      <c r="K100" s="56">
        <f>IF(SUM(U100:AY100)=0,"",SUM(U100:AY100))</f>
        <v/>
      </c>
      <c r="L100" s="57">
        <f>IFERROR(INDEX(U$2:AY$2,MATCH(TRUE,U100:AY100&lt;&gt;"",0)),"")</f>
        <v/>
      </c>
      <c r="M100" s="58">
        <f>IFERROR(LOOKUP(2,1/(U100:AY100&lt;&gt;""),U$2:AY$2),"")</f>
        <v/>
      </c>
      <c r="N100" s="59">
        <f>IF(OR(G100="",M100=""),"",G100-M100)</f>
        <v/>
      </c>
      <c r="O100" s="60" t="n"/>
      <c r="P100" s="61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  <c r="AG100" s="62" t="n"/>
      <c r="AH100" s="62" t="n"/>
      <c r="AI100" s="62" t="n"/>
      <c r="AJ100" s="62" t="n"/>
      <c r="AK100" s="62" t="n"/>
      <c r="AL100" s="62" t="n"/>
      <c r="AM100" s="62" t="n"/>
      <c r="AN100" s="62" t="n"/>
      <c r="AO100" s="62" t="n"/>
      <c r="AP100" s="62" t="n"/>
      <c r="AQ100" s="62" t="n"/>
      <c r="AR100" s="62" t="n"/>
      <c r="AS100" s="62" t="n"/>
      <c r="AT100" s="62" t="n"/>
      <c r="AU100" s="62" t="n"/>
      <c r="AV100" s="62" t="n"/>
      <c r="AW100" s="62" t="n"/>
      <c r="AX100" s="62" t="n"/>
      <c r="AY100" s="62" t="n"/>
    </row>
    <row r="101">
      <c r="A101" s="69" t="inlineStr">
        <is>
          <t>마케팅4팀  (102~131행)</t>
        </is>
      </c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  <c r="AJ101" s="70" t="n"/>
      <c r="AK101" s="70" t="n"/>
      <c r="AL101" s="70" t="n"/>
      <c r="AM101" s="70" t="n"/>
      <c r="AN101" s="70" t="n"/>
      <c r="AO101" s="70" t="n"/>
      <c r="AP101" s="70" t="n"/>
      <c r="AQ101" s="70" t="n"/>
      <c r="AR101" s="70" t="n"/>
      <c r="AS101" s="70" t="n"/>
      <c r="AT101" s="70" t="n"/>
      <c r="AU101" s="70" t="n"/>
      <c r="AV101" s="70" t="n"/>
      <c r="AW101" s="70" t="n"/>
      <c r="AX101" s="70" t="n"/>
      <c r="AY101" s="70" t="n"/>
    </row>
    <row r="102">
      <c r="A102" s="38">
        <f>IF(D102="","",COUNTA($D$102:D102))</f>
        <v/>
      </c>
      <c r="B102" s="52" t="n"/>
      <c r="C102" s="71" t="inlineStr">
        <is>
          <t>마케팅4팀</t>
        </is>
      </c>
      <c r="D102" s="52" t="n"/>
      <c r="E102" s="54" t="n"/>
      <c r="F102" s="52" t="n"/>
      <c r="G102" s="55" t="n"/>
      <c r="H102" s="54" t="n"/>
      <c r="I102" s="54" t="n"/>
      <c r="J102" s="54" t="n"/>
      <c r="K102" s="56">
        <f>IF(SUM(U102:AY102)=0,"",SUM(U102:AY102))</f>
        <v/>
      </c>
      <c r="L102" s="57">
        <f>IFERROR(INDEX(U$2:AY$2,MATCH(TRUE,U102:AY102&lt;&gt;"",0)),"")</f>
        <v/>
      </c>
      <c r="M102" s="58">
        <f>IFERROR(LOOKUP(2,1/(U102:AY102&lt;&gt;""),U$2:AY$2),"")</f>
        <v/>
      </c>
      <c r="N102" s="59">
        <f>IF(OR(G102="",M102=""),"",G102-M102)</f>
        <v/>
      </c>
      <c r="O102" s="60" t="n"/>
      <c r="P102" s="61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  <c r="AG102" s="62" t="n"/>
      <c r="AH102" s="62" t="n"/>
      <c r="AI102" s="62" t="n"/>
      <c r="AJ102" s="62" t="n"/>
      <c r="AK102" s="62" t="n"/>
      <c r="AL102" s="62" t="n"/>
      <c r="AM102" s="62" t="n"/>
      <c r="AN102" s="62" t="n"/>
      <c r="AO102" s="62" t="n"/>
      <c r="AP102" s="62" t="n"/>
      <c r="AQ102" s="62" t="n"/>
      <c r="AR102" s="62" t="n"/>
      <c r="AS102" s="62" t="n"/>
      <c r="AT102" s="62" t="n"/>
      <c r="AU102" s="62" t="n"/>
      <c r="AV102" s="62" t="n"/>
      <c r="AW102" s="62" t="n"/>
      <c r="AX102" s="62" t="n"/>
      <c r="AY102" s="62" t="n"/>
    </row>
    <row r="103">
      <c r="A103" s="38">
        <f>IF(D103="","",COUNTA($D$102:D103))</f>
        <v/>
      </c>
      <c r="B103" s="52" t="n"/>
      <c r="C103" s="71" t="inlineStr">
        <is>
          <t>마케팅4팀</t>
        </is>
      </c>
      <c r="D103" s="52" t="n"/>
      <c r="E103" s="54" t="n"/>
      <c r="F103" s="52" t="n"/>
      <c r="G103" s="55" t="n"/>
      <c r="H103" s="54" t="n"/>
      <c r="I103" s="54" t="n"/>
      <c r="J103" s="54" t="n"/>
      <c r="K103" s="56">
        <f>IF(SUM(U103:AY103)=0,"",SUM(U103:AY103))</f>
        <v/>
      </c>
      <c r="L103" s="57">
        <f>IFERROR(INDEX(U$2:AY$2,MATCH(TRUE,U103:AY103&lt;&gt;"",0)),"")</f>
        <v/>
      </c>
      <c r="M103" s="58">
        <f>IFERROR(LOOKUP(2,1/(U103:AY103&lt;&gt;""),U$2:AY$2),"")</f>
        <v/>
      </c>
      <c r="N103" s="59">
        <f>IF(OR(G103="",M103=""),"",G103-M103)</f>
        <v/>
      </c>
      <c r="O103" s="60" t="n"/>
      <c r="P103" s="61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  <c r="AG103" s="62" t="n"/>
      <c r="AH103" s="62" t="n"/>
      <c r="AI103" s="62" t="n"/>
      <c r="AJ103" s="62" t="n"/>
      <c r="AK103" s="62" t="n"/>
      <c r="AL103" s="62" t="n"/>
      <c r="AM103" s="62" t="n"/>
      <c r="AN103" s="62" t="n"/>
      <c r="AO103" s="62" t="n"/>
      <c r="AP103" s="62" t="n"/>
      <c r="AQ103" s="62" t="n"/>
      <c r="AR103" s="62" t="n"/>
      <c r="AS103" s="62" t="n"/>
      <c r="AT103" s="62" t="n"/>
      <c r="AU103" s="62" t="n"/>
      <c r="AV103" s="62" t="n"/>
      <c r="AW103" s="62" t="n"/>
      <c r="AX103" s="62" t="n"/>
      <c r="AY103" s="62" t="n"/>
    </row>
    <row r="104">
      <c r="A104" s="38">
        <f>IF(D104="","",COUNTA($D$102:D104))</f>
        <v/>
      </c>
      <c r="B104" s="52" t="n"/>
      <c r="C104" s="71" t="inlineStr">
        <is>
          <t>마케팅4팀</t>
        </is>
      </c>
      <c r="D104" s="52" t="n"/>
      <c r="E104" s="54" t="n"/>
      <c r="F104" s="52" t="n"/>
      <c r="G104" s="55" t="n"/>
      <c r="H104" s="54" t="n"/>
      <c r="I104" s="54" t="n"/>
      <c r="J104" s="54" t="n"/>
      <c r="K104" s="56">
        <f>IF(SUM(U104:AY104)=0,"",SUM(U104:AY104))</f>
        <v/>
      </c>
      <c r="L104" s="57">
        <f>IFERROR(INDEX(U$2:AY$2,MATCH(TRUE,U104:AY104&lt;&gt;"",0)),"")</f>
        <v/>
      </c>
      <c r="M104" s="58">
        <f>IFERROR(LOOKUP(2,1/(U104:AY104&lt;&gt;""),U$2:AY$2),"")</f>
        <v/>
      </c>
      <c r="N104" s="59">
        <f>IF(OR(G104="",M104=""),"",G104-M104)</f>
        <v/>
      </c>
      <c r="O104" s="60" t="n"/>
      <c r="P104" s="61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  <c r="AG104" s="62" t="n"/>
      <c r="AH104" s="62" t="n"/>
      <c r="AI104" s="62" t="n"/>
      <c r="AJ104" s="62" t="n"/>
      <c r="AK104" s="62" t="n"/>
      <c r="AL104" s="62" t="n"/>
      <c r="AM104" s="62" t="n"/>
      <c r="AN104" s="62" t="n"/>
      <c r="AO104" s="62" t="n"/>
      <c r="AP104" s="62" t="n"/>
      <c r="AQ104" s="62" t="n"/>
      <c r="AR104" s="62" t="n"/>
      <c r="AS104" s="62" t="n"/>
      <c r="AT104" s="62" t="n"/>
      <c r="AU104" s="62" t="n"/>
      <c r="AV104" s="62" t="n"/>
      <c r="AW104" s="62" t="n"/>
      <c r="AX104" s="62" t="n"/>
      <c r="AY104" s="62" t="n"/>
    </row>
    <row r="105">
      <c r="A105" s="38">
        <f>IF(D105="","",COUNTA($D$102:D105))</f>
        <v/>
      </c>
      <c r="B105" s="52" t="n"/>
      <c r="C105" s="71" t="inlineStr">
        <is>
          <t>마케팅4팀</t>
        </is>
      </c>
      <c r="D105" s="52" t="n"/>
      <c r="E105" s="54" t="n"/>
      <c r="F105" s="52" t="n"/>
      <c r="G105" s="55" t="n"/>
      <c r="H105" s="54" t="n"/>
      <c r="I105" s="54" t="n"/>
      <c r="J105" s="54" t="n"/>
      <c r="K105" s="56">
        <f>IF(SUM(U105:AY105)=0,"",SUM(U105:AY105))</f>
        <v/>
      </c>
      <c r="L105" s="57">
        <f>IFERROR(INDEX(U$2:AY$2,MATCH(TRUE,U105:AY105&lt;&gt;"",0)),"")</f>
        <v/>
      </c>
      <c r="M105" s="58">
        <f>IFERROR(LOOKUP(2,1/(U105:AY105&lt;&gt;""),U$2:AY$2),"")</f>
        <v/>
      </c>
      <c r="N105" s="59">
        <f>IF(OR(G105="",M105=""),"",G105-M105)</f>
        <v/>
      </c>
      <c r="O105" s="60" t="n"/>
      <c r="P105" s="61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  <c r="AG105" s="62" t="n"/>
      <c r="AH105" s="62" t="n"/>
      <c r="AI105" s="62" t="n"/>
      <c r="AJ105" s="62" t="n"/>
      <c r="AK105" s="62" t="n"/>
      <c r="AL105" s="62" t="n"/>
      <c r="AM105" s="62" t="n"/>
      <c r="AN105" s="62" t="n"/>
      <c r="AO105" s="62" t="n"/>
      <c r="AP105" s="62" t="n"/>
      <c r="AQ105" s="62" t="n"/>
      <c r="AR105" s="62" t="n"/>
      <c r="AS105" s="62" t="n"/>
      <c r="AT105" s="62" t="n"/>
      <c r="AU105" s="62" t="n"/>
      <c r="AV105" s="62" t="n"/>
      <c r="AW105" s="62" t="n"/>
      <c r="AX105" s="62" t="n"/>
      <c r="AY105" s="62" t="n"/>
    </row>
    <row r="106">
      <c r="A106" s="38">
        <f>IF(D106="","",COUNTA($D$102:D106))</f>
        <v/>
      </c>
      <c r="B106" s="52" t="n"/>
      <c r="C106" s="71" t="inlineStr">
        <is>
          <t>마케팅4팀</t>
        </is>
      </c>
      <c r="D106" s="52" t="n"/>
      <c r="E106" s="54" t="n"/>
      <c r="F106" s="52" t="n"/>
      <c r="G106" s="55" t="n"/>
      <c r="H106" s="54" t="n"/>
      <c r="I106" s="54" t="n"/>
      <c r="J106" s="54" t="n"/>
      <c r="K106" s="56">
        <f>IF(SUM(U106:AY106)=0,"",SUM(U106:AY106))</f>
        <v/>
      </c>
      <c r="L106" s="57">
        <f>IFERROR(INDEX(U$2:AY$2,MATCH(TRUE,U106:AY106&lt;&gt;"",0)),"")</f>
        <v/>
      </c>
      <c r="M106" s="58">
        <f>IFERROR(LOOKUP(2,1/(U106:AY106&lt;&gt;""),U$2:AY$2),"")</f>
        <v/>
      </c>
      <c r="N106" s="59">
        <f>IF(OR(G106="",M106=""),"",G106-M106)</f>
        <v/>
      </c>
      <c r="O106" s="60" t="n"/>
      <c r="P106" s="61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  <c r="AG106" s="62" t="n"/>
      <c r="AH106" s="62" t="n"/>
      <c r="AI106" s="62" t="n"/>
      <c r="AJ106" s="62" t="n"/>
      <c r="AK106" s="62" t="n"/>
      <c r="AL106" s="62" t="n"/>
      <c r="AM106" s="62" t="n"/>
      <c r="AN106" s="62" t="n"/>
      <c r="AO106" s="62" t="n"/>
      <c r="AP106" s="62" t="n"/>
      <c r="AQ106" s="62" t="n"/>
      <c r="AR106" s="62" t="n"/>
      <c r="AS106" s="62" t="n"/>
      <c r="AT106" s="62" t="n"/>
      <c r="AU106" s="62" t="n"/>
      <c r="AV106" s="62" t="n"/>
      <c r="AW106" s="62" t="n"/>
      <c r="AX106" s="62" t="n"/>
      <c r="AY106" s="62" t="n"/>
    </row>
    <row r="107">
      <c r="A107" s="38">
        <f>IF(D107="","",COUNTA($D$102:D107))</f>
        <v/>
      </c>
      <c r="B107" s="52" t="n"/>
      <c r="C107" s="71" t="inlineStr">
        <is>
          <t>마케팅4팀</t>
        </is>
      </c>
      <c r="D107" s="52" t="n"/>
      <c r="E107" s="54" t="n"/>
      <c r="F107" s="52" t="n"/>
      <c r="G107" s="55" t="n"/>
      <c r="H107" s="54" t="n"/>
      <c r="I107" s="54" t="n"/>
      <c r="J107" s="54" t="n"/>
      <c r="K107" s="56">
        <f>IF(SUM(U107:AY107)=0,"",SUM(U107:AY107))</f>
        <v/>
      </c>
      <c r="L107" s="57">
        <f>IFERROR(INDEX(U$2:AY$2,MATCH(TRUE,U107:AY107&lt;&gt;"",0)),"")</f>
        <v/>
      </c>
      <c r="M107" s="58">
        <f>IFERROR(LOOKUP(2,1/(U107:AY107&lt;&gt;""),U$2:AY$2),"")</f>
        <v/>
      </c>
      <c r="N107" s="59">
        <f>IF(OR(G107="",M107=""),"",G107-M107)</f>
        <v/>
      </c>
      <c r="O107" s="60" t="n"/>
      <c r="P107" s="61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  <c r="AG107" s="62" t="n"/>
      <c r="AH107" s="62" t="n"/>
      <c r="AI107" s="62" t="n"/>
      <c r="AJ107" s="62" t="n"/>
      <c r="AK107" s="62" t="n"/>
      <c r="AL107" s="62" t="n"/>
      <c r="AM107" s="62" t="n"/>
      <c r="AN107" s="62" t="n"/>
      <c r="AO107" s="62" t="n"/>
      <c r="AP107" s="62" t="n"/>
      <c r="AQ107" s="62" t="n"/>
      <c r="AR107" s="62" t="n"/>
      <c r="AS107" s="62" t="n"/>
      <c r="AT107" s="62" t="n"/>
      <c r="AU107" s="62" t="n"/>
      <c r="AV107" s="62" t="n"/>
      <c r="AW107" s="62" t="n"/>
      <c r="AX107" s="62" t="n"/>
      <c r="AY107" s="62" t="n"/>
    </row>
    <row r="108">
      <c r="A108" s="38">
        <f>IF(D108="","",COUNTA($D$102:D108))</f>
        <v/>
      </c>
      <c r="B108" s="52" t="n"/>
      <c r="C108" s="71" t="inlineStr">
        <is>
          <t>마케팅4팀</t>
        </is>
      </c>
      <c r="D108" s="52" t="n"/>
      <c r="E108" s="54" t="n"/>
      <c r="F108" s="52" t="n"/>
      <c r="G108" s="55" t="n"/>
      <c r="H108" s="54" t="n"/>
      <c r="I108" s="54" t="n"/>
      <c r="J108" s="54" t="n"/>
      <c r="K108" s="56">
        <f>IF(SUM(U108:AY108)=0,"",SUM(U108:AY108))</f>
        <v/>
      </c>
      <c r="L108" s="57">
        <f>IFERROR(INDEX(U$2:AY$2,MATCH(TRUE,U108:AY108&lt;&gt;"",0)),"")</f>
        <v/>
      </c>
      <c r="M108" s="58">
        <f>IFERROR(LOOKUP(2,1/(U108:AY108&lt;&gt;""),U$2:AY$2),"")</f>
        <v/>
      </c>
      <c r="N108" s="59">
        <f>IF(OR(G108="",M108=""),"",G108-M108)</f>
        <v/>
      </c>
      <c r="O108" s="60" t="n"/>
      <c r="P108" s="61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  <c r="AG108" s="62" t="n"/>
      <c r="AH108" s="62" t="n"/>
      <c r="AI108" s="62" t="n"/>
      <c r="AJ108" s="62" t="n"/>
      <c r="AK108" s="62" t="n"/>
      <c r="AL108" s="62" t="n"/>
      <c r="AM108" s="62" t="n"/>
      <c r="AN108" s="62" t="n"/>
      <c r="AO108" s="62" t="n"/>
      <c r="AP108" s="62" t="n"/>
      <c r="AQ108" s="62" t="n"/>
      <c r="AR108" s="62" t="n"/>
      <c r="AS108" s="62" t="n"/>
      <c r="AT108" s="62" t="n"/>
      <c r="AU108" s="62" t="n"/>
      <c r="AV108" s="62" t="n"/>
      <c r="AW108" s="62" t="n"/>
      <c r="AX108" s="62" t="n"/>
      <c r="AY108" s="62" t="n"/>
    </row>
    <row r="109">
      <c r="A109" s="38">
        <f>IF(D109="","",COUNTA($D$102:D109))</f>
        <v/>
      </c>
      <c r="B109" s="52" t="n"/>
      <c r="C109" s="71" t="inlineStr">
        <is>
          <t>마케팅4팀</t>
        </is>
      </c>
      <c r="D109" s="52" t="n"/>
      <c r="E109" s="54" t="n"/>
      <c r="F109" s="52" t="n"/>
      <c r="G109" s="55" t="n"/>
      <c r="H109" s="54" t="n"/>
      <c r="I109" s="54" t="n"/>
      <c r="J109" s="54" t="n"/>
      <c r="K109" s="56">
        <f>IF(SUM(U109:AY109)=0,"",SUM(U109:AY109))</f>
        <v/>
      </c>
      <c r="L109" s="57">
        <f>IFERROR(INDEX(U$2:AY$2,MATCH(TRUE,U109:AY109&lt;&gt;"",0)),"")</f>
        <v/>
      </c>
      <c r="M109" s="58">
        <f>IFERROR(LOOKUP(2,1/(U109:AY109&lt;&gt;""),U$2:AY$2),"")</f>
        <v/>
      </c>
      <c r="N109" s="59">
        <f>IF(OR(G109="",M109=""),"",G109-M109)</f>
        <v/>
      </c>
      <c r="O109" s="60" t="n"/>
      <c r="P109" s="61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  <c r="AG109" s="62" t="n"/>
      <c r="AH109" s="62" t="n"/>
      <c r="AI109" s="62" t="n"/>
      <c r="AJ109" s="62" t="n"/>
      <c r="AK109" s="62" t="n"/>
      <c r="AL109" s="62" t="n"/>
      <c r="AM109" s="62" t="n"/>
      <c r="AN109" s="62" t="n"/>
      <c r="AO109" s="62" t="n"/>
      <c r="AP109" s="62" t="n"/>
      <c r="AQ109" s="62" t="n"/>
      <c r="AR109" s="62" t="n"/>
      <c r="AS109" s="62" t="n"/>
      <c r="AT109" s="62" t="n"/>
      <c r="AU109" s="62" t="n"/>
      <c r="AV109" s="62" t="n"/>
      <c r="AW109" s="62" t="n"/>
      <c r="AX109" s="62" t="n"/>
      <c r="AY109" s="62" t="n"/>
    </row>
    <row r="110">
      <c r="A110" s="38">
        <f>IF(D110="","",COUNTA($D$102:D110))</f>
        <v/>
      </c>
      <c r="B110" s="52" t="n"/>
      <c r="C110" s="71" t="inlineStr">
        <is>
          <t>마케팅4팀</t>
        </is>
      </c>
      <c r="D110" s="52" t="n"/>
      <c r="E110" s="54" t="n"/>
      <c r="F110" s="52" t="n"/>
      <c r="G110" s="55" t="n"/>
      <c r="H110" s="54" t="n"/>
      <c r="I110" s="54" t="n"/>
      <c r="J110" s="54" t="n"/>
      <c r="K110" s="56">
        <f>IF(SUM(U110:AY110)=0,"",SUM(U110:AY110))</f>
        <v/>
      </c>
      <c r="L110" s="57">
        <f>IFERROR(INDEX(U$2:AY$2,MATCH(TRUE,U110:AY110&lt;&gt;"",0)),"")</f>
        <v/>
      </c>
      <c r="M110" s="58">
        <f>IFERROR(LOOKUP(2,1/(U110:AY110&lt;&gt;""),U$2:AY$2),"")</f>
        <v/>
      </c>
      <c r="N110" s="59">
        <f>IF(OR(G110="",M110=""),"",G110-M110)</f>
        <v/>
      </c>
      <c r="O110" s="60" t="n"/>
      <c r="P110" s="61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  <c r="AG110" s="62" t="n"/>
      <c r="AH110" s="62" t="n"/>
      <c r="AI110" s="62" t="n"/>
      <c r="AJ110" s="62" t="n"/>
      <c r="AK110" s="62" t="n"/>
      <c r="AL110" s="62" t="n"/>
      <c r="AM110" s="62" t="n"/>
      <c r="AN110" s="62" t="n"/>
      <c r="AO110" s="62" t="n"/>
      <c r="AP110" s="62" t="n"/>
      <c r="AQ110" s="62" t="n"/>
      <c r="AR110" s="62" t="n"/>
      <c r="AS110" s="62" t="n"/>
      <c r="AT110" s="62" t="n"/>
      <c r="AU110" s="62" t="n"/>
      <c r="AV110" s="62" t="n"/>
      <c r="AW110" s="62" t="n"/>
      <c r="AX110" s="62" t="n"/>
      <c r="AY110" s="62" t="n"/>
    </row>
    <row r="111">
      <c r="A111" s="38">
        <f>IF(D111="","",COUNTA($D$102:D111))</f>
        <v/>
      </c>
      <c r="B111" s="52" t="n"/>
      <c r="C111" s="71" t="inlineStr">
        <is>
          <t>마케팅4팀</t>
        </is>
      </c>
      <c r="D111" s="52" t="n"/>
      <c r="E111" s="54" t="n"/>
      <c r="F111" s="52" t="n"/>
      <c r="G111" s="55" t="n"/>
      <c r="H111" s="54" t="n"/>
      <c r="I111" s="54" t="n"/>
      <c r="J111" s="54" t="n"/>
      <c r="K111" s="56">
        <f>IF(SUM(U111:AY111)=0,"",SUM(U111:AY111))</f>
        <v/>
      </c>
      <c r="L111" s="57">
        <f>IFERROR(INDEX(U$2:AY$2,MATCH(TRUE,U111:AY111&lt;&gt;"",0)),"")</f>
        <v/>
      </c>
      <c r="M111" s="58">
        <f>IFERROR(LOOKUP(2,1/(U111:AY111&lt;&gt;""),U$2:AY$2),"")</f>
        <v/>
      </c>
      <c r="N111" s="59">
        <f>IF(OR(G111="",M111=""),"",G111-M111)</f>
        <v/>
      </c>
      <c r="O111" s="60" t="n"/>
      <c r="P111" s="61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  <c r="AG111" s="62" t="n"/>
      <c r="AH111" s="62" t="n"/>
      <c r="AI111" s="62" t="n"/>
      <c r="AJ111" s="62" t="n"/>
      <c r="AK111" s="62" t="n"/>
      <c r="AL111" s="62" t="n"/>
      <c r="AM111" s="62" t="n"/>
      <c r="AN111" s="62" t="n"/>
      <c r="AO111" s="62" t="n"/>
      <c r="AP111" s="62" t="n"/>
      <c r="AQ111" s="62" t="n"/>
      <c r="AR111" s="62" t="n"/>
      <c r="AS111" s="62" t="n"/>
      <c r="AT111" s="62" t="n"/>
      <c r="AU111" s="62" t="n"/>
      <c r="AV111" s="62" t="n"/>
      <c r="AW111" s="62" t="n"/>
      <c r="AX111" s="62" t="n"/>
      <c r="AY111" s="62" t="n"/>
    </row>
    <row r="112">
      <c r="A112" s="38">
        <f>IF(D112="","",COUNTA($D$102:D112))</f>
        <v/>
      </c>
      <c r="B112" s="52" t="n"/>
      <c r="C112" s="71" t="inlineStr">
        <is>
          <t>마케팅4팀</t>
        </is>
      </c>
      <c r="D112" s="52" t="n"/>
      <c r="E112" s="54" t="n"/>
      <c r="F112" s="52" t="n"/>
      <c r="G112" s="55" t="n"/>
      <c r="H112" s="54" t="n"/>
      <c r="I112" s="54" t="n"/>
      <c r="J112" s="54" t="n"/>
      <c r="K112" s="56">
        <f>IF(SUM(U112:AY112)=0,"",SUM(U112:AY112))</f>
        <v/>
      </c>
      <c r="L112" s="57">
        <f>IFERROR(INDEX(U$2:AY$2,MATCH(TRUE,U112:AY112&lt;&gt;"",0)),"")</f>
        <v/>
      </c>
      <c r="M112" s="58">
        <f>IFERROR(LOOKUP(2,1/(U112:AY112&lt;&gt;""),U$2:AY$2),"")</f>
        <v/>
      </c>
      <c r="N112" s="59">
        <f>IF(OR(G112="",M112=""),"",G112-M112)</f>
        <v/>
      </c>
      <c r="O112" s="60" t="n"/>
      <c r="P112" s="61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  <c r="AG112" s="62" t="n"/>
      <c r="AH112" s="62" t="n"/>
      <c r="AI112" s="62" t="n"/>
      <c r="AJ112" s="62" t="n"/>
      <c r="AK112" s="62" t="n"/>
      <c r="AL112" s="62" t="n"/>
      <c r="AM112" s="62" t="n"/>
      <c r="AN112" s="62" t="n"/>
      <c r="AO112" s="62" t="n"/>
      <c r="AP112" s="62" t="n"/>
      <c r="AQ112" s="62" t="n"/>
      <c r="AR112" s="62" t="n"/>
      <c r="AS112" s="62" t="n"/>
      <c r="AT112" s="62" t="n"/>
      <c r="AU112" s="62" t="n"/>
      <c r="AV112" s="62" t="n"/>
      <c r="AW112" s="62" t="n"/>
      <c r="AX112" s="62" t="n"/>
      <c r="AY112" s="62" t="n"/>
    </row>
    <row r="113">
      <c r="A113" s="38">
        <f>IF(D113="","",COUNTA($D$102:D113))</f>
        <v/>
      </c>
      <c r="B113" s="52" t="n"/>
      <c r="C113" s="71" t="inlineStr">
        <is>
          <t>마케팅4팀</t>
        </is>
      </c>
      <c r="D113" s="52" t="n"/>
      <c r="E113" s="54" t="n"/>
      <c r="F113" s="52" t="n"/>
      <c r="G113" s="55" t="n"/>
      <c r="H113" s="54" t="n"/>
      <c r="I113" s="54" t="n"/>
      <c r="J113" s="54" t="n"/>
      <c r="K113" s="56">
        <f>IF(SUM(U113:AY113)=0,"",SUM(U113:AY113))</f>
        <v/>
      </c>
      <c r="L113" s="57">
        <f>IFERROR(INDEX(U$2:AY$2,MATCH(TRUE,U113:AY113&lt;&gt;"",0)),"")</f>
        <v/>
      </c>
      <c r="M113" s="58">
        <f>IFERROR(LOOKUP(2,1/(U113:AY113&lt;&gt;""),U$2:AY$2),"")</f>
        <v/>
      </c>
      <c r="N113" s="59">
        <f>IF(OR(G113="",M113=""),"",G113-M113)</f>
        <v/>
      </c>
      <c r="O113" s="60" t="n"/>
      <c r="P113" s="61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  <c r="AG113" s="62" t="n"/>
      <c r="AH113" s="62" t="n"/>
      <c r="AI113" s="62" t="n"/>
      <c r="AJ113" s="62" t="n"/>
      <c r="AK113" s="62" t="n"/>
      <c r="AL113" s="62" t="n"/>
      <c r="AM113" s="62" t="n"/>
      <c r="AN113" s="62" t="n"/>
      <c r="AO113" s="62" t="n"/>
      <c r="AP113" s="62" t="n"/>
      <c r="AQ113" s="62" t="n"/>
      <c r="AR113" s="62" t="n"/>
      <c r="AS113" s="62" t="n"/>
      <c r="AT113" s="62" t="n"/>
      <c r="AU113" s="62" t="n"/>
      <c r="AV113" s="62" t="n"/>
      <c r="AW113" s="62" t="n"/>
      <c r="AX113" s="62" t="n"/>
      <c r="AY113" s="62" t="n"/>
    </row>
    <row r="114">
      <c r="A114" s="38">
        <f>IF(D114="","",COUNTA($D$102:D114))</f>
        <v/>
      </c>
      <c r="B114" s="52" t="n"/>
      <c r="C114" s="71" t="inlineStr">
        <is>
          <t>마케팅4팀</t>
        </is>
      </c>
      <c r="D114" s="52" t="n"/>
      <c r="E114" s="54" t="n"/>
      <c r="F114" s="52" t="n"/>
      <c r="G114" s="55" t="n"/>
      <c r="H114" s="54" t="n"/>
      <c r="I114" s="54" t="n"/>
      <c r="J114" s="54" t="n"/>
      <c r="K114" s="56">
        <f>IF(SUM(U114:AY114)=0,"",SUM(U114:AY114))</f>
        <v/>
      </c>
      <c r="L114" s="57">
        <f>IFERROR(INDEX(U$2:AY$2,MATCH(TRUE,U114:AY114&lt;&gt;"",0)),"")</f>
        <v/>
      </c>
      <c r="M114" s="58">
        <f>IFERROR(LOOKUP(2,1/(U114:AY114&lt;&gt;""),U$2:AY$2),"")</f>
        <v/>
      </c>
      <c r="N114" s="59">
        <f>IF(OR(G114="",M114=""),"",G114-M114)</f>
        <v/>
      </c>
      <c r="O114" s="60" t="n"/>
      <c r="P114" s="61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  <c r="AG114" s="62" t="n"/>
      <c r="AH114" s="62" t="n"/>
      <c r="AI114" s="62" t="n"/>
      <c r="AJ114" s="62" t="n"/>
      <c r="AK114" s="62" t="n"/>
      <c r="AL114" s="62" t="n"/>
      <c r="AM114" s="62" t="n"/>
      <c r="AN114" s="62" t="n"/>
      <c r="AO114" s="62" t="n"/>
      <c r="AP114" s="62" t="n"/>
      <c r="AQ114" s="62" t="n"/>
      <c r="AR114" s="62" t="n"/>
      <c r="AS114" s="62" t="n"/>
      <c r="AT114" s="62" t="n"/>
      <c r="AU114" s="62" t="n"/>
      <c r="AV114" s="62" t="n"/>
      <c r="AW114" s="62" t="n"/>
      <c r="AX114" s="62" t="n"/>
      <c r="AY114" s="62" t="n"/>
    </row>
    <row r="115">
      <c r="A115" s="38">
        <f>IF(D115="","",COUNTA($D$102:D115))</f>
        <v/>
      </c>
      <c r="B115" s="52" t="n"/>
      <c r="C115" s="71" t="inlineStr">
        <is>
          <t>마케팅4팀</t>
        </is>
      </c>
      <c r="D115" s="52" t="n"/>
      <c r="E115" s="54" t="n"/>
      <c r="F115" s="52" t="n"/>
      <c r="G115" s="55" t="n"/>
      <c r="H115" s="54" t="n"/>
      <c r="I115" s="54" t="n"/>
      <c r="J115" s="54" t="n"/>
      <c r="K115" s="56">
        <f>IF(SUM(U115:AY115)=0,"",SUM(U115:AY115))</f>
        <v/>
      </c>
      <c r="L115" s="57">
        <f>IFERROR(INDEX(U$2:AY$2,MATCH(TRUE,U115:AY115&lt;&gt;"",0)),"")</f>
        <v/>
      </c>
      <c r="M115" s="58">
        <f>IFERROR(LOOKUP(2,1/(U115:AY115&lt;&gt;""),U$2:AY$2),"")</f>
        <v/>
      </c>
      <c r="N115" s="59">
        <f>IF(OR(G115="",M115=""),"",G115-M115)</f>
        <v/>
      </c>
      <c r="O115" s="60" t="n"/>
      <c r="P115" s="61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  <c r="AG115" s="62" t="n"/>
      <c r="AH115" s="62" t="n"/>
      <c r="AI115" s="62" t="n"/>
      <c r="AJ115" s="62" t="n"/>
      <c r="AK115" s="62" t="n"/>
      <c r="AL115" s="62" t="n"/>
      <c r="AM115" s="62" t="n"/>
      <c r="AN115" s="62" t="n"/>
      <c r="AO115" s="62" t="n"/>
      <c r="AP115" s="62" t="n"/>
      <c r="AQ115" s="62" t="n"/>
      <c r="AR115" s="62" t="n"/>
      <c r="AS115" s="62" t="n"/>
      <c r="AT115" s="62" t="n"/>
      <c r="AU115" s="62" t="n"/>
      <c r="AV115" s="62" t="n"/>
      <c r="AW115" s="62" t="n"/>
      <c r="AX115" s="62" t="n"/>
      <c r="AY115" s="62" t="n"/>
    </row>
    <row r="116">
      <c r="A116" s="38">
        <f>IF(D116="","",COUNTA($D$102:D116))</f>
        <v/>
      </c>
      <c r="B116" s="52" t="n"/>
      <c r="C116" s="71" t="inlineStr">
        <is>
          <t>마케팅4팀</t>
        </is>
      </c>
      <c r="D116" s="52" t="n"/>
      <c r="E116" s="54" t="n"/>
      <c r="F116" s="52" t="n"/>
      <c r="G116" s="55" t="n"/>
      <c r="H116" s="54" t="n"/>
      <c r="I116" s="54" t="n"/>
      <c r="J116" s="54" t="n"/>
      <c r="K116" s="56">
        <f>IF(SUM(U116:AY116)=0,"",SUM(U116:AY116))</f>
        <v/>
      </c>
      <c r="L116" s="57">
        <f>IFERROR(INDEX(U$2:AY$2,MATCH(TRUE,U116:AY116&lt;&gt;"",0)),"")</f>
        <v/>
      </c>
      <c r="M116" s="58">
        <f>IFERROR(LOOKUP(2,1/(U116:AY116&lt;&gt;""),U$2:AY$2),"")</f>
        <v/>
      </c>
      <c r="N116" s="59">
        <f>IF(OR(G116="",M116=""),"",G116-M116)</f>
        <v/>
      </c>
      <c r="O116" s="60" t="n"/>
      <c r="P116" s="61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  <c r="AG116" s="62" t="n"/>
      <c r="AH116" s="62" t="n"/>
      <c r="AI116" s="62" t="n"/>
      <c r="AJ116" s="62" t="n"/>
      <c r="AK116" s="62" t="n"/>
      <c r="AL116" s="62" t="n"/>
      <c r="AM116" s="62" t="n"/>
      <c r="AN116" s="62" t="n"/>
      <c r="AO116" s="62" t="n"/>
      <c r="AP116" s="62" t="n"/>
      <c r="AQ116" s="62" t="n"/>
      <c r="AR116" s="62" t="n"/>
      <c r="AS116" s="62" t="n"/>
      <c r="AT116" s="62" t="n"/>
      <c r="AU116" s="62" t="n"/>
      <c r="AV116" s="62" t="n"/>
      <c r="AW116" s="62" t="n"/>
      <c r="AX116" s="62" t="n"/>
      <c r="AY116" s="62" t="n"/>
    </row>
    <row r="117">
      <c r="A117" s="38">
        <f>IF(D117="","",COUNTA($D$102:D117))</f>
        <v/>
      </c>
      <c r="B117" s="52" t="n"/>
      <c r="C117" s="71" t="inlineStr">
        <is>
          <t>마케팅4팀</t>
        </is>
      </c>
      <c r="D117" s="52" t="n"/>
      <c r="E117" s="54" t="n"/>
      <c r="F117" s="52" t="n"/>
      <c r="G117" s="55" t="n"/>
      <c r="H117" s="54" t="n"/>
      <c r="I117" s="54" t="n"/>
      <c r="J117" s="54" t="n"/>
      <c r="K117" s="56">
        <f>IF(SUM(U117:AY117)=0,"",SUM(U117:AY117))</f>
        <v/>
      </c>
      <c r="L117" s="57">
        <f>IFERROR(INDEX(U$2:AY$2,MATCH(TRUE,U117:AY117&lt;&gt;"",0)),"")</f>
        <v/>
      </c>
      <c r="M117" s="58">
        <f>IFERROR(LOOKUP(2,1/(U117:AY117&lt;&gt;""),U$2:AY$2),"")</f>
        <v/>
      </c>
      <c r="N117" s="59">
        <f>IF(OR(G117="",M117=""),"",G117-M117)</f>
        <v/>
      </c>
      <c r="O117" s="60" t="n"/>
      <c r="P117" s="61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  <c r="AG117" s="62" t="n"/>
      <c r="AH117" s="62" t="n"/>
      <c r="AI117" s="62" t="n"/>
      <c r="AJ117" s="62" t="n"/>
      <c r="AK117" s="62" t="n"/>
      <c r="AL117" s="62" t="n"/>
      <c r="AM117" s="62" t="n"/>
      <c r="AN117" s="62" t="n"/>
      <c r="AO117" s="62" t="n"/>
      <c r="AP117" s="62" t="n"/>
      <c r="AQ117" s="62" t="n"/>
      <c r="AR117" s="62" t="n"/>
      <c r="AS117" s="62" t="n"/>
      <c r="AT117" s="62" t="n"/>
      <c r="AU117" s="62" t="n"/>
      <c r="AV117" s="62" t="n"/>
      <c r="AW117" s="62" t="n"/>
      <c r="AX117" s="62" t="n"/>
      <c r="AY117" s="62" t="n"/>
    </row>
    <row r="118">
      <c r="A118" s="38">
        <f>IF(D118="","",COUNTA($D$102:D118))</f>
        <v/>
      </c>
      <c r="B118" s="52" t="n"/>
      <c r="C118" s="71" t="inlineStr">
        <is>
          <t>마케팅4팀</t>
        </is>
      </c>
      <c r="D118" s="52" t="n"/>
      <c r="E118" s="54" t="n"/>
      <c r="F118" s="52" t="n"/>
      <c r="G118" s="55" t="n"/>
      <c r="H118" s="54" t="n"/>
      <c r="I118" s="54" t="n"/>
      <c r="J118" s="54" t="n"/>
      <c r="K118" s="56">
        <f>IF(SUM(U118:AY118)=0,"",SUM(U118:AY118))</f>
        <v/>
      </c>
      <c r="L118" s="57">
        <f>IFERROR(INDEX(U$2:AY$2,MATCH(TRUE,U118:AY118&lt;&gt;"",0)),"")</f>
        <v/>
      </c>
      <c r="M118" s="58">
        <f>IFERROR(LOOKUP(2,1/(U118:AY118&lt;&gt;""),U$2:AY$2),"")</f>
        <v/>
      </c>
      <c r="N118" s="59">
        <f>IF(OR(G118="",M118=""),"",G118-M118)</f>
        <v/>
      </c>
      <c r="O118" s="60" t="n"/>
      <c r="P118" s="61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  <c r="AG118" s="62" t="n"/>
      <c r="AH118" s="62" t="n"/>
      <c r="AI118" s="62" t="n"/>
      <c r="AJ118" s="62" t="n"/>
      <c r="AK118" s="62" t="n"/>
      <c r="AL118" s="62" t="n"/>
      <c r="AM118" s="62" t="n"/>
      <c r="AN118" s="62" t="n"/>
      <c r="AO118" s="62" t="n"/>
      <c r="AP118" s="62" t="n"/>
      <c r="AQ118" s="62" t="n"/>
      <c r="AR118" s="62" t="n"/>
      <c r="AS118" s="62" t="n"/>
      <c r="AT118" s="62" t="n"/>
      <c r="AU118" s="62" t="n"/>
      <c r="AV118" s="62" t="n"/>
      <c r="AW118" s="62" t="n"/>
      <c r="AX118" s="62" t="n"/>
      <c r="AY118" s="62" t="n"/>
    </row>
    <row r="119">
      <c r="A119" s="38">
        <f>IF(D119="","",COUNTA($D$102:D119))</f>
        <v/>
      </c>
      <c r="B119" s="52" t="n"/>
      <c r="C119" s="71" t="inlineStr">
        <is>
          <t>마케팅4팀</t>
        </is>
      </c>
      <c r="D119" s="52" t="n"/>
      <c r="E119" s="54" t="n"/>
      <c r="F119" s="52" t="n"/>
      <c r="G119" s="55" t="n"/>
      <c r="H119" s="54" t="n"/>
      <c r="I119" s="54" t="n"/>
      <c r="J119" s="54" t="n"/>
      <c r="K119" s="56">
        <f>IF(SUM(U119:AY119)=0,"",SUM(U119:AY119))</f>
        <v/>
      </c>
      <c r="L119" s="57">
        <f>IFERROR(INDEX(U$2:AY$2,MATCH(TRUE,U119:AY119&lt;&gt;"",0)),"")</f>
        <v/>
      </c>
      <c r="M119" s="58">
        <f>IFERROR(LOOKUP(2,1/(U119:AY119&lt;&gt;""),U$2:AY$2),"")</f>
        <v/>
      </c>
      <c r="N119" s="59">
        <f>IF(OR(G119="",M119=""),"",G119-M119)</f>
        <v/>
      </c>
      <c r="O119" s="60" t="n"/>
      <c r="P119" s="61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  <c r="AG119" s="62" t="n"/>
      <c r="AH119" s="62" t="n"/>
      <c r="AI119" s="62" t="n"/>
      <c r="AJ119" s="62" t="n"/>
      <c r="AK119" s="62" t="n"/>
      <c r="AL119" s="62" t="n"/>
      <c r="AM119" s="62" t="n"/>
      <c r="AN119" s="62" t="n"/>
      <c r="AO119" s="62" t="n"/>
      <c r="AP119" s="62" t="n"/>
      <c r="AQ119" s="62" t="n"/>
      <c r="AR119" s="62" t="n"/>
      <c r="AS119" s="62" t="n"/>
      <c r="AT119" s="62" t="n"/>
      <c r="AU119" s="62" t="n"/>
      <c r="AV119" s="62" t="n"/>
      <c r="AW119" s="62" t="n"/>
      <c r="AX119" s="62" t="n"/>
      <c r="AY119" s="62" t="n"/>
    </row>
    <row r="120">
      <c r="A120" s="38">
        <f>IF(D120="","",COUNTA($D$102:D120))</f>
        <v/>
      </c>
      <c r="B120" s="52" t="n"/>
      <c r="C120" s="71" t="inlineStr">
        <is>
          <t>마케팅4팀</t>
        </is>
      </c>
      <c r="D120" s="52" t="n"/>
      <c r="E120" s="54" t="n"/>
      <c r="F120" s="52" t="n"/>
      <c r="G120" s="55" t="n"/>
      <c r="H120" s="54" t="n"/>
      <c r="I120" s="54" t="n"/>
      <c r="J120" s="54" t="n"/>
      <c r="K120" s="56">
        <f>IF(SUM(U120:AY120)=0,"",SUM(U120:AY120))</f>
        <v/>
      </c>
      <c r="L120" s="57">
        <f>IFERROR(INDEX(U$2:AY$2,MATCH(TRUE,U120:AY120&lt;&gt;"",0)),"")</f>
        <v/>
      </c>
      <c r="M120" s="58">
        <f>IFERROR(LOOKUP(2,1/(U120:AY120&lt;&gt;""),U$2:AY$2),"")</f>
        <v/>
      </c>
      <c r="N120" s="59">
        <f>IF(OR(G120="",M120=""),"",G120-M120)</f>
        <v/>
      </c>
      <c r="O120" s="60" t="n"/>
      <c r="P120" s="61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  <c r="AG120" s="62" t="n"/>
      <c r="AH120" s="62" t="n"/>
      <c r="AI120" s="62" t="n"/>
      <c r="AJ120" s="62" t="n"/>
      <c r="AK120" s="62" t="n"/>
      <c r="AL120" s="62" t="n"/>
      <c r="AM120" s="62" t="n"/>
      <c r="AN120" s="62" t="n"/>
      <c r="AO120" s="62" t="n"/>
      <c r="AP120" s="62" t="n"/>
      <c r="AQ120" s="62" t="n"/>
      <c r="AR120" s="62" t="n"/>
      <c r="AS120" s="62" t="n"/>
      <c r="AT120" s="62" t="n"/>
      <c r="AU120" s="62" t="n"/>
      <c r="AV120" s="62" t="n"/>
      <c r="AW120" s="62" t="n"/>
      <c r="AX120" s="62" t="n"/>
      <c r="AY120" s="62" t="n"/>
    </row>
    <row r="121">
      <c r="A121" s="38">
        <f>IF(D121="","",COUNTA($D$102:D121))</f>
        <v/>
      </c>
      <c r="B121" s="52" t="n"/>
      <c r="C121" s="71" t="inlineStr">
        <is>
          <t>마케팅4팀</t>
        </is>
      </c>
      <c r="D121" s="52" t="n"/>
      <c r="E121" s="54" t="n"/>
      <c r="F121" s="52" t="n"/>
      <c r="G121" s="55" t="n"/>
      <c r="H121" s="54" t="n"/>
      <c r="I121" s="54" t="n"/>
      <c r="J121" s="54" t="n"/>
      <c r="K121" s="56">
        <f>IF(SUM(U121:AY121)=0,"",SUM(U121:AY121))</f>
        <v/>
      </c>
      <c r="L121" s="57">
        <f>IFERROR(INDEX(U$2:AY$2,MATCH(TRUE,U121:AY121&lt;&gt;"",0)),"")</f>
        <v/>
      </c>
      <c r="M121" s="58">
        <f>IFERROR(LOOKUP(2,1/(U121:AY121&lt;&gt;""),U$2:AY$2),"")</f>
        <v/>
      </c>
      <c r="N121" s="59">
        <f>IF(OR(G121="",M121=""),"",G121-M121)</f>
        <v/>
      </c>
      <c r="O121" s="60" t="n"/>
      <c r="P121" s="61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  <c r="AG121" s="62" t="n"/>
      <c r="AH121" s="62" t="n"/>
      <c r="AI121" s="62" t="n"/>
      <c r="AJ121" s="62" t="n"/>
      <c r="AK121" s="62" t="n"/>
      <c r="AL121" s="62" t="n"/>
      <c r="AM121" s="62" t="n"/>
      <c r="AN121" s="62" t="n"/>
      <c r="AO121" s="62" t="n"/>
      <c r="AP121" s="62" t="n"/>
      <c r="AQ121" s="62" t="n"/>
      <c r="AR121" s="62" t="n"/>
      <c r="AS121" s="62" t="n"/>
      <c r="AT121" s="62" t="n"/>
      <c r="AU121" s="62" t="n"/>
      <c r="AV121" s="62" t="n"/>
      <c r="AW121" s="62" t="n"/>
      <c r="AX121" s="62" t="n"/>
      <c r="AY121" s="62" t="n"/>
    </row>
    <row r="122">
      <c r="A122" s="38">
        <f>IF(D122="","",COUNTA($D$102:D122))</f>
        <v/>
      </c>
      <c r="B122" s="52" t="n"/>
      <c r="C122" s="71" t="inlineStr">
        <is>
          <t>마케팅4팀</t>
        </is>
      </c>
      <c r="D122" s="52" t="n"/>
      <c r="E122" s="54" t="n"/>
      <c r="F122" s="52" t="n"/>
      <c r="G122" s="55" t="n"/>
      <c r="H122" s="54" t="n"/>
      <c r="I122" s="54" t="n"/>
      <c r="J122" s="54" t="n"/>
      <c r="K122" s="56">
        <f>IF(SUM(U122:AY122)=0,"",SUM(U122:AY122))</f>
        <v/>
      </c>
      <c r="L122" s="57">
        <f>IFERROR(INDEX(U$2:AY$2,MATCH(TRUE,U122:AY122&lt;&gt;"",0)),"")</f>
        <v/>
      </c>
      <c r="M122" s="58">
        <f>IFERROR(LOOKUP(2,1/(U122:AY122&lt;&gt;""),U$2:AY$2),"")</f>
        <v/>
      </c>
      <c r="N122" s="59">
        <f>IF(OR(G122="",M122=""),"",G122-M122)</f>
        <v/>
      </c>
      <c r="O122" s="60" t="n"/>
      <c r="P122" s="61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  <c r="AG122" s="62" t="n"/>
      <c r="AH122" s="62" t="n"/>
      <c r="AI122" s="62" t="n"/>
      <c r="AJ122" s="62" t="n"/>
      <c r="AK122" s="62" t="n"/>
      <c r="AL122" s="62" t="n"/>
      <c r="AM122" s="62" t="n"/>
      <c r="AN122" s="62" t="n"/>
      <c r="AO122" s="62" t="n"/>
      <c r="AP122" s="62" t="n"/>
      <c r="AQ122" s="62" t="n"/>
      <c r="AR122" s="62" t="n"/>
      <c r="AS122" s="62" t="n"/>
      <c r="AT122" s="62" t="n"/>
      <c r="AU122" s="62" t="n"/>
      <c r="AV122" s="62" t="n"/>
      <c r="AW122" s="62" t="n"/>
      <c r="AX122" s="62" t="n"/>
      <c r="AY122" s="62" t="n"/>
    </row>
    <row r="123">
      <c r="A123" s="38">
        <f>IF(D123="","",COUNTA($D$102:D123))</f>
        <v/>
      </c>
      <c r="B123" s="52" t="n"/>
      <c r="C123" s="71" t="inlineStr">
        <is>
          <t>마케팅4팀</t>
        </is>
      </c>
      <c r="D123" s="52" t="n"/>
      <c r="E123" s="54" t="n"/>
      <c r="F123" s="52" t="n"/>
      <c r="G123" s="55" t="n"/>
      <c r="H123" s="54" t="n"/>
      <c r="I123" s="54" t="n"/>
      <c r="J123" s="54" t="n"/>
      <c r="K123" s="56">
        <f>IF(SUM(U123:AY123)=0,"",SUM(U123:AY123))</f>
        <v/>
      </c>
      <c r="L123" s="57">
        <f>IFERROR(INDEX(U$2:AY$2,MATCH(TRUE,U123:AY123&lt;&gt;"",0)),"")</f>
        <v/>
      </c>
      <c r="M123" s="58">
        <f>IFERROR(LOOKUP(2,1/(U123:AY123&lt;&gt;""),U$2:AY$2),"")</f>
        <v/>
      </c>
      <c r="N123" s="59">
        <f>IF(OR(G123="",M123=""),"",G123-M123)</f>
        <v/>
      </c>
      <c r="O123" s="60" t="n"/>
      <c r="P123" s="61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  <c r="AG123" s="62" t="n"/>
      <c r="AH123" s="62" t="n"/>
      <c r="AI123" s="62" t="n"/>
      <c r="AJ123" s="62" t="n"/>
      <c r="AK123" s="62" t="n"/>
      <c r="AL123" s="62" t="n"/>
      <c r="AM123" s="62" t="n"/>
      <c r="AN123" s="62" t="n"/>
      <c r="AO123" s="62" t="n"/>
      <c r="AP123" s="62" t="n"/>
      <c r="AQ123" s="62" t="n"/>
      <c r="AR123" s="62" t="n"/>
      <c r="AS123" s="62" t="n"/>
      <c r="AT123" s="62" t="n"/>
      <c r="AU123" s="62" t="n"/>
      <c r="AV123" s="62" t="n"/>
      <c r="AW123" s="62" t="n"/>
      <c r="AX123" s="62" t="n"/>
      <c r="AY123" s="62" t="n"/>
    </row>
    <row r="124">
      <c r="A124" s="38">
        <f>IF(D124="","",COUNTA($D$102:D124))</f>
        <v/>
      </c>
      <c r="B124" s="52" t="n"/>
      <c r="C124" s="71" t="inlineStr">
        <is>
          <t>마케팅4팀</t>
        </is>
      </c>
      <c r="D124" s="52" t="n"/>
      <c r="E124" s="54" t="n"/>
      <c r="F124" s="52" t="n"/>
      <c r="G124" s="55" t="n"/>
      <c r="H124" s="54" t="n"/>
      <c r="I124" s="54" t="n"/>
      <c r="J124" s="54" t="n"/>
      <c r="K124" s="56">
        <f>IF(SUM(U124:AY124)=0,"",SUM(U124:AY124))</f>
        <v/>
      </c>
      <c r="L124" s="57">
        <f>IFERROR(INDEX(U$2:AY$2,MATCH(TRUE,U124:AY124&lt;&gt;"",0)),"")</f>
        <v/>
      </c>
      <c r="M124" s="58">
        <f>IFERROR(LOOKUP(2,1/(U124:AY124&lt;&gt;""),U$2:AY$2),"")</f>
        <v/>
      </c>
      <c r="N124" s="59">
        <f>IF(OR(G124="",M124=""),"",G124-M124)</f>
        <v/>
      </c>
      <c r="O124" s="60" t="n"/>
      <c r="P124" s="61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  <c r="AG124" s="62" t="n"/>
      <c r="AH124" s="62" t="n"/>
      <c r="AI124" s="62" t="n"/>
      <c r="AJ124" s="62" t="n"/>
      <c r="AK124" s="62" t="n"/>
      <c r="AL124" s="62" t="n"/>
      <c r="AM124" s="62" t="n"/>
      <c r="AN124" s="62" t="n"/>
      <c r="AO124" s="62" t="n"/>
      <c r="AP124" s="62" t="n"/>
      <c r="AQ124" s="62" t="n"/>
      <c r="AR124" s="62" t="n"/>
      <c r="AS124" s="62" t="n"/>
      <c r="AT124" s="62" t="n"/>
      <c r="AU124" s="62" t="n"/>
      <c r="AV124" s="62" t="n"/>
      <c r="AW124" s="62" t="n"/>
      <c r="AX124" s="62" t="n"/>
      <c r="AY124" s="62" t="n"/>
    </row>
    <row r="125">
      <c r="A125" s="38">
        <f>IF(D125="","",COUNTA($D$102:D125))</f>
        <v/>
      </c>
      <c r="B125" s="52" t="n"/>
      <c r="C125" s="71" t="inlineStr">
        <is>
          <t>마케팅4팀</t>
        </is>
      </c>
      <c r="D125" s="52" t="n"/>
      <c r="E125" s="54" t="n"/>
      <c r="F125" s="52" t="n"/>
      <c r="G125" s="55" t="n"/>
      <c r="H125" s="54" t="n"/>
      <c r="I125" s="54" t="n"/>
      <c r="J125" s="54" t="n"/>
      <c r="K125" s="56">
        <f>IF(SUM(U125:AY125)=0,"",SUM(U125:AY125))</f>
        <v/>
      </c>
      <c r="L125" s="57">
        <f>IFERROR(INDEX(U$2:AY$2,MATCH(TRUE,U125:AY125&lt;&gt;"",0)),"")</f>
        <v/>
      </c>
      <c r="M125" s="58">
        <f>IFERROR(LOOKUP(2,1/(U125:AY125&lt;&gt;""),U$2:AY$2),"")</f>
        <v/>
      </c>
      <c r="N125" s="59">
        <f>IF(OR(G125="",M125=""),"",G125-M125)</f>
        <v/>
      </c>
      <c r="O125" s="60" t="n"/>
      <c r="P125" s="61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  <c r="AG125" s="62" t="n"/>
      <c r="AH125" s="62" t="n"/>
      <c r="AI125" s="62" t="n"/>
      <c r="AJ125" s="62" t="n"/>
      <c r="AK125" s="62" t="n"/>
      <c r="AL125" s="62" t="n"/>
      <c r="AM125" s="62" t="n"/>
      <c r="AN125" s="62" t="n"/>
      <c r="AO125" s="62" t="n"/>
      <c r="AP125" s="62" t="n"/>
      <c r="AQ125" s="62" t="n"/>
      <c r="AR125" s="62" t="n"/>
      <c r="AS125" s="62" t="n"/>
      <c r="AT125" s="62" t="n"/>
      <c r="AU125" s="62" t="n"/>
      <c r="AV125" s="62" t="n"/>
      <c r="AW125" s="62" t="n"/>
      <c r="AX125" s="62" t="n"/>
      <c r="AY125" s="62" t="n"/>
    </row>
    <row r="126">
      <c r="A126" s="38">
        <f>IF(D126="","",COUNTA($D$102:D126))</f>
        <v/>
      </c>
      <c r="B126" s="52" t="n"/>
      <c r="C126" s="71" t="inlineStr">
        <is>
          <t>마케팅4팀</t>
        </is>
      </c>
      <c r="D126" s="52" t="n"/>
      <c r="E126" s="54" t="n"/>
      <c r="F126" s="52" t="n"/>
      <c r="G126" s="55" t="n"/>
      <c r="H126" s="54" t="n"/>
      <c r="I126" s="54" t="n"/>
      <c r="J126" s="54" t="n"/>
      <c r="K126" s="56">
        <f>IF(SUM(U126:AY126)=0,"",SUM(U126:AY126))</f>
        <v/>
      </c>
      <c r="L126" s="57">
        <f>IFERROR(INDEX(U$2:AY$2,MATCH(TRUE,U126:AY126&lt;&gt;"",0)),"")</f>
        <v/>
      </c>
      <c r="M126" s="58">
        <f>IFERROR(LOOKUP(2,1/(U126:AY126&lt;&gt;""),U$2:AY$2),"")</f>
        <v/>
      </c>
      <c r="N126" s="59">
        <f>IF(OR(G126="",M126=""),"",G126-M126)</f>
        <v/>
      </c>
      <c r="O126" s="60" t="n"/>
      <c r="P126" s="61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  <c r="AG126" s="62" t="n"/>
      <c r="AH126" s="62" t="n"/>
      <c r="AI126" s="62" t="n"/>
      <c r="AJ126" s="62" t="n"/>
      <c r="AK126" s="62" t="n"/>
      <c r="AL126" s="62" t="n"/>
      <c r="AM126" s="62" t="n"/>
      <c r="AN126" s="62" t="n"/>
      <c r="AO126" s="62" t="n"/>
      <c r="AP126" s="62" t="n"/>
      <c r="AQ126" s="62" t="n"/>
      <c r="AR126" s="62" t="n"/>
      <c r="AS126" s="62" t="n"/>
      <c r="AT126" s="62" t="n"/>
      <c r="AU126" s="62" t="n"/>
      <c r="AV126" s="62" t="n"/>
      <c r="AW126" s="62" t="n"/>
      <c r="AX126" s="62" t="n"/>
      <c r="AY126" s="62" t="n"/>
    </row>
    <row r="127">
      <c r="A127" s="38">
        <f>IF(D127="","",COUNTA($D$102:D127))</f>
        <v/>
      </c>
      <c r="B127" s="52" t="n"/>
      <c r="C127" s="71" t="inlineStr">
        <is>
          <t>마케팅4팀</t>
        </is>
      </c>
      <c r="D127" s="52" t="n"/>
      <c r="E127" s="54" t="n"/>
      <c r="F127" s="52" t="n"/>
      <c r="G127" s="55" t="n"/>
      <c r="H127" s="54" t="n"/>
      <c r="I127" s="54" t="n"/>
      <c r="J127" s="54" t="n"/>
      <c r="K127" s="56">
        <f>IF(SUM(U127:AY127)=0,"",SUM(U127:AY127))</f>
        <v/>
      </c>
      <c r="L127" s="57">
        <f>IFERROR(INDEX(U$2:AY$2,MATCH(TRUE,U127:AY127&lt;&gt;"",0)),"")</f>
        <v/>
      </c>
      <c r="M127" s="58">
        <f>IFERROR(LOOKUP(2,1/(U127:AY127&lt;&gt;""),U$2:AY$2),"")</f>
        <v/>
      </c>
      <c r="N127" s="59">
        <f>IF(OR(G127="",M127=""),"",G127-M127)</f>
        <v/>
      </c>
      <c r="O127" s="60" t="n"/>
      <c r="P127" s="61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  <c r="AG127" s="62" t="n"/>
      <c r="AH127" s="62" t="n"/>
      <c r="AI127" s="62" t="n"/>
      <c r="AJ127" s="62" t="n"/>
      <c r="AK127" s="62" t="n"/>
      <c r="AL127" s="62" t="n"/>
      <c r="AM127" s="62" t="n"/>
      <c r="AN127" s="62" t="n"/>
      <c r="AO127" s="62" t="n"/>
      <c r="AP127" s="62" t="n"/>
      <c r="AQ127" s="62" t="n"/>
      <c r="AR127" s="62" t="n"/>
      <c r="AS127" s="62" t="n"/>
      <c r="AT127" s="62" t="n"/>
      <c r="AU127" s="62" t="n"/>
      <c r="AV127" s="62" t="n"/>
      <c r="AW127" s="62" t="n"/>
      <c r="AX127" s="62" t="n"/>
      <c r="AY127" s="62" t="n"/>
    </row>
    <row r="128">
      <c r="A128" s="38">
        <f>IF(D128="","",COUNTA($D$102:D128))</f>
        <v/>
      </c>
      <c r="B128" s="52" t="n"/>
      <c r="C128" s="71" t="inlineStr">
        <is>
          <t>마케팅4팀</t>
        </is>
      </c>
      <c r="D128" s="52" t="n"/>
      <c r="E128" s="54" t="n"/>
      <c r="F128" s="52" t="n"/>
      <c r="G128" s="55" t="n"/>
      <c r="H128" s="54" t="n"/>
      <c r="I128" s="54" t="n"/>
      <c r="J128" s="54" t="n"/>
      <c r="K128" s="56">
        <f>IF(SUM(U128:AY128)=0,"",SUM(U128:AY128))</f>
        <v/>
      </c>
      <c r="L128" s="57">
        <f>IFERROR(INDEX(U$2:AY$2,MATCH(TRUE,U128:AY128&lt;&gt;"",0)),"")</f>
        <v/>
      </c>
      <c r="M128" s="58">
        <f>IFERROR(LOOKUP(2,1/(U128:AY128&lt;&gt;""),U$2:AY$2),"")</f>
        <v/>
      </c>
      <c r="N128" s="59">
        <f>IF(OR(G128="",M128=""),"",G128-M128)</f>
        <v/>
      </c>
      <c r="O128" s="60" t="n"/>
      <c r="P128" s="61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  <c r="AG128" s="62" t="n"/>
      <c r="AH128" s="62" t="n"/>
      <c r="AI128" s="62" t="n"/>
      <c r="AJ128" s="62" t="n"/>
      <c r="AK128" s="62" t="n"/>
      <c r="AL128" s="62" t="n"/>
      <c r="AM128" s="62" t="n"/>
      <c r="AN128" s="62" t="n"/>
      <c r="AO128" s="62" t="n"/>
      <c r="AP128" s="62" t="n"/>
      <c r="AQ128" s="62" t="n"/>
      <c r="AR128" s="62" t="n"/>
      <c r="AS128" s="62" t="n"/>
      <c r="AT128" s="62" t="n"/>
      <c r="AU128" s="62" t="n"/>
      <c r="AV128" s="62" t="n"/>
      <c r="AW128" s="62" t="n"/>
      <c r="AX128" s="62" t="n"/>
      <c r="AY128" s="62" t="n"/>
    </row>
    <row r="129">
      <c r="A129" s="38">
        <f>IF(D129="","",COUNTA($D$102:D129))</f>
        <v/>
      </c>
      <c r="B129" s="52" t="n"/>
      <c r="C129" s="71" t="inlineStr">
        <is>
          <t>마케팅4팀</t>
        </is>
      </c>
      <c r="D129" s="52" t="n"/>
      <c r="E129" s="54" t="n"/>
      <c r="F129" s="52" t="n"/>
      <c r="G129" s="55" t="n"/>
      <c r="H129" s="54" t="n"/>
      <c r="I129" s="54" t="n"/>
      <c r="J129" s="54" t="n"/>
      <c r="K129" s="56">
        <f>IF(SUM(U129:AY129)=0,"",SUM(U129:AY129))</f>
        <v/>
      </c>
      <c r="L129" s="57">
        <f>IFERROR(INDEX(U$2:AY$2,MATCH(TRUE,U129:AY129&lt;&gt;"",0)),"")</f>
        <v/>
      </c>
      <c r="M129" s="58">
        <f>IFERROR(LOOKUP(2,1/(U129:AY129&lt;&gt;""),U$2:AY$2),"")</f>
        <v/>
      </c>
      <c r="N129" s="59">
        <f>IF(OR(G129="",M129=""),"",G129-M129)</f>
        <v/>
      </c>
      <c r="O129" s="60" t="n"/>
      <c r="P129" s="61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  <c r="AG129" s="62" t="n"/>
      <c r="AH129" s="62" t="n"/>
      <c r="AI129" s="62" t="n"/>
      <c r="AJ129" s="62" t="n"/>
      <c r="AK129" s="62" t="n"/>
      <c r="AL129" s="62" t="n"/>
      <c r="AM129" s="62" t="n"/>
      <c r="AN129" s="62" t="n"/>
      <c r="AO129" s="62" t="n"/>
      <c r="AP129" s="62" t="n"/>
      <c r="AQ129" s="62" t="n"/>
      <c r="AR129" s="62" t="n"/>
      <c r="AS129" s="62" t="n"/>
      <c r="AT129" s="62" t="n"/>
      <c r="AU129" s="62" t="n"/>
      <c r="AV129" s="62" t="n"/>
      <c r="AW129" s="62" t="n"/>
      <c r="AX129" s="62" t="n"/>
      <c r="AY129" s="62" t="n"/>
    </row>
    <row r="130">
      <c r="A130" s="38">
        <f>IF(D130="","",COUNTA($D$102:D130))</f>
        <v/>
      </c>
      <c r="B130" s="52" t="n"/>
      <c r="C130" s="71" t="inlineStr">
        <is>
          <t>마케팅4팀</t>
        </is>
      </c>
      <c r="D130" s="52" t="n"/>
      <c r="E130" s="54" t="n"/>
      <c r="F130" s="52" t="n"/>
      <c r="G130" s="55" t="n"/>
      <c r="H130" s="54" t="n"/>
      <c r="I130" s="54" t="n"/>
      <c r="J130" s="54" t="n"/>
      <c r="K130" s="56">
        <f>IF(SUM(U130:AY130)=0,"",SUM(U130:AY130))</f>
        <v/>
      </c>
      <c r="L130" s="57">
        <f>IFERROR(INDEX(U$2:AY$2,MATCH(TRUE,U130:AY130&lt;&gt;"",0)),"")</f>
        <v/>
      </c>
      <c r="M130" s="58">
        <f>IFERROR(LOOKUP(2,1/(U130:AY130&lt;&gt;""),U$2:AY$2),"")</f>
        <v/>
      </c>
      <c r="N130" s="59">
        <f>IF(OR(G130="",M130=""),"",G130-M130)</f>
        <v/>
      </c>
      <c r="O130" s="60" t="n"/>
      <c r="P130" s="61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  <c r="AG130" s="62" t="n"/>
      <c r="AH130" s="62" t="n"/>
      <c r="AI130" s="62" t="n"/>
      <c r="AJ130" s="62" t="n"/>
      <c r="AK130" s="62" t="n"/>
      <c r="AL130" s="62" t="n"/>
      <c r="AM130" s="62" t="n"/>
      <c r="AN130" s="62" t="n"/>
      <c r="AO130" s="62" t="n"/>
      <c r="AP130" s="62" t="n"/>
      <c r="AQ130" s="62" t="n"/>
      <c r="AR130" s="62" t="n"/>
      <c r="AS130" s="62" t="n"/>
      <c r="AT130" s="62" t="n"/>
      <c r="AU130" s="62" t="n"/>
      <c r="AV130" s="62" t="n"/>
      <c r="AW130" s="62" t="n"/>
      <c r="AX130" s="62" t="n"/>
      <c r="AY130" s="62" t="n"/>
    </row>
    <row r="131">
      <c r="A131" s="38">
        <f>IF(D131="","",COUNTA($D$102:D131))</f>
        <v/>
      </c>
      <c r="B131" s="52" t="n"/>
      <c r="C131" s="71" t="inlineStr">
        <is>
          <t>마케팅4팀</t>
        </is>
      </c>
      <c r="D131" s="52" t="n"/>
      <c r="E131" s="54" t="n"/>
      <c r="F131" s="52" t="n"/>
      <c r="G131" s="55" t="n"/>
      <c r="H131" s="54" t="n"/>
      <c r="I131" s="54" t="n"/>
      <c r="J131" s="54" t="n"/>
      <c r="K131" s="56">
        <f>IF(SUM(U131:AY131)=0,"",SUM(U131:AY131))</f>
        <v/>
      </c>
      <c r="L131" s="57">
        <f>IFERROR(INDEX(U$2:AY$2,MATCH(TRUE,U131:AY131&lt;&gt;"",0)),"")</f>
        <v/>
      </c>
      <c r="M131" s="58">
        <f>IFERROR(LOOKUP(2,1/(U131:AY131&lt;&gt;""),U$2:AY$2),"")</f>
        <v/>
      </c>
      <c r="N131" s="59">
        <f>IF(OR(G131="",M131=""),"",G131-M131)</f>
        <v/>
      </c>
      <c r="O131" s="60" t="n"/>
      <c r="P131" s="61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  <c r="AG131" s="62" t="n"/>
      <c r="AH131" s="62" t="n"/>
      <c r="AI131" s="62" t="n"/>
      <c r="AJ131" s="62" t="n"/>
      <c r="AK131" s="62" t="n"/>
      <c r="AL131" s="62" t="n"/>
      <c r="AM131" s="62" t="n"/>
      <c r="AN131" s="62" t="n"/>
      <c r="AO131" s="62" t="n"/>
      <c r="AP131" s="62" t="n"/>
      <c r="AQ131" s="62" t="n"/>
      <c r="AR131" s="62" t="n"/>
      <c r="AS131" s="62" t="n"/>
      <c r="AT131" s="62" t="n"/>
      <c r="AU131" s="62" t="n"/>
      <c r="AV131" s="62" t="n"/>
      <c r="AW131" s="62" t="n"/>
      <c r="AX131" s="62" t="n"/>
      <c r="AY131" s="62" t="n"/>
    </row>
    <row r="132">
      <c r="A132" s="72" t="inlineStr">
        <is>
          <t>기타  (133~162행)</t>
        </is>
      </c>
      <c r="U132" s="34" t="n"/>
      <c r="V132" s="34" t="n"/>
      <c r="W132" s="34" t="n"/>
      <c r="X132" s="34" t="n"/>
      <c r="Y132" s="34" t="n"/>
      <c r="Z132" s="34" t="n"/>
      <c r="AA132" s="34" t="n"/>
      <c r="AB132" s="34" t="n"/>
      <c r="AC132" s="34" t="n"/>
      <c r="AD132" s="34" t="n"/>
      <c r="AE132" s="34" t="n"/>
      <c r="AF132" s="34" t="n"/>
      <c r="AG132" s="34" t="n"/>
      <c r="AH132" s="34" t="n"/>
      <c r="AI132" s="34" t="n"/>
      <c r="AJ132" s="34" t="n"/>
      <c r="AK132" s="34" t="n"/>
      <c r="AL132" s="34" t="n"/>
      <c r="AM132" s="34" t="n"/>
      <c r="AN132" s="34" t="n"/>
      <c r="AO132" s="34" t="n"/>
      <c r="AP132" s="34" t="n"/>
      <c r="AQ132" s="34" t="n"/>
      <c r="AR132" s="34" t="n"/>
      <c r="AS132" s="34" t="n"/>
      <c r="AT132" s="34" t="n"/>
      <c r="AU132" s="34" t="n"/>
      <c r="AV132" s="34" t="n"/>
      <c r="AW132" s="34" t="n"/>
      <c r="AX132" s="34" t="n"/>
      <c r="AY132" s="34" t="n"/>
    </row>
    <row r="133">
      <c r="A133" s="38">
        <f>IF(D133="","",COUNTA($D$133:D133))</f>
        <v/>
      </c>
      <c r="B133" s="52" t="n"/>
      <c r="C133" s="73" t="inlineStr">
        <is>
          <t>기타</t>
        </is>
      </c>
      <c r="D133" s="52" t="n"/>
      <c r="E133" s="54" t="n"/>
      <c r="F133" s="52" t="n"/>
      <c r="G133" s="55" t="n"/>
      <c r="H133" s="54" t="n"/>
      <c r="I133" s="54" t="n"/>
      <c r="J133" s="54" t="n"/>
      <c r="K133" s="56">
        <f>IF(SUM(U133:AY133)=0,"",SUM(U133:AY133))</f>
        <v/>
      </c>
      <c r="L133" s="57">
        <f>IFERROR(INDEX(U$2:AY$2,MATCH(TRUE,U133:AY133&lt;&gt;"",0)),"")</f>
        <v/>
      </c>
      <c r="M133" s="58">
        <f>IFERROR(LOOKUP(2,1/(U133:AY133&lt;&gt;""),U$2:AY$2),"")</f>
        <v/>
      </c>
      <c r="N133" s="59">
        <f>IF(OR(G133="",M133=""),"",G133-M133)</f>
        <v/>
      </c>
      <c r="O133" s="60" t="n"/>
      <c r="P133" s="61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  <c r="AG133" s="62" t="n"/>
      <c r="AH133" s="62" t="n"/>
      <c r="AI133" s="62" t="n"/>
      <c r="AJ133" s="62" t="n"/>
      <c r="AK133" s="62" t="n"/>
      <c r="AL133" s="62" t="n"/>
      <c r="AM133" s="62" t="n"/>
      <c r="AN133" s="62" t="n"/>
      <c r="AO133" s="62" t="n"/>
      <c r="AP133" s="62" t="n"/>
      <c r="AQ133" s="62" t="n"/>
      <c r="AR133" s="62" t="n"/>
      <c r="AS133" s="62" t="n"/>
      <c r="AT133" s="62" t="n"/>
      <c r="AU133" s="62" t="n"/>
      <c r="AV133" s="62" t="n"/>
      <c r="AW133" s="62" t="n"/>
      <c r="AX133" s="62" t="n"/>
      <c r="AY133" s="62" t="n"/>
    </row>
    <row r="134">
      <c r="A134" s="38">
        <f>IF(D134="","",COUNTA($D$133:D134))</f>
        <v/>
      </c>
      <c r="B134" s="52" t="n"/>
      <c r="C134" s="73" t="inlineStr">
        <is>
          <t>기타</t>
        </is>
      </c>
      <c r="D134" s="52" t="n"/>
      <c r="E134" s="54" t="n"/>
      <c r="F134" s="52" t="n"/>
      <c r="G134" s="55" t="n"/>
      <c r="H134" s="54" t="n"/>
      <c r="I134" s="54" t="n"/>
      <c r="J134" s="54" t="n"/>
      <c r="K134" s="56">
        <f>IF(SUM(U134:AY134)=0,"",SUM(U134:AY134))</f>
        <v/>
      </c>
      <c r="L134" s="57">
        <f>IFERROR(INDEX(U$2:AY$2,MATCH(TRUE,U134:AY134&lt;&gt;"",0)),"")</f>
        <v/>
      </c>
      <c r="M134" s="58">
        <f>IFERROR(LOOKUP(2,1/(U134:AY134&lt;&gt;""),U$2:AY$2),"")</f>
        <v/>
      </c>
      <c r="N134" s="59">
        <f>IF(OR(G134="",M134=""),"",G134-M134)</f>
        <v/>
      </c>
      <c r="O134" s="60" t="n"/>
      <c r="P134" s="61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  <c r="AG134" s="62" t="n"/>
      <c r="AH134" s="62" t="n"/>
      <c r="AI134" s="62" t="n"/>
      <c r="AJ134" s="62" t="n"/>
      <c r="AK134" s="62" t="n"/>
      <c r="AL134" s="62" t="n"/>
      <c r="AM134" s="62" t="n"/>
      <c r="AN134" s="62" t="n"/>
      <c r="AO134" s="62" t="n"/>
      <c r="AP134" s="62" t="n"/>
      <c r="AQ134" s="62" t="n"/>
      <c r="AR134" s="62" t="n"/>
      <c r="AS134" s="62" t="n"/>
      <c r="AT134" s="62" t="n"/>
      <c r="AU134" s="62" t="n"/>
      <c r="AV134" s="62" t="n"/>
      <c r="AW134" s="62" t="n"/>
      <c r="AX134" s="62" t="n"/>
      <c r="AY134" s="62" t="n"/>
    </row>
    <row r="135">
      <c r="A135" s="38">
        <f>IF(D135="","",COUNTA($D$133:D135))</f>
        <v/>
      </c>
      <c r="B135" s="52" t="n"/>
      <c r="C135" s="73" t="inlineStr">
        <is>
          <t>기타</t>
        </is>
      </c>
      <c r="D135" s="52" t="n"/>
      <c r="E135" s="54" t="n"/>
      <c r="F135" s="52" t="n"/>
      <c r="G135" s="55" t="n"/>
      <c r="H135" s="54" t="n"/>
      <c r="I135" s="54" t="n"/>
      <c r="J135" s="54" t="n"/>
      <c r="K135" s="56">
        <f>IF(SUM(U135:AY135)=0,"",SUM(U135:AY135))</f>
        <v/>
      </c>
      <c r="L135" s="57">
        <f>IFERROR(INDEX(U$2:AY$2,MATCH(TRUE,U135:AY135&lt;&gt;"",0)),"")</f>
        <v/>
      </c>
      <c r="M135" s="58">
        <f>IFERROR(LOOKUP(2,1/(U135:AY135&lt;&gt;""),U$2:AY$2),"")</f>
        <v/>
      </c>
      <c r="N135" s="59">
        <f>IF(OR(G135="",M135=""),"",G135-M135)</f>
        <v/>
      </c>
      <c r="O135" s="60" t="n"/>
      <c r="P135" s="61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  <c r="AG135" s="62" t="n"/>
      <c r="AH135" s="62" t="n"/>
      <c r="AI135" s="62" t="n"/>
      <c r="AJ135" s="62" t="n"/>
      <c r="AK135" s="62" t="n"/>
      <c r="AL135" s="62" t="n"/>
      <c r="AM135" s="62" t="n"/>
      <c r="AN135" s="62" t="n"/>
      <c r="AO135" s="62" t="n"/>
      <c r="AP135" s="62" t="n"/>
      <c r="AQ135" s="62" t="n"/>
      <c r="AR135" s="62" t="n"/>
      <c r="AS135" s="62" t="n"/>
      <c r="AT135" s="62" t="n"/>
      <c r="AU135" s="62" t="n"/>
      <c r="AV135" s="62" t="n"/>
      <c r="AW135" s="62" t="n"/>
      <c r="AX135" s="62" t="n"/>
      <c r="AY135" s="62" t="n"/>
    </row>
    <row r="136">
      <c r="A136" s="38">
        <f>IF(D136="","",COUNTA($D$133:D136))</f>
        <v/>
      </c>
      <c r="B136" s="52" t="n"/>
      <c r="C136" s="73" t="inlineStr">
        <is>
          <t>기타</t>
        </is>
      </c>
      <c r="D136" s="52" t="n"/>
      <c r="E136" s="54" t="n"/>
      <c r="F136" s="52" t="n"/>
      <c r="G136" s="55" t="n"/>
      <c r="H136" s="54" t="n"/>
      <c r="I136" s="54" t="n"/>
      <c r="J136" s="54" t="n"/>
      <c r="K136" s="56">
        <f>IF(SUM(U136:AY136)=0,"",SUM(U136:AY136))</f>
        <v/>
      </c>
      <c r="L136" s="57">
        <f>IFERROR(INDEX(U$2:AY$2,MATCH(TRUE,U136:AY136&lt;&gt;"",0)),"")</f>
        <v/>
      </c>
      <c r="M136" s="58">
        <f>IFERROR(LOOKUP(2,1/(U136:AY136&lt;&gt;""),U$2:AY$2),"")</f>
        <v/>
      </c>
      <c r="N136" s="59">
        <f>IF(OR(G136="",M136=""),"",G136-M136)</f>
        <v/>
      </c>
      <c r="O136" s="60" t="n"/>
      <c r="P136" s="61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  <c r="AG136" s="62" t="n"/>
      <c r="AH136" s="62" t="n"/>
      <c r="AI136" s="62" t="n"/>
      <c r="AJ136" s="62" t="n"/>
      <c r="AK136" s="62" t="n"/>
      <c r="AL136" s="62" t="n"/>
      <c r="AM136" s="62" t="n"/>
      <c r="AN136" s="62" t="n"/>
      <c r="AO136" s="62" t="n"/>
      <c r="AP136" s="62" t="n"/>
      <c r="AQ136" s="62" t="n"/>
      <c r="AR136" s="62" t="n"/>
      <c r="AS136" s="62" t="n"/>
      <c r="AT136" s="62" t="n"/>
      <c r="AU136" s="62" t="n"/>
      <c r="AV136" s="62" t="n"/>
      <c r="AW136" s="62" t="n"/>
      <c r="AX136" s="62" t="n"/>
      <c r="AY136" s="62" t="n"/>
    </row>
    <row r="137">
      <c r="A137" s="38">
        <f>IF(D137="","",COUNTA($D$133:D137))</f>
        <v/>
      </c>
      <c r="B137" s="52" t="n"/>
      <c r="C137" s="73" t="inlineStr">
        <is>
          <t>기타</t>
        </is>
      </c>
      <c r="D137" s="52" t="n"/>
      <c r="E137" s="54" t="n"/>
      <c r="F137" s="52" t="n"/>
      <c r="G137" s="55" t="n"/>
      <c r="H137" s="54" t="n"/>
      <c r="I137" s="54" t="n"/>
      <c r="J137" s="54" t="n"/>
      <c r="K137" s="56">
        <f>IF(SUM(U137:AY137)=0,"",SUM(U137:AY137))</f>
        <v/>
      </c>
      <c r="L137" s="57">
        <f>IFERROR(INDEX(U$2:AY$2,MATCH(TRUE,U137:AY137&lt;&gt;"",0)),"")</f>
        <v/>
      </c>
      <c r="M137" s="58">
        <f>IFERROR(LOOKUP(2,1/(U137:AY137&lt;&gt;""),U$2:AY$2),"")</f>
        <v/>
      </c>
      <c r="N137" s="59">
        <f>IF(OR(G137="",M137=""),"",G137-M137)</f>
        <v/>
      </c>
      <c r="O137" s="60" t="n"/>
      <c r="P137" s="61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  <c r="AG137" s="62" t="n"/>
      <c r="AH137" s="62" t="n"/>
      <c r="AI137" s="62" t="n"/>
      <c r="AJ137" s="62" t="n"/>
      <c r="AK137" s="62" t="n"/>
      <c r="AL137" s="62" t="n"/>
      <c r="AM137" s="62" t="n"/>
      <c r="AN137" s="62" t="n"/>
      <c r="AO137" s="62" t="n"/>
      <c r="AP137" s="62" t="n"/>
      <c r="AQ137" s="62" t="n"/>
      <c r="AR137" s="62" t="n"/>
      <c r="AS137" s="62" t="n"/>
      <c r="AT137" s="62" t="n"/>
      <c r="AU137" s="62" t="n"/>
      <c r="AV137" s="62" t="n"/>
      <c r="AW137" s="62" t="n"/>
      <c r="AX137" s="62" t="n"/>
      <c r="AY137" s="62" t="n"/>
    </row>
    <row r="138">
      <c r="A138" s="38">
        <f>IF(D138="","",COUNTA($D$133:D138))</f>
        <v/>
      </c>
      <c r="B138" s="52" t="n"/>
      <c r="C138" s="73" t="inlineStr">
        <is>
          <t>기타</t>
        </is>
      </c>
      <c r="D138" s="52" t="n"/>
      <c r="E138" s="54" t="n"/>
      <c r="F138" s="52" t="n"/>
      <c r="G138" s="55" t="n"/>
      <c r="H138" s="54" t="n"/>
      <c r="I138" s="54" t="n"/>
      <c r="J138" s="54" t="n"/>
      <c r="K138" s="56">
        <f>IF(SUM(U138:AY138)=0,"",SUM(U138:AY138))</f>
        <v/>
      </c>
      <c r="L138" s="57">
        <f>IFERROR(INDEX(U$2:AY$2,MATCH(TRUE,U138:AY138&lt;&gt;"",0)),"")</f>
        <v/>
      </c>
      <c r="M138" s="58">
        <f>IFERROR(LOOKUP(2,1/(U138:AY138&lt;&gt;""),U$2:AY$2),"")</f>
        <v/>
      </c>
      <c r="N138" s="59">
        <f>IF(OR(G138="",M138=""),"",G138-M138)</f>
        <v/>
      </c>
      <c r="O138" s="60" t="n"/>
      <c r="P138" s="61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  <c r="AG138" s="62" t="n"/>
      <c r="AH138" s="62" t="n"/>
      <c r="AI138" s="62" t="n"/>
      <c r="AJ138" s="62" t="n"/>
      <c r="AK138" s="62" t="n"/>
      <c r="AL138" s="62" t="n"/>
      <c r="AM138" s="62" t="n"/>
      <c r="AN138" s="62" t="n"/>
      <c r="AO138" s="62" t="n"/>
      <c r="AP138" s="62" t="n"/>
      <c r="AQ138" s="62" t="n"/>
      <c r="AR138" s="62" t="n"/>
      <c r="AS138" s="62" t="n"/>
      <c r="AT138" s="62" t="n"/>
      <c r="AU138" s="62" t="n"/>
      <c r="AV138" s="62" t="n"/>
      <c r="AW138" s="62" t="n"/>
      <c r="AX138" s="62" t="n"/>
      <c r="AY138" s="62" t="n"/>
    </row>
    <row r="139">
      <c r="A139" s="38">
        <f>IF(D139="","",COUNTA($D$133:D139))</f>
        <v/>
      </c>
      <c r="B139" s="52" t="n"/>
      <c r="C139" s="73" t="inlineStr">
        <is>
          <t>기타</t>
        </is>
      </c>
      <c r="D139" s="52" t="n"/>
      <c r="E139" s="54" t="n"/>
      <c r="F139" s="52" t="n"/>
      <c r="G139" s="55" t="n"/>
      <c r="H139" s="54" t="n"/>
      <c r="I139" s="54" t="n"/>
      <c r="J139" s="54" t="n"/>
      <c r="K139" s="56">
        <f>IF(SUM(U139:AY139)=0,"",SUM(U139:AY139))</f>
        <v/>
      </c>
      <c r="L139" s="57">
        <f>IFERROR(INDEX(U$2:AY$2,MATCH(TRUE,U139:AY139&lt;&gt;"",0)),"")</f>
        <v/>
      </c>
      <c r="M139" s="58">
        <f>IFERROR(LOOKUP(2,1/(U139:AY139&lt;&gt;""),U$2:AY$2),"")</f>
        <v/>
      </c>
      <c r="N139" s="59">
        <f>IF(OR(G139="",M139=""),"",G139-M139)</f>
        <v/>
      </c>
      <c r="O139" s="60" t="n"/>
      <c r="P139" s="61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  <c r="AG139" s="62" t="n"/>
      <c r="AH139" s="62" t="n"/>
      <c r="AI139" s="62" t="n"/>
      <c r="AJ139" s="62" t="n"/>
      <c r="AK139" s="62" t="n"/>
      <c r="AL139" s="62" t="n"/>
      <c r="AM139" s="62" t="n"/>
      <c r="AN139" s="62" t="n"/>
      <c r="AO139" s="62" t="n"/>
      <c r="AP139" s="62" t="n"/>
      <c r="AQ139" s="62" t="n"/>
      <c r="AR139" s="62" t="n"/>
      <c r="AS139" s="62" t="n"/>
      <c r="AT139" s="62" t="n"/>
      <c r="AU139" s="62" t="n"/>
      <c r="AV139" s="62" t="n"/>
      <c r="AW139" s="62" t="n"/>
      <c r="AX139" s="62" t="n"/>
      <c r="AY139" s="62" t="n"/>
    </row>
    <row r="140">
      <c r="A140" s="38">
        <f>IF(D140="","",COUNTA($D$133:D140))</f>
        <v/>
      </c>
      <c r="B140" s="52" t="n"/>
      <c r="C140" s="73" t="inlineStr">
        <is>
          <t>기타</t>
        </is>
      </c>
      <c r="D140" s="52" t="n"/>
      <c r="E140" s="54" t="n"/>
      <c r="F140" s="52" t="n"/>
      <c r="G140" s="55" t="n"/>
      <c r="H140" s="54" t="n"/>
      <c r="I140" s="54" t="n"/>
      <c r="J140" s="54" t="n"/>
      <c r="K140" s="56">
        <f>IF(SUM(U140:AY140)=0,"",SUM(U140:AY140))</f>
        <v/>
      </c>
      <c r="L140" s="57">
        <f>IFERROR(INDEX(U$2:AY$2,MATCH(TRUE,U140:AY140&lt;&gt;"",0)),"")</f>
        <v/>
      </c>
      <c r="M140" s="58">
        <f>IFERROR(LOOKUP(2,1/(U140:AY140&lt;&gt;""),U$2:AY$2),"")</f>
        <v/>
      </c>
      <c r="N140" s="59">
        <f>IF(OR(G140="",M140=""),"",G140-M140)</f>
        <v/>
      </c>
      <c r="O140" s="60" t="n"/>
      <c r="P140" s="61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  <c r="AG140" s="62" t="n"/>
      <c r="AH140" s="62" t="n"/>
      <c r="AI140" s="62" t="n"/>
      <c r="AJ140" s="62" t="n"/>
      <c r="AK140" s="62" t="n"/>
      <c r="AL140" s="62" t="n"/>
      <c r="AM140" s="62" t="n"/>
      <c r="AN140" s="62" t="n"/>
      <c r="AO140" s="62" t="n"/>
      <c r="AP140" s="62" t="n"/>
      <c r="AQ140" s="62" t="n"/>
      <c r="AR140" s="62" t="n"/>
      <c r="AS140" s="62" t="n"/>
      <c r="AT140" s="62" t="n"/>
      <c r="AU140" s="62" t="n"/>
      <c r="AV140" s="62" t="n"/>
      <c r="AW140" s="62" t="n"/>
      <c r="AX140" s="62" t="n"/>
      <c r="AY140" s="62" t="n"/>
    </row>
    <row r="141">
      <c r="A141" s="38">
        <f>IF(D141="","",COUNTA($D$133:D141))</f>
        <v/>
      </c>
      <c r="B141" s="52" t="n"/>
      <c r="C141" s="73" t="inlineStr">
        <is>
          <t>기타</t>
        </is>
      </c>
      <c r="D141" s="52" t="n"/>
      <c r="E141" s="54" t="n"/>
      <c r="F141" s="52" t="n"/>
      <c r="G141" s="55" t="n"/>
      <c r="H141" s="54" t="n"/>
      <c r="I141" s="54" t="n"/>
      <c r="J141" s="54" t="n"/>
      <c r="K141" s="56">
        <f>IF(SUM(U141:AY141)=0,"",SUM(U141:AY141))</f>
        <v/>
      </c>
      <c r="L141" s="57">
        <f>IFERROR(INDEX(U$2:AY$2,MATCH(TRUE,U141:AY141&lt;&gt;"",0)),"")</f>
        <v/>
      </c>
      <c r="M141" s="58">
        <f>IFERROR(LOOKUP(2,1/(U141:AY141&lt;&gt;""),U$2:AY$2),"")</f>
        <v/>
      </c>
      <c r="N141" s="59">
        <f>IF(OR(G141="",M141=""),"",G141-M141)</f>
        <v/>
      </c>
      <c r="O141" s="60" t="n"/>
      <c r="P141" s="61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  <c r="AG141" s="62" t="n"/>
      <c r="AH141" s="62" t="n"/>
      <c r="AI141" s="62" t="n"/>
      <c r="AJ141" s="62" t="n"/>
      <c r="AK141" s="62" t="n"/>
      <c r="AL141" s="62" t="n"/>
      <c r="AM141" s="62" t="n"/>
      <c r="AN141" s="62" t="n"/>
      <c r="AO141" s="62" t="n"/>
      <c r="AP141" s="62" t="n"/>
      <c r="AQ141" s="62" t="n"/>
      <c r="AR141" s="62" t="n"/>
      <c r="AS141" s="62" t="n"/>
      <c r="AT141" s="62" t="n"/>
      <c r="AU141" s="62" t="n"/>
      <c r="AV141" s="62" t="n"/>
      <c r="AW141" s="62" t="n"/>
      <c r="AX141" s="62" t="n"/>
      <c r="AY141" s="62" t="n"/>
    </row>
    <row r="142">
      <c r="A142" s="38">
        <f>IF(D142="","",COUNTA($D$133:D142))</f>
        <v/>
      </c>
      <c r="B142" s="52" t="n"/>
      <c r="C142" s="73" t="inlineStr">
        <is>
          <t>기타</t>
        </is>
      </c>
      <c r="D142" s="52" t="n"/>
      <c r="E142" s="54" t="n"/>
      <c r="F142" s="52" t="n"/>
      <c r="G142" s="55" t="n"/>
      <c r="H142" s="54" t="n"/>
      <c r="I142" s="54" t="n"/>
      <c r="J142" s="54" t="n"/>
      <c r="K142" s="56">
        <f>IF(SUM(U142:AY142)=0,"",SUM(U142:AY142))</f>
        <v/>
      </c>
      <c r="L142" s="57">
        <f>IFERROR(INDEX(U$2:AY$2,MATCH(TRUE,U142:AY142&lt;&gt;"",0)),"")</f>
        <v/>
      </c>
      <c r="M142" s="58">
        <f>IFERROR(LOOKUP(2,1/(U142:AY142&lt;&gt;""),U$2:AY$2),"")</f>
        <v/>
      </c>
      <c r="N142" s="59">
        <f>IF(OR(G142="",M142=""),"",G142-M142)</f>
        <v/>
      </c>
      <c r="O142" s="60" t="n"/>
      <c r="P142" s="61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  <c r="AG142" s="62" t="n"/>
      <c r="AH142" s="62" t="n"/>
      <c r="AI142" s="62" t="n"/>
      <c r="AJ142" s="62" t="n"/>
      <c r="AK142" s="62" t="n"/>
      <c r="AL142" s="62" t="n"/>
      <c r="AM142" s="62" t="n"/>
      <c r="AN142" s="62" t="n"/>
      <c r="AO142" s="62" t="n"/>
      <c r="AP142" s="62" t="n"/>
      <c r="AQ142" s="62" t="n"/>
      <c r="AR142" s="62" t="n"/>
      <c r="AS142" s="62" t="n"/>
      <c r="AT142" s="62" t="n"/>
      <c r="AU142" s="62" t="n"/>
      <c r="AV142" s="62" t="n"/>
      <c r="AW142" s="62" t="n"/>
      <c r="AX142" s="62" t="n"/>
      <c r="AY142" s="62" t="n"/>
    </row>
    <row r="143">
      <c r="A143" s="38">
        <f>IF(D143="","",COUNTA($D$133:D143))</f>
        <v/>
      </c>
      <c r="B143" s="52" t="n"/>
      <c r="C143" s="73" t="inlineStr">
        <is>
          <t>기타</t>
        </is>
      </c>
      <c r="D143" s="52" t="n"/>
      <c r="E143" s="54" t="n"/>
      <c r="F143" s="52" t="n"/>
      <c r="G143" s="55" t="n"/>
      <c r="H143" s="54" t="n"/>
      <c r="I143" s="54" t="n"/>
      <c r="J143" s="54" t="n"/>
      <c r="K143" s="56">
        <f>IF(SUM(U143:AY143)=0,"",SUM(U143:AY143))</f>
        <v/>
      </c>
      <c r="L143" s="57">
        <f>IFERROR(INDEX(U$2:AY$2,MATCH(TRUE,U143:AY143&lt;&gt;"",0)),"")</f>
        <v/>
      </c>
      <c r="M143" s="58">
        <f>IFERROR(LOOKUP(2,1/(U143:AY143&lt;&gt;""),U$2:AY$2),"")</f>
        <v/>
      </c>
      <c r="N143" s="59">
        <f>IF(OR(G143="",M143=""),"",G143-M143)</f>
        <v/>
      </c>
      <c r="O143" s="60" t="n"/>
      <c r="P143" s="61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  <c r="AG143" s="62" t="n"/>
      <c r="AH143" s="62" t="n"/>
      <c r="AI143" s="62" t="n"/>
      <c r="AJ143" s="62" t="n"/>
      <c r="AK143" s="62" t="n"/>
      <c r="AL143" s="62" t="n"/>
      <c r="AM143" s="62" t="n"/>
      <c r="AN143" s="62" t="n"/>
      <c r="AO143" s="62" t="n"/>
      <c r="AP143" s="62" t="n"/>
      <c r="AQ143" s="62" t="n"/>
      <c r="AR143" s="62" t="n"/>
      <c r="AS143" s="62" t="n"/>
      <c r="AT143" s="62" t="n"/>
      <c r="AU143" s="62" t="n"/>
      <c r="AV143" s="62" t="n"/>
      <c r="AW143" s="62" t="n"/>
      <c r="AX143" s="62" t="n"/>
      <c r="AY143" s="62" t="n"/>
    </row>
    <row r="144">
      <c r="A144" s="38">
        <f>IF(D144="","",COUNTA($D$133:D144))</f>
        <v/>
      </c>
      <c r="B144" s="52" t="n"/>
      <c r="C144" s="73" t="inlineStr">
        <is>
          <t>기타</t>
        </is>
      </c>
      <c r="D144" s="52" t="n"/>
      <c r="E144" s="54" t="n"/>
      <c r="F144" s="52" t="n"/>
      <c r="G144" s="55" t="n"/>
      <c r="H144" s="54" t="n"/>
      <c r="I144" s="54" t="n"/>
      <c r="J144" s="54" t="n"/>
      <c r="K144" s="56">
        <f>IF(SUM(U144:AY144)=0,"",SUM(U144:AY144))</f>
        <v/>
      </c>
      <c r="L144" s="57">
        <f>IFERROR(INDEX(U$2:AY$2,MATCH(TRUE,U144:AY144&lt;&gt;"",0)),"")</f>
        <v/>
      </c>
      <c r="M144" s="58">
        <f>IFERROR(LOOKUP(2,1/(U144:AY144&lt;&gt;""),U$2:AY$2),"")</f>
        <v/>
      </c>
      <c r="N144" s="59">
        <f>IF(OR(G144="",M144=""),"",G144-M144)</f>
        <v/>
      </c>
      <c r="O144" s="60" t="n"/>
      <c r="P144" s="61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  <c r="AG144" s="62" t="n"/>
      <c r="AH144" s="62" t="n"/>
      <c r="AI144" s="62" t="n"/>
      <c r="AJ144" s="62" t="n"/>
      <c r="AK144" s="62" t="n"/>
      <c r="AL144" s="62" t="n"/>
      <c r="AM144" s="62" t="n"/>
      <c r="AN144" s="62" t="n"/>
      <c r="AO144" s="62" t="n"/>
      <c r="AP144" s="62" t="n"/>
      <c r="AQ144" s="62" t="n"/>
      <c r="AR144" s="62" t="n"/>
      <c r="AS144" s="62" t="n"/>
      <c r="AT144" s="62" t="n"/>
      <c r="AU144" s="62" t="n"/>
      <c r="AV144" s="62" t="n"/>
      <c r="AW144" s="62" t="n"/>
      <c r="AX144" s="62" t="n"/>
      <c r="AY144" s="62" t="n"/>
    </row>
    <row r="145">
      <c r="A145" s="38">
        <f>IF(D145="","",COUNTA($D$133:D145))</f>
        <v/>
      </c>
      <c r="B145" s="52" t="n"/>
      <c r="C145" s="73" t="inlineStr">
        <is>
          <t>기타</t>
        </is>
      </c>
      <c r="D145" s="52" t="n"/>
      <c r="E145" s="54" t="n"/>
      <c r="F145" s="52" t="n"/>
      <c r="G145" s="55" t="n"/>
      <c r="H145" s="54" t="n"/>
      <c r="I145" s="54" t="n"/>
      <c r="J145" s="54" t="n"/>
      <c r="K145" s="56">
        <f>IF(SUM(U145:AY145)=0,"",SUM(U145:AY145))</f>
        <v/>
      </c>
      <c r="L145" s="57">
        <f>IFERROR(INDEX(U$2:AY$2,MATCH(TRUE,U145:AY145&lt;&gt;"",0)),"")</f>
        <v/>
      </c>
      <c r="M145" s="58">
        <f>IFERROR(LOOKUP(2,1/(U145:AY145&lt;&gt;""),U$2:AY$2),"")</f>
        <v/>
      </c>
      <c r="N145" s="59">
        <f>IF(OR(G145="",M145=""),"",G145-M145)</f>
        <v/>
      </c>
      <c r="O145" s="60" t="n"/>
      <c r="P145" s="61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  <c r="AG145" s="62" t="n"/>
      <c r="AH145" s="62" t="n"/>
      <c r="AI145" s="62" t="n"/>
      <c r="AJ145" s="62" t="n"/>
      <c r="AK145" s="62" t="n"/>
      <c r="AL145" s="62" t="n"/>
      <c r="AM145" s="62" t="n"/>
      <c r="AN145" s="62" t="n"/>
      <c r="AO145" s="62" t="n"/>
      <c r="AP145" s="62" t="n"/>
      <c r="AQ145" s="62" t="n"/>
      <c r="AR145" s="62" t="n"/>
      <c r="AS145" s="62" t="n"/>
      <c r="AT145" s="62" t="n"/>
      <c r="AU145" s="62" t="n"/>
      <c r="AV145" s="62" t="n"/>
      <c r="AW145" s="62" t="n"/>
      <c r="AX145" s="62" t="n"/>
      <c r="AY145" s="62" t="n"/>
    </row>
    <row r="146">
      <c r="A146" s="38">
        <f>IF(D146="","",COUNTA($D$133:D146))</f>
        <v/>
      </c>
      <c r="B146" s="52" t="n"/>
      <c r="C146" s="73" t="inlineStr">
        <is>
          <t>기타</t>
        </is>
      </c>
      <c r="D146" s="52" t="n"/>
      <c r="E146" s="54" t="n"/>
      <c r="F146" s="52" t="n"/>
      <c r="G146" s="55" t="n"/>
      <c r="H146" s="54" t="n"/>
      <c r="I146" s="54" t="n"/>
      <c r="J146" s="54" t="n"/>
      <c r="K146" s="56">
        <f>IF(SUM(U146:AY146)=0,"",SUM(U146:AY146))</f>
        <v/>
      </c>
      <c r="L146" s="57">
        <f>IFERROR(INDEX(U$2:AY$2,MATCH(TRUE,U146:AY146&lt;&gt;"",0)),"")</f>
        <v/>
      </c>
      <c r="M146" s="58">
        <f>IFERROR(LOOKUP(2,1/(U146:AY146&lt;&gt;""),U$2:AY$2),"")</f>
        <v/>
      </c>
      <c r="N146" s="59">
        <f>IF(OR(G146="",M146=""),"",G146-M146)</f>
        <v/>
      </c>
      <c r="O146" s="60" t="n"/>
      <c r="P146" s="61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  <c r="AG146" s="62" t="n"/>
      <c r="AH146" s="62" t="n"/>
      <c r="AI146" s="62" t="n"/>
      <c r="AJ146" s="62" t="n"/>
      <c r="AK146" s="62" t="n"/>
      <c r="AL146" s="62" t="n"/>
      <c r="AM146" s="62" t="n"/>
      <c r="AN146" s="62" t="n"/>
      <c r="AO146" s="62" t="n"/>
      <c r="AP146" s="62" t="n"/>
      <c r="AQ146" s="62" t="n"/>
      <c r="AR146" s="62" t="n"/>
      <c r="AS146" s="62" t="n"/>
      <c r="AT146" s="62" t="n"/>
      <c r="AU146" s="62" t="n"/>
      <c r="AV146" s="62" t="n"/>
      <c r="AW146" s="62" t="n"/>
      <c r="AX146" s="62" t="n"/>
      <c r="AY146" s="62" t="n"/>
    </row>
    <row r="147">
      <c r="A147" s="38">
        <f>IF(D147="","",COUNTA($D$133:D147))</f>
        <v/>
      </c>
      <c r="B147" s="52" t="n"/>
      <c r="C147" s="73" t="inlineStr">
        <is>
          <t>기타</t>
        </is>
      </c>
      <c r="D147" s="52" t="n"/>
      <c r="E147" s="54" t="n"/>
      <c r="F147" s="52" t="n"/>
      <c r="G147" s="55" t="n"/>
      <c r="H147" s="54" t="n"/>
      <c r="I147" s="54" t="n"/>
      <c r="J147" s="54" t="n"/>
      <c r="K147" s="56">
        <f>IF(SUM(U147:AY147)=0,"",SUM(U147:AY147))</f>
        <v/>
      </c>
      <c r="L147" s="57">
        <f>IFERROR(INDEX(U$2:AY$2,MATCH(TRUE,U147:AY147&lt;&gt;"",0)),"")</f>
        <v/>
      </c>
      <c r="M147" s="58">
        <f>IFERROR(LOOKUP(2,1/(U147:AY147&lt;&gt;""),U$2:AY$2),"")</f>
        <v/>
      </c>
      <c r="N147" s="59">
        <f>IF(OR(G147="",M147=""),"",G147-M147)</f>
        <v/>
      </c>
      <c r="O147" s="60" t="n"/>
      <c r="P147" s="61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  <c r="AG147" s="62" t="n"/>
      <c r="AH147" s="62" t="n"/>
      <c r="AI147" s="62" t="n"/>
      <c r="AJ147" s="62" t="n"/>
      <c r="AK147" s="62" t="n"/>
      <c r="AL147" s="62" t="n"/>
      <c r="AM147" s="62" t="n"/>
      <c r="AN147" s="62" t="n"/>
      <c r="AO147" s="62" t="n"/>
      <c r="AP147" s="62" t="n"/>
      <c r="AQ147" s="62" t="n"/>
      <c r="AR147" s="62" t="n"/>
      <c r="AS147" s="62" t="n"/>
      <c r="AT147" s="62" t="n"/>
      <c r="AU147" s="62" t="n"/>
      <c r="AV147" s="62" t="n"/>
      <c r="AW147" s="62" t="n"/>
      <c r="AX147" s="62" t="n"/>
      <c r="AY147" s="62" t="n"/>
    </row>
    <row r="148">
      <c r="A148" s="38">
        <f>IF(D148="","",COUNTA($D$133:D148))</f>
        <v/>
      </c>
      <c r="B148" s="52" t="n"/>
      <c r="C148" s="73" t="inlineStr">
        <is>
          <t>기타</t>
        </is>
      </c>
      <c r="D148" s="52" t="n"/>
      <c r="E148" s="54" t="n"/>
      <c r="F148" s="52" t="n"/>
      <c r="G148" s="55" t="n"/>
      <c r="H148" s="54" t="n"/>
      <c r="I148" s="54" t="n"/>
      <c r="J148" s="54" t="n"/>
      <c r="K148" s="56">
        <f>IF(SUM(U148:AY148)=0,"",SUM(U148:AY148))</f>
        <v/>
      </c>
      <c r="L148" s="57">
        <f>IFERROR(INDEX(U$2:AY$2,MATCH(TRUE,U148:AY148&lt;&gt;"",0)),"")</f>
        <v/>
      </c>
      <c r="M148" s="58">
        <f>IFERROR(LOOKUP(2,1/(U148:AY148&lt;&gt;""),U$2:AY$2),"")</f>
        <v/>
      </c>
      <c r="N148" s="59">
        <f>IF(OR(G148="",M148=""),"",G148-M148)</f>
        <v/>
      </c>
      <c r="O148" s="60" t="n"/>
      <c r="P148" s="61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  <c r="AG148" s="62" t="n"/>
      <c r="AH148" s="62" t="n"/>
      <c r="AI148" s="62" t="n"/>
      <c r="AJ148" s="62" t="n"/>
      <c r="AK148" s="62" t="n"/>
      <c r="AL148" s="62" t="n"/>
      <c r="AM148" s="62" t="n"/>
      <c r="AN148" s="62" t="n"/>
      <c r="AO148" s="62" t="n"/>
      <c r="AP148" s="62" t="n"/>
      <c r="AQ148" s="62" t="n"/>
      <c r="AR148" s="62" t="n"/>
      <c r="AS148" s="62" t="n"/>
      <c r="AT148" s="62" t="n"/>
      <c r="AU148" s="62" t="n"/>
      <c r="AV148" s="62" t="n"/>
      <c r="AW148" s="62" t="n"/>
      <c r="AX148" s="62" t="n"/>
      <c r="AY148" s="62" t="n"/>
    </row>
    <row r="149">
      <c r="A149" s="38">
        <f>IF(D149="","",COUNTA($D$133:D149))</f>
        <v/>
      </c>
      <c r="B149" s="52" t="n"/>
      <c r="C149" s="73" t="inlineStr">
        <is>
          <t>기타</t>
        </is>
      </c>
      <c r="D149" s="52" t="n"/>
      <c r="E149" s="54" t="n"/>
      <c r="F149" s="52" t="n"/>
      <c r="G149" s="55" t="n"/>
      <c r="H149" s="54" t="n"/>
      <c r="I149" s="54" t="n"/>
      <c r="J149" s="54" t="n"/>
      <c r="K149" s="56">
        <f>IF(SUM(U149:AY149)=0,"",SUM(U149:AY149))</f>
        <v/>
      </c>
      <c r="L149" s="57">
        <f>IFERROR(INDEX(U$2:AY$2,MATCH(TRUE,U149:AY149&lt;&gt;"",0)),"")</f>
        <v/>
      </c>
      <c r="M149" s="58">
        <f>IFERROR(LOOKUP(2,1/(U149:AY149&lt;&gt;""),U$2:AY$2),"")</f>
        <v/>
      </c>
      <c r="N149" s="59">
        <f>IF(OR(G149="",M149=""),"",G149-M149)</f>
        <v/>
      </c>
      <c r="O149" s="60" t="n"/>
      <c r="P149" s="61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  <c r="AG149" s="62" t="n"/>
      <c r="AH149" s="62" t="n"/>
      <c r="AI149" s="62" t="n"/>
      <c r="AJ149" s="62" t="n"/>
      <c r="AK149" s="62" t="n"/>
      <c r="AL149" s="62" t="n"/>
      <c r="AM149" s="62" t="n"/>
      <c r="AN149" s="62" t="n"/>
      <c r="AO149" s="62" t="n"/>
      <c r="AP149" s="62" t="n"/>
      <c r="AQ149" s="62" t="n"/>
      <c r="AR149" s="62" t="n"/>
      <c r="AS149" s="62" t="n"/>
      <c r="AT149" s="62" t="n"/>
      <c r="AU149" s="62" t="n"/>
      <c r="AV149" s="62" t="n"/>
      <c r="AW149" s="62" t="n"/>
      <c r="AX149" s="62" t="n"/>
      <c r="AY149" s="62" t="n"/>
    </row>
    <row r="150">
      <c r="A150" s="38">
        <f>IF(D150="","",COUNTA($D$133:D150))</f>
        <v/>
      </c>
      <c r="B150" s="52" t="n"/>
      <c r="C150" s="73" t="inlineStr">
        <is>
          <t>기타</t>
        </is>
      </c>
      <c r="D150" s="52" t="n"/>
      <c r="E150" s="54" t="n"/>
      <c r="F150" s="52" t="n"/>
      <c r="G150" s="55" t="n"/>
      <c r="H150" s="54" t="n"/>
      <c r="I150" s="54" t="n"/>
      <c r="J150" s="54" t="n"/>
      <c r="K150" s="56">
        <f>IF(SUM(U150:AY150)=0,"",SUM(U150:AY150))</f>
        <v/>
      </c>
      <c r="L150" s="57">
        <f>IFERROR(INDEX(U$2:AY$2,MATCH(TRUE,U150:AY150&lt;&gt;"",0)),"")</f>
        <v/>
      </c>
      <c r="M150" s="58">
        <f>IFERROR(LOOKUP(2,1/(U150:AY150&lt;&gt;""),U$2:AY$2),"")</f>
        <v/>
      </c>
      <c r="N150" s="59">
        <f>IF(OR(G150="",M150=""),"",G150-M150)</f>
        <v/>
      </c>
      <c r="O150" s="60" t="n"/>
      <c r="P150" s="61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  <c r="AG150" s="62" t="n"/>
      <c r="AH150" s="62" t="n"/>
      <c r="AI150" s="62" t="n"/>
      <c r="AJ150" s="62" t="n"/>
      <c r="AK150" s="62" t="n"/>
      <c r="AL150" s="62" t="n"/>
      <c r="AM150" s="62" t="n"/>
      <c r="AN150" s="62" t="n"/>
      <c r="AO150" s="62" t="n"/>
      <c r="AP150" s="62" t="n"/>
      <c r="AQ150" s="62" t="n"/>
      <c r="AR150" s="62" t="n"/>
      <c r="AS150" s="62" t="n"/>
      <c r="AT150" s="62" t="n"/>
      <c r="AU150" s="62" t="n"/>
      <c r="AV150" s="62" t="n"/>
      <c r="AW150" s="62" t="n"/>
      <c r="AX150" s="62" t="n"/>
      <c r="AY150" s="62" t="n"/>
    </row>
    <row r="151">
      <c r="A151" s="38">
        <f>IF(D151="","",COUNTA($D$133:D151))</f>
        <v/>
      </c>
      <c r="B151" s="52" t="n"/>
      <c r="C151" s="73" t="inlineStr">
        <is>
          <t>기타</t>
        </is>
      </c>
      <c r="D151" s="52" t="n"/>
      <c r="E151" s="54" t="n"/>
      <c r="F151" s="52" t="n"/>
      <c r="G151" s="55" t="n"/>
      <c r="H151" s="54" t="n"/>
      <c r="I151" s="54" t="n"/>
      <c r="J151" s="54" t="n"/>
      <c r="K151" s="56">
        <f>IF(SUM(U151:AY151)=0,"",SUM(U151:AY151))</f>
        <v/>
      </c>
      <c r="L151" s="57">
        <f>IFERROR(INDEX(U$2:AY$2,MATCH(TRUE,U151:AY151&lt;&gt;"",0)),"")</f>
        <v/>
      </c>
      <c r="M151" s="58">
        <f>IFERROR(LOOKUP(2,1/(U151:AY151&lt;&gt;""),U$2:AY$2),"")</f>
        <v/>
      </c>
      <c r="N151" s="59">
        <f>IF(OR(G151="",M151=""),"",G151-M151)</f>
        <v/>
      </c>
      <c r="O151" s="60" t="n"/>
      <c r="P151" s="61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  <c r="AG151" s="62" t="n"/>
      <c r="AH151" s="62" t="n"/>
      <c r="AI151" s="62" t="n"/>
      <c r="AJ151" s="62" t="n"/>
      <c r="AK151" s="62" t="n"/>
      <c r="AL151" s="62" t="n"/>
      <c r="AM151" s="62" t="n"/>
      <c r="AN151" s="62" t="n"/>
      <c r="AO151" s="62" t="n"/>
      <c r="AP151" s="62" t="n"/>
      <c r="AQ151" s="62" t="n"/>
      <c r="AR151" s="62" t="n"/>
      <c r="AS151" s="62" t="n"/>
      <c r="AT151" s="62" t="n"/>
      <c r="AU151" s="62" t="n"/>
      <c r="AV151" s="62" t="n"/>
      <c r="AW151" s="62" t="n"/>
      <c r="AX151" s="62" t="n"/>
      <c r="AY151" s="62" t="n"/>
    </row>
    <row r="152">
      <c r="A152" s="38">
        <f>IF(D152="","",COUNTA($D$133:D152))</f>
        <v/>
      </c>
      <c r="B152" s="52" t="n"/>
      <c r="C152" s="73" t="inlineStr">
        <is>
          <t>기타</t>
        </is>
      </c>
      <c r="D152" s="52" t="n"/>
      <c r="E152" s="54" t="n"/>
      <c r="F152" s="52" t="n"/>
      <c r="G152" s="55" t="n"/>
      <c r="H152" s="54" t="n"/>
      <c r="I152" s="54" t="n"/>
      <c r="J152" s="54" t="n"/>
      <c r="K152" s="56">
        <f>IF(SUM(U152:AY152)=0,"",SUM(U152:AY152))</f>
        <v/>
      </c>
      <c r="L152" s="57">
        <f>IFERROR(INDEX(U$2:AY$2,MATCH(TRUE,U152:AY152&lt;&gt;"",0)),"")</f>
        <v/>
      </c>
      <c r="M152" s="58">
        <f>IFERROR(LOOKUP(2,1/(U152:AY152&lt;&gt;""),U$2:AY$2),"")</f>
        <v/>
      </c>
      <c r="N152" s="59">
        <f>IF(OR(G152="",M152=""),"",G152-M152)</f>
        <v/>
      </c>
      <c r="O152" s="60" t="n"/>
      <c r="P152" s="61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  <c r="AG152" s="62" t="n"/>
      <c r="AH152" s="62" t="n"/>
      <c r="AI152" s="62" t="n"/>
      <c r="AJ152" s="62" t="n"/>
      <c r="AK152" s="62" t="n"/>
      <c r="AL152" s="62" t="n"/>
      <c r="AM152" s="62" t="n"/>
      <c r="AN152" s="62" t="n"/>
      <c r="AO152" s="62" t="n"/>
      <c r="AP152" s="62" t="n"/>
      <c r="AQ152" s="62" t="n"/>
      <c r="AR152" s="62" t="n"/>
      <c r="AS152" s="62" t="n"/>
      <c r="AT152" s="62" t="n"/>
      <c r="AU152" s="62" t="n"/>
      <c r="AV152" s="62" t="n"/>
      <c r="AW152" s="62" t="n"/>
      <c r="AX152" s="62" t="n"/>
      <c r="AY152" s="62" t="n"/>
    </row>
    <row r="153">
      <c r="A153" s="38">
        <f>IF(D153="","",COUNTA($D$133:D153))</f>
        <v/>
      </c>
      <c r="B153" s="52" t="n"/>
      <c r="C153" s="73" t="inlineStr">
        <is>
          <t>기타</t>
        </is>
      </c>
      <c r="D153" s="52" t="n"/>
      <c r="E153" s="54" t="n"/>
      <c r="F153" s="52" t="n"/>
      <c r="G153" s="55" t="n"/>
      <c r="H153" s="54" t="n"/>
      <c r="I153" s="54" t="n"/>
      <c r="J153" s="54" t="n"/>
      <c r="K153" s="56">
        <f>IF(SUM(U153:AY153)=0,"",SUM(U153:AY153))</f>
        <v/>
      </c>
      <c r="L153" s="57">
        <f>IFERROR(INDEX(U$2:AY$2,MATCH(TRUE,U153:AY153&lt;&gt;"",0)),"")</f>
        <v/>
      </c>
      <c r="M153" s="58">
        <f>IFERROR(LOOKUP(2,1/(U153:AY153&lt;&gt;""),U$2:AY$2),"")</f>
        <v/>
      </c>
      <c r="N153" s="59">
        <f>IF(OR(G153="",M153=""),"",G153-M153)</f>
        <v/>
      </c>
      <c r="O153" s="60" t="n"/>
      <c r="P153" s="61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  <c r="AG153" s="62" t="n"/>
      <c r="AH153" s="62" t="n"/>
      <c r="AI153" s="62" t="n"/>
      <c r="AJ153" s="62" t="n"/>
      <c r="AK153" s="62" t="n"/>
      <c r="AL153" s="62" t="n"/>
      <c r="AM153" s="62" t="n"/>
      <c r="AN153" s="62" t="n"/>
      <c r="AO153" s="62" t="n"/>
      <c r="AP153" s="62" t="n"/>
      <c r="AQ153" s="62" t="n"/>
      <c r="AR153" s="62" t="n"/>
      <c r="AS153" s="62" t="n"/>
      <c r="AT153" s="62" t="n"/>
      <c r="AU153" s="62" t="n"/>
      <c r="AV153" s="62" t="n"/>
      <c r="AW153" s="62" t="n"/>
      <c r="AX153" s="62" t="n"/>
      <c r="AY153" s="62" t="n"/>
    </row>
    <row r="154">
      <c r="A154" s="38">
        <f>IF(D154="","",COUNTA($D$133:D154))</f>
        <v/>
      </c>
      <c r="B154" s="52" t="n"/>
      <c r="C154" s="73" t="inlineStr">
        <is>
          <t>기타</t>
        </is>
      </c>
      <c r="D154" s="52" t="n"/>
      <c r="E154" s="54" t="n"/>
      <c r="F154" s="52" t="n"/>
      <c r="G154" s="55" t="n"/>
      <c r="H154" s="54" t="n"/>
      <c r="I154" s="54" t="n"/>
      <c r="J154" s="54" t="n"/>
      <c r="K154" s="56">
        <f>IF(SUM(U154:AY154)=0,"",SUM(U154:AY154))</f>
        <v/>
      </c>
      <c r="L154" s="57">
        <f>IFERROR(INDEX(U$2:AY$2,MATCH(TRUE,U154:AY154&lt;&gt;"",0)),"")</f>
        <v/>
      </c>
      <c r="M154" s="58">
        <f>IFERROR(LOOKUP(2,1/(U154:AY154&lt;&gt;""),U$2:AY$2),"")</f>
        <v/>
      </c>
      <c r="N154" s="59">
        <f>IF(OR(G154="",M154=""),"",G154-M154)</f>
        <v/>
      </c>
      <c r="O154" s="60" t="n"/>
      <c r="P154" s="61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  <c r="AG154" s="62" t="n"/>
      <c r="AH154" s="62" t="n"/>
      <c r="AI154" s="62" t="n"/>
      <c r="AJ154" s="62" t="n"/>
      <c r="AK154" s="62" t="n"/>
      <c r="AL154" s="62" t="n"/>
      <c r="AM154" s="62" t="n"/>
      <c r="AN154" s="62" t="n"/>
      <c r="AO154" s="62" t="n"/>
      <c r="AP154" s="62" t="n"/>
      <c r="AQ154" s="62" t="n"/>
      <c r="AR154" s="62" t="n"/>
      <c r="AS154" s="62" t="n"/>
      <c r="AT154" s="62" t="n"/>
      <c r="AU154" s="62" t="n"/>
      <c r="AV154" s="62" t="n"/>
      <c r="AW154" s="62" t="n"/>
      <c r="AX154" s="62" t="n"/>
      <c r="AY154" s="62" t="n"/>
    </row>
    <row r="155">
      <c r="A155" s="38">
        <f>IF(D155="","",COUNTA($D$133:D155))</f>
        <v/>
      </c>
      <c r="B155" s="52" t="n"/>
      <c r="C155" s="73" t="inlineStr">
        <is>
          <t>기타</t>
        </is>
      </c>
      <c r="D155" s="52" t="n"/>
      <c r="E155" s="54" t="n"/>
      <c r="F155" s="52" t="n"/>
      <c r="G155" s="55" t="n"/>
      <c r="H155" s="54" t="n"/>
      <c r="I155" s="54" t="n"/>
      <c r="J155" s="54" t="n"/>
      <c r="K155" s="56">
        <f>IF(SUM(U155:AY155)=0,"",SUM(U155:AY155))</f>
        <v/>
      </c>
      <c r="L155" s="57">
        <f>IFERROR(INDEX(U$2:AY$2,MATCH(TRUE,U155:AY155&lt;&gt;"",0)),"")</f>
        <v/>
      </c>
      <c r="M155" s="58">
        <f>IFERROR(LOOKUP(2,1/(U155:AY155&lt;&gt;""),U$2:AY$2),"")</f>
        <v/>
      </c>
      <c r="N155" s="59">
        <f>IF(OR(G155="",M155=""),"",G155-M155)</f>
        <v/>
      </c>
      <c r="O155" s="60" t="n"/>
      <c r="P155" s="61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  <c r="AG155" s="62" t="n"/>
      <c r="AH155" s="62" t="n"/>
      <c r="AI155" s="62" t="n"/>
      <c r="AJ155" s="62" t="n"/>
      <c r="AK155" s="62" t="n"/>
      <c r="AL155" s="62" t="n"/>
      <c r="AM155" s="62" t="n"/>
      <c r="AN155" s="62" t="n"/>
      <c r="AO155" s="62" t="n"/>
      <c r="AP155" s="62" t="n"/>
      <c r="AQ155" s="62" t="n"/>
      <c r="AR155" s="62" t="n"/>
      <c r="AS155" s="62" t="n"/>
      <c r="AT155" s="62" t="n"/>
      <c r="AU155" s="62" t="n"/>
      <c r="AV155" s="62" t="n"/>
      <c r="AW155" s="62" t="n"/>
      <c r="AX155" s="62" t="n"/>
      <c r="AY155" s="62" t="n"/>
    </row>
    <row r="156">
      <c r="A156" s="38">
        <f>IF(D156="","",COUNTA($D$133:D156))</f>
        <v/>
      </c>
      <c r="B156" s="52" t="n"/>
      <c r="C156" s="73" t="inlineStr">
        <is>
          <t>기타</t>
        </is>
      </c>
      <c r="D156" s="52" t="n"/>
      <c r="E156" s="54" t="n"/>
      <c r="F156" s="52" t="n"/>
      <c r="G156" s="55" t="n"/>
      <c r="H156" s="54" t="n"/>
      <c r="I156" s="54" t="n"/>
      <c r="J156" s="54" t="n"/>
      <c r="K156" s="56">
        <f>IF(SUM(U156:AY156)=0,"",SUM(U156:AY156))</f>
        <v/>
      </c>
      <c r="L156" s="57">
        <f>IFERROR(INDEX(U$2:AY$2,MATCH(TRUE,U156:AY156&lt;&gt;"",0)),"")</f>
        <v/>
      </c>
      <c r="M156" s="58">
        <f>IFERROR(LOOKUP(2,1/(U156:AY156&lt;&gt;""),U$2:AY$2),"")</f>
        <v/>
      </c>
      <c r="N156" s="59">
        <f>IF(OR(G156="",M156=""),"",G156-M156)</f>
        <v/>
      </c>
      <c r="O156" s="60" t="n"/>
      <c r="P156" s="61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  <c r="AG156" s="62" t="n"/>
      <c r="AH156" s="62" t="n"/>
      <c r="AI156" s="62" t="n"/>
      <c r="AJ156" s="62" t="n"/>
      <c r="AK156" s="62" t="n"/>
      <c r="AL156" s="62" t="n"/>
      <c r="AM156" s="62" t="n"/>
      <c r="AN156" s="62" t="n"/>
      <c r="AO156" s="62" t="n"/>
      <c r="AP156" s="62" t="n"/>
      <c r="AQ156" s="62" t="n"/>
      <c r="AR156" s="62" t="n"/>
      <c r="AS156" s="62" t="n"/>
      <c r="AT156" s="62" t="n"/>
      <c r="AU156" s="62" t="n"/>
      <c r="AV156" s="62" t="n"/>
      <c r="AW156" s="62" t="n"/>
      <c r="AX156" s="62" t="n"/>
      <c r="AY156" s="62" t="n"/>
    </row>
    <row r="157">
      <c r="A157" s="38">
        <f>IF(D157="","",COUNTA($D$133:D157))</f>
        <v/>
      </c>
      <c r="B157" s="52" t="n"/>
      <c r="C157" s="73" t="inlineStr">
        <is>
          <t>기타</t>
        </is>
      </c>
      <c r="D157" s="52" t="n"/>
      <c r="E157" s="54" t="n"/>
      <c r="F157" s="52" t="n"/>
      <c r="G157" s="55" t="n"/>
      <c r="H157" s="54" t="n"/>
      <c r="I157" s="54" t="n"/>
      <c r="J157" s="54" t="n"/>
      <c r="K157" s="56">
        <f>IF(SUM(U157:AY157)=0,"",SUM(U157:AY157))</f>
        <v/>
      </c>
      <c r="L157" s="57">
        <f>IFERROR(INDEX(U$2:AY$2,MATCH(TRUE,U157:AY157&lt;&gt;"",0)),"")</f>
        <v/>
      </c>
      <c r="M157" s="58">
        <f>IFERROR(LOOKUP(2,1/(U157:AY157&lt;&gt;""),U$2:AY$2),"")</f>
        <v/>
      </c>
      <c r="N157" s="59">
        <f>IF(OR(G157="",M157=""),"",G157-M157)</f>
        <v/>
      </c>
      <c r="O157" s="60" t="n"/>
      <c r="P157" s="61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  <c r="AG157" s="62" t="n"/>
      <c r="AH157" s="62" t="n"/>
      <c r="AI157" s="62" t="n"/>
      <c r="AJ157" s="62" t="n"/>
      <c r="AK157" s="62" t="n"/>
      <c r="AL157" s="62" t="n"/>
      <c r="AM157" s="62" t="n"/>
      <c r="AN157" s="62" t="n"/>
      <c r="AO157" s="62" t="n"/>
      <c r="AP157" s="62" t="n"/>
      <c r="AQ157" s="62" t="n"/>
      <c r="AR157" s="62" t="n"/>
      <c r="AS157" s="62" t="n"/>
      <c r="AT157" s="62" t="n"/>
      <c r="AU157" s="62" t="n"/>
      <c r="AV157" s="62" t="n"/>
      <c r="AW157" s="62" t="n"/>
      <c r="AX157" s="62" t="n"/>
      <c r="AY157" s="62" t="n"/>
    </row>
    <row r="158">
      <c r="A158" s="38">
        <f>IF(D158="","",COUNTA($D$133:D158))</f>
        <v/>
      </c>
      <c r="B158" s="52" t="n"/>
      <c r="C158" s="73" t="inlineStr">
        <is>
          <t>기타</t>
        </is>
      </c>
      <c r="D158" s="52" t="n"/>
      <c r="E158" s="54" t="n"/>
      <c r="F158" s="52" t="n"/>
      <c r="G158" s="55" t="n"/>
      <c r="H158" s="54" t="n"/>
      <c r="I158" s="54" t="n"/>
      <c r="J158" s="54" t="n"/>
      <c r="K158" s="56">
        <f>IF(SUM(U158:AY158)=0,"",SUM(U158:AY158))</f>
        <v/>
      </c>
      <c r="L158" s="57">
        <f>IFERROR(INDEX(U$2:AY$2,MATCH(TRUE,U158:AY158&lt;&gt;"",0)),"")</f>
        <v/>
      </c>
      <c r="M158" s="58">
        <f>IFERROR(LOOKUP(2,1/(U158:AY158&lt;&gt;""),U$2:AY$2),"")</f>
        <v/>
      </c>
      <c r="N158" s="59">
        <f>IF(OR(G158="",M158=""),"",G158-M158)</f>
        <v/>
      </c>
      <c r="O158" s="60" t="n"/>
      <c r="P158" s="61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  <c r="AG158" s="62" t="n"/>
      <c r="AH158" s="62" t="n"/>
      <c r="AI158" s="62" t="n"/>
      <c r="AJ158" s="62" t="n"/>
      <c r="AK158" s="62" t="n"/>
      <c r="AL158" s="62" t="n"/>
      <c r="AM158" s="62" t="n"/>
      <c r="AN158" s="62" t="n"/>
      <c r="AO158" s="62" t="n"/>
      <c r="AP158" s="62" t="n"/>
      <c r="AQ158" s="62" t="n"/>
      <c r="AR158" s="62" t="n"/>
      <c r="AS158" s="62" t="n"/>
      <c r="AT158" s="62" t="n"/>
      <c r="AU158" s="62" t="n"/>
      <c r="AV158" s="62" t="n"/>
      <c r="AW158" s="62" t="n"/>
      <c r="AX158" s="62" t="n"/>
      <c r="AY158" s="62" t="n"/>
    </row>
    <row r="159">
      <c r="A159" s="38">
        <f>IF(D159="","",COUNTA($D$133:D159))</f>
        <v/>
      </c>
      <c r="B159" s="52" t="n"/>
      <c r="C159" s="73" t="inlineStr">
        <is>
          <t>기타</t>
        </is>
      </c>
      <c r="D159" s="52" t="n"/>
      <c r="E159" s="54" t="n"/>
      <c r="F159" s="52" t="n"/>
      <c r="G159" s="55" t="n"/>
      <c r="H159" s="54" t="n"/>
      <c r="I159" s="54" t="n"/>
      <c r="J159" s="54" t="n"/>
      <c r="K159" s="56">
        <f>IF(SUM(U159:AY159)=0,"",SUM(U159:AY159))</f>
        <v/>
      </c>
      <c r="L159" s="57">
        <f>IFERROR(INDEX(U$2:AY$2,MATCH(TRUE,U159:AY159&lt;&gt;"",0)),"")</f>
        <v/>
      </c>
      <c r="M159" s="58">
        <f>IFERROR(LOOKUP(2,1/(U159:AY159&lt;&gt;""),U$2:AY$2),"")</f>
        <v/>
      </c>
      <c r="N159" s="59">
        <f>IF(OR(G159="",M159=""),"",G159-M159)</f>
        <v/>
      </c>
      <c r="O159" s="60" t="n"/>
      <c r="P159" s="61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  <c r="AG159" s="62" t="n"/>
      <c r="AH159" s="62" t="n"/>
      <c r="AI159" s="62" t="n"/>
      <c r="AJ159" s="62" t="n"/>
      <c r="AK159" s="62" t="n"/>
      <c r="AL159" s="62" t="n"/>
      <c r="AM159" s="62" t="n"/>
      <c r="AN159" s="62" t="n"/>
      <c r="AO159" s="62" t="n"/>
      <c r="AP159" s="62" t="n"/>
      <c r="AQ159" s="62" t="n"/>
      <c r="AR159" s="62" t="n"/>
      <c r="AS159" s="62" t="n"/>
      <c r="AT159" s="62" t="n"/>
      <c r="AU159" s="62" t="n"/>
      <c r="AV159" s="62" t="n"/>
      <c r="AW159" s="62" t="n"/>
      <c r="AX159" s="62" t="n"/>
      <c r="AY159" s="62" t="n"/>
    </row>
    <row r="160">
      <c r="A160" s="38">
        <f>IF(D160="","",COUNTA($D$133:D160))</f>
        <v/>
      </c>
      <c r="B160" s="52" t="n"/>
      <c r="C160" s="73" t="inlineStr">
        <is>
          <t>기타</t>
        </is>
      </c>
      <c r="D160" s="52" t="n"/>
      <c r="E160" s="54" t="n"/>
      <c r="F160" s="52" t="n"/>
      <c r="G160" s="55" t="n"/>
      <c r="H160" s="54" t="n"/>
      <c r="I160" s="54" t="n"/>
      <c r="J160" s="54" t="n"/>
      <c r="K160" s="56">
        <f>IF(SUM(U160:AY160)=0,"",SUM(U160:AY160))</f>
        <v/>
      </c>
      <c r="L160" s="57">
        <f>IFERROR(INDEX(U$2:AY$2,MATCH(TRUE,U160:AY160&lt;&gt;"",0)),"")</f>
        <v/>
      </c>
      <c r="M160" s="58">
        <f>IFERROR(LOOKUP(2,1/(U160:AY160&lt;&gt;""),U$2:AY$2),"")</f>
        <v/>
      </c>
      <c r="N160" s="59">
        <f>IF(OR(G160="",M160=""),"",G160-M160)</f>
        <v/>
      </c>
      <c r="O160" s="60" t="n"/>
      <c r="P160" s="61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  <c r="AG160" s="62" t="n"/>
      <c r="AH160" s="62" t="n"/>
      <c r="AI160" s="62" t="n"/>
      <c r="AJ160" s="62" t="n"/>
      <c r="AK160" s="62" t="n"/>
      <c r="AL160" s="62" t="n"/>
      <c r="AM160" s="62" t="n"/>
      <c r="AN160" s="62" t="n"/>
      <c r="AO160" s="62" t="n"/>
      <c r="AP160" s="62" t="n"/>
      <c r="AQ160" s="62" t="n"/>
      <c r="AR160" s="62" t="n"/>
      <c r="AS160" s="62" t="n"/>
      <c r="AT160" s="62" t="n"/>
      <c r="AU160" s="62" t="n"/>
      <c r="AV160" s="62" t="n"/>
      <c r="AW160" s="62" t="n"/>
      <c r="AX160" s="62" t="n"/>
      <c r="AY160" s="62" t="n"/>
    </row>
    <row r="161">
      <c r="A161" s="38">
        <f>IF(D161="","",COUNTA($D$133:D161))</f>
        <v/>
      </c>
      <c r="B161" s="52" t="n"/>
      <c r="C161" s="73" t="inlineStr">
        <is>
          <t>기타</t>
        </is>
      </c>
      <c r="D161" s="52" t="n"/>
      <c r="E161" s="54" t="n"/>
      <c r="F161" s="52" t="n"/>
      <c r="G161" s="55" t="n"/>
      <c r="H161" s="54" t="n"/>
      <c r="I161" s="54" t="n"/>
      <c r="J161" s="54" t="n"/>
      <c r="K161" s="56">
        <f>IF(SUM(U161:AY161)=0,"",SUM(U161:AY161))</f>
        <v/>
      </c>
      <c r="L161" s="57">
        <f>IFERROR(INDEX(U$2:AY$2,MATCH(TRUE,U161:AY161&lt;&gt;"",0)),"")</f>
        <v/>
      </c>
      <c r="M161" s="58">
        <f>IFERROR(LOOKUP(2,1/(U161:AY161&lt;&gt;""),U$2:AY$2),"")</f>
        <v/>
      </c>
      <c r="N161" s="59">
        <f>IF(OR(G161="",M161=""),"",G161-M161)</f>
        <v/>
      </c>
      <c r="O161" s="60" t="n"/>
      <c r="P161" s="61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  <c r="AG161" s="62" t="n"/>
      <c r="AH161" s="62" t="n"/>
      <c r="AI161" s="62" t="n"/>
      <c r="AJ161" s="62" t="n"/>
      <c r="AK161" s="62" t="n"/>
      <c r="AL161" s="62" t="n"/>
      <c r="AM161" s="62" t="n"/>
      <c r="AN161" s="62" t="n"/>
      <c r="AO161" s="62" t="n"/>
      <c r="AP161" s="62" t="n"/>
      <c r="AQ161" s="62" t="n"/>
      <c r="AR161" s="62" t="n"/>
      <c r="AS161" s="62" t="n"/>
      <c r="AT161" s="62" t="n"/>
      <c r="AU161" s="62" t="n"/>
      <c r="AV161" s="62" t="n"/>
      <c r="AW161" s="62" t="n"/>
      <c r="AX161" s="62" t="n"/>
      <c r="AY161" s="62" t="n"/>
    </row>
    <row r="162">
      <c r="A162" s="38">
        <f>IF(D162="","",COUNTA($D$133:D162))</f>
        <v/>
      </c>
      <c r="B162" s="52" t="n"/>
      <c r="C162" s="73" t="inlineStr">
        <is>
          <t>기타</t>
        </is>
      </c>
      <c r="D162" s="52" t="n"/>
      <c r="E162" s="54" t="n"/>
      <c r="F162" s="52" t="n"/>
      <c r="G162" s="55" t="n"/>
      <c r="H162" s="54" t="n"/>
      <c r="I162" s="54" t="n"/>
      <c r="J162" s="54" t="n"/>
      <c r="K162" s="56">
        <f>IF(SUM(U162:AY162)=0,"",SUM(U162:AY162))</f>
        <v/>
      </c>
      <c r="L162" s="57">
        <f>IFERROR(INDEX(U$2:AY$2,MATCH(TRUE,U162:AY162&lt;&gt;"",0)),"")</f>
        <v/>
      </c>
      <c r="M162" s="58">
        <f>IFERROR(LOOKUP(2,1/(U162:AY162&lt;&gt;""),U$2:AY$2),"")</f>
        <v/>
      </c>
      <c r="N162" s="59">
        <f>IF(OR(G162="",M162=""),"",G162-M162)</f>
        <v/>
      </c>
      <c r="O162" s="60" t="n"/>
      <c r="P162" s="61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  <c r="AG162" s="62" t="n"/>
      <c r="AH162" s="62" t="n"/>
      <c r="AI162" s="62" t="n"/>
      <c r="AJ162" s="62" t="n"/>
      <c r="AK162" s="62" t="n"/>
      <c r="AL162" s="62" t="n"/>
      <c r="AM162" s="62" t="n"/>
      <c r="AN162" s="62" t="n"/>
      <c r="AO162" s="62" t="n"/>
      <c r="AP162" s="62" t="n"/>
      <c r="AQ162" s="62" t="n"/>
      <c r="AR162" s="62" t="n"/>
      <c r="AS162" s="62" t="n"/>
      <c r="AT162" s="62" t="n"/>
      <c r="AU162" s="62" t="n"/>
      <c r="AV162" s="62" t="n"/>
      <c r="AW162" s="62" t="n"/>
      <c r="AX162" s="62" t="n"/>
      <c r="AY162" s="62" t="n"/>
    </row>
    <row r="163">
      <c r="A163" s="74">
        <f>'마스터'!$J$5</f>
        <v/>
      </c>
    </row>
    <row r="164">
      <c r="A164" s="74" t="inlineStr">
        <is>
          <t>공휴일(로컬 미러 - 조건부서식 전용, 편집 불필요)</t>
        </is>
      </c>
    </row>
    <row r="165">
      <c r="A165" s="75">
        <f>'마스터'!$J$13</f>
        <v/>
      </c>
    </row>
    <row r="166">
      <c r="A166" s="75">
        <f>'마스터'!$J$14</f>
        <v/>
      </c>
    </row>
    <row r="167">
      <c r="A167" s="75">
        <f>'마스터'!$J$15</f>
        <v/>
      </c>
    </row>
    <row r="168">
      <c r="A168" s="75">
        <f>'마스터'!$J$16</f>
        <v/>
      </c>
    </row>
    <row r="169">
      <c r="A169" s="75">
        <f>'마스터'!$J$17</f>
        <v/>
      </c>
    </row>
    <row r="170">
      <c r="A170" s="75">
        <f>'마스터'!$J$18</f>
        <v/>
      </c>
    </row>
    <row r="171">
      <c r="A171" s="75">
        <f>'마스터'!$J$19</f>
        <v/>
      </c>
    </row>
    <row r="172">
      <c r="A172" s="75">
        <f>'마스터'!$J$20</f>
        <v/>
      </c>
    </row>
    <row r="173">
      <c r="A173" s="75">
        <f>'마스터'!$J$21</f>
        <v/>
      </c>
    </row>
    <row r="174">
      <c r="A174" s="75">
        <f>'마스터'!$J$22</f>
        <v/>
      </c>
    </row>
    <row r="175">
      <c r="A175" s="75">
        <f>'마스터'!$J$23</f>
        <v/>
      </c>
    </row>
    <row r="176">
      <c r="A176" s="75">
        <f>'마스터'!$J$24</f>
        <v/>
      </c>
    </row>
    <row r="177">
      <c r="A177" s="75">
        <f>'마스터'!$J$25</f>
        <v/>
      </c>
    </row>
    <row r="178">
      <c r="A178" s="75">
        <f>'마스터'!$J$26</f>
        <v/>
      </c>
    </row>
    <row r="179">
      <c r="A179" s="75">
        <f>'마스터'!$J$27</f>
        <v/>
      </c>
    </row>
  </sheetData>
  <mergeCells count="13">
    <mergeCell ref="H1:J1"/>
    <mergeCell ref="K1:P1"/>
    <mergeCell ref="A1:G1"/>
    <mergeCell ref="A132:P132"/>
    <mergeCell ref="A5:F5"/>
    <mergeCell ref="A70:P70"/>
    <mergeCell ref="A8:P8"/>
    <mergeCell ref="U1:AY1"/>
    <mergeCell ref="A6:F6"/>
    <mergeCell ref="A39:P39"/>
    <mergeCell ref="A4:F4"/>
    <mergeCell ref="A101:P101"/>
    <mergeCell ref="A3:F3"/>
  </mergeCells>
  <conditionalFormatting sqref="U3:AY6">
    <cfRule type="expression" priority="1" dxfId="0">
      <formula>U3&gt;$H3</formula>
    </cfRule>
    <cfRule type="expression" priority="2" dxfId="1">
      <formula>AND(U3&gt;0,U3&gt;=$H3*0.8)</formula>
    </cfRule>
  </conditionalFormatting>
  <conditionalFormatting sqref="U3:AY162">
    <cfRule type="expression" priority="3" dxfId="2">
      <formula>OR(WEEKDAY(U$2,2)&gt;5,COUNTIF($A$165:$A$179,U$2)&gt;0)</formula>
    </cfRule>
  </conditionalFormatting>
  <conditionalFormatting sqref="U8:AY162">
    <cfRule type="expression" priority="4" dxfId="3">
      <formula>AND($F8&lt;&gt;"",U8&lt;&gt;"",SUMIF($F$8:$F$162,$F8,U$8:U$162)&gt;$A$163)</formula>
    </cfRule>
    <cfRule type="expression" priority="5" dxfId="4">
      <formula>$E8="기획"</formula>
    </cfRule>
    <cfRule type="expression" priority="6" dxfId="5">
      <formula>$E8="이미지"</formula>
    </cfRule>
    <cfRule type="expression" priority="7" dxfId="6">
      <formula>$E8="영상"</formula>
    </cfRule>
    <cfRule type="expression" priority="8" dxfId="7">
      <formula>AND($E8="기획",U8&lt;&gt;"")</formula>
    </cfRule>
    <cfRule type="expression" priority="9" dxfId="8">
      <formula>AND($E8="이미지",U8&lt;&gt;"")</formula>
    </cfRule>
    <cfRule type="expression" priority="10" dxfId="9">
      <formula>AND($E8="영상",U8&lt;&gt;"")</formula>
    </cfRule>
  </conditionalFormatting>
  <conditionalFormatting sqref="N8:N162">
    <cfRule type="expression" priority="11" dxfId="10">
      <formula>AND(N8&lt;&gt;"",N8&lt;0)</formula>
    </cfRule>
    <cfRule type="expression" priority="12" dxfId="11">
      <formula>AND(N8&lt;&gt;"",N8&gt;=0,N8&lt;=1)</formula>
    </cfRule>
    <cfRule type="expression" priority="13" dxfId="12">
      <formula>AND(N8&lt;&gt;"",N8&gt;1)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E8:E162" showDropDown="0" showInputMessage="0" showErrorMessage="0" allowBlank="1" type="list">
      <formula1>='마스터'!$E$3:$E$5</formula1>
    </dataValidation>
    <dataValidation sqref="O8:O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179"/>
  <sheetViews>
    <sheetView showGridLines="0" workbookViewId="0">
      <pane xSplit="7" ySplit="7" topLeftCell="H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20" customWidth="1" min="4" max="4"/>
    <col width="7" customWidth="1" min="5" max="5"/>
    <col width="9" customWidth="1" min="6" max="6"/>
    <col width="9" customWidth="1" min="7" max="7"/>
    <col width="5" customWidth="1" min="8" max="8"/>
    <col width="5" customWidth="1" min="9" max="9"/>
    <col width="5" customWidth="1" min="10" max="10"/>
    <col width="6" customWidth="1" min="11" max="11"/>
    <col width="8" customWidth="1" min="12" max="12"/>
    <col width="8" customWidth="1" min="13" max="13"/>
    <col width="6" customWidth="1" min="14" max="14"/>
    <col width="7" customWidth="1" min="15" max="15"/>
    <col width="12" customWidth="1" min="16" max="16"/>
    <col width="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</cols>
  <sheetData>
    <row r="1">
      <c r="A1" s="40" t="inlineStr">
        <is>
          <t>5월 업무 정보 (소재명 = 직군별 줄)</t>
        </is>
      </c>
      <c r="H1" s="41" t="inlineStr">
        <is>
          <t>수량 (소재당 1번만)</t>
        </is>
      </c>
      <c r="K1" s="42" t="inlineStr">
        <is>
          <t>집계 / 일정 (자동)</t>
        </is>
      </c>
      <c r="U1" s="14" t="inlineStr">
        <is>
          <t>5월 간트 - 날짜 칸에 MD 직접 입력 (주말+공휴일 회색)  상단 4줄=일자별 직군 TO 상태</t>
        </is>
      </c>
    </row>
    <row r="2">
      <c r="A2" s="43" t="inlineStr">
        <is>
          <t>No</t>
        </is>
      </c>
      <c r="B2" s="43" t="inlineStr">
        <is>
          <t>게임 타이틀명</t>
        </is>
      </c>
      <c r="C2" s="43" t="inlineStr">
        <is>
          <t>고객팀</t>
        </is>
      </c>
      <c r="D2" s="43" t="inlineStr">
        <is>
          <t>소재명(업무명)</t>
        </is>
      </c>
      <c r="E2" s="43" t="inlineStr">
        <is>
          <t>직군</t>
        </is>
      </c>
      <c r="F2" s="43" t="inlineStr">
        <is>
          <t>담당자</t>
        </is>
      </c>
      <c r="G2" s="43" t="inlineStr">
        <is>
          <t>최종완료일
(고객전달)</t>
        </is>
      </c>
      <c r="H2" s="43" t="inlineStr">
        <is>
          <t>영상
수</t>
        </is>
      </c>
      <c r="I2" s="43" t="inlineStr">
        <is>
          <t>사이즈
베리</t>
        </is>
      </c>
      <c r="J2" s="43" t="inlineStr">
        <is>
          <t>다국어
베리</t>
        </is>
      </c>
      <c r="K2" s="43" t="inlineStr">
        <is>
          <t>합계
MD</t>
        </is>
      </c>
      <c r="L2" s="43" t="inlineStr">
        <is>
          <t>시작일
(자동)</t>
        </is>
      </c>
      <c r="M2" s="43" t="inlineStr">
        <is>
          <t>완료일
(자동)</t>
        </is>
      </c>
      <c r="N2" s="43" t="inlineStr">
        <is>
          <t>여유</t>
        </is>
      </c>
      <c r="O2" s="43" t="inlineStr">
        <is>
          <t>상태</t>
        </is>
      </c>
      <c r="P2" s="43" t="inlineStr">
        <is>
          <t>비고</t>
        </is>
      </c>
      <c r="U2" s="44">
        <f>DATE('마스터'!$J$3,5,1)</f>
        <v/>
      </c>
      <c r="V2" s="44">
        <f>U2+1</f>
        <v/>
      </c>
      <c r="W2" s="44">
        <f>V2+1</f>
        <v/>
      </c>
      <c r="X2" s="44">
        <f>W2+1</f>
        <v/>
      </c>
      <c r="Y2" s="44">
        <f>X2+1</f>
        <v/>
      </c>
      <c r="Z2" s="44">
        <f>Y2+1</f>
        <v/>
      </c>
      <c r="AA2" s="44">
        <f>Z2+1</f>
        <v/>
      </c>
      <c r="AB2" s="44">
        <f>AA2+1</f>
        <v/>
      </c>
      <c r="AC2" s="44">
        <f>AB2+1</f>
        <v/>
      </c>
      <c r="AD2" s="44">
        <f>AC2+1</f>
        <v/>
      </c>
      <c r="AE2" s="44">
        <f>AD2+1</f>
        <v/>
      </c>
      <c r="AF2" s="44">
        <f>AE2+1</f>
        <v/>
      </c>
      <c r="AG2" s="44">
        <f>AF2+1</f>
        <v/>
      </c>
      <c r="AH2" s="44">
        <f>AG2+1</f>
        <v/>
      </c>
      <c r="AI2" s="44">
        <f>AH2+1</f>
        <v/>
      </c>
      <c r="AJ2" s="44">
        <f>AI2+1</f>
        <v/>
      </c>
      <c r="AK2" s="44">
        <f>AJ2+1</f>
        <v/>
      </c>
      <c r="AL2" s="44">
        <f>AK2+1</f>
        <v/>
      </c>
      <c r="AM2" s="44">
        <f>AL2+1</f>
        <v/>
      </c>
      <c r="AN2" s="44">
        <f>AM2+1</f>
        <v/>
      </c>
      <c r="AO2" s="44">
        <f>AN2+1</f>
        <v/>
      </c>
      <c r="AP2" s="44">
        <f>AO2+1</f>
        <v/>
      </c>
      <c r="AQ2" s="44">
        <f>AP2+1</f>
        <v/>
      </c>
      <c r="AR2" s="44">
        <f>AQ2+1</f>
        <v/>
      </c>
      <c r="AS2" s="44">
        <f>AR2+1</f>
        <v/>
      </c>
      <c r="AT2" s="44">
        <f>AS2+1</f>
        <v/>
      </c>
      <c r="AU2" s="44">
        <f>AT2+1</f>
        <v/>
      </c>
      <c r="AV2" s="44">
        <f>AU2+1</f>
        <v/>
      </c>
      <c r="AW2" s="44">
        <f>AV2+1</f>
        <v/>
      </c>
      <c r="AX2" s="44">
        <f>AW2+1</f>
        <v/>
      </c>
      <c r="AY2" s="44">
        <f>AX2+1</f>
        <v/>
      </c>
    </row>
    <row r="3">
      <c r="A3" s="45" t="inlineStr">
        <is>
          <t>전체 TO (일자별 부하)</t>
        </is>
      </c>
      <c r="G3" s="46" t="inlineStr">
        <is>
          <t>정원</t>
        </is>
      </c>
      <c r="H3" s="47">
        <f>SUM('마스터'!$J$8:$J$10)</f>
        <v/>
      </c>
      <c r="I3" s="48" t="n"/>
      <c r="J3" s="48" t="n"/>
      <c r="K3" s="48" t="n"/>
      <c r="L3" s="48" t="n"/>
      <c r="M3" s="48" t="n"/>
      <c r="N3" s="48" t="n"/>
      <c r="O3" s="48" t="n"/>
      <c r="P3" s="48" t="n"/>
      <c r="U3" s="49">
        <f>SUM(U$8:U$162)</f>
        <v/>
      </c>
      <c r="V3" s="49">
        <f>SUM(V$8:V$162)</f>
        <v/>
      </c>
      <c r="W3" s="49">
        <f>SUM(W$8:W$162)</f>
        <v/>
      </c>
      <c r="X3" s="49">
        <f>SUM(X$8:X$162)</f>
        <v/>
      </c>
      <c r="Y3" s="49">
        <f>SUM(Y$8:Y$162)</f>
        <v/>
      </c>
      <c r="Z3" s="49">
        <f>SUM(Z$8:Z$162)</f>
        <v/>
      </c>
      <c r="AA3" s="49">
        <f>SUM(AA$8:AA$162)</f>
        <v/>
      </c>
      <c r="AB3" s="49">
        <f>SUM(AB$8:AB$162)</f>
        <v/>
      </c>
      <c r="AC3" s="49">
        <f>SUM(AC$8:AC$162)</f>
        <v/>
      </c>
      <c r="AD3" s="49">
        <f>SUM(AD$8:AD$162)</f>
        <v/>
      </c>
      <c r="AE3" s="49">
        <f>SUM(AE$8:AE$162)</f>
        <v/>
      </c>
      <c r="AF3" s="49">
        <f>SUM(AF$8:AF$162)</f>
        <v/>
      </c>
      <c r="AG3" s="49">
        <f>SUM(AG$8:AG$162)</f>
        <v/>
      </c>
      <c r="AH3" s="49">
        <f>SUM(AH$8:AH$162)</f>
        <v/>
      </c>
      <c r="AI3" s="49">
        <f>SUM(AI$8:AI$162)</f>
        <v/>
      </c>
      <c r="AJ3" s="49">
        <f>SUM(AJ$8:AJ$162)</f>
        <v/>
      </c>
      <c r="AK3" s="49">
        <f>SUM(AK$8:AK$162)</f>
        <v/>
      </c>
      <c r="AL3" s="49">
        <f>SUM(AL$8:AL$162)</f>
        <v/>
      </c>
      <c r="AM3" s="49">
        <f>SUM(AM$8:AM$162)</f>
        <v/>
      </c>
      <c r="AN3" s="49">
        <f>SUM(AN$8:AN$162)</f>
        <v/>
      </c>
      <c r="AO3" s="49">
        <f>SUM(AO$8:AO$162)</f>
        <v/>
      </c>
      <c r="AP3" s="49">
        <f>SUM(AP$8:AP$162)</f>
        <v/>
      </c>
      <c r="AQ3" s="49">
        <f>SUM(AQ$8:AQ$162)</f>
        <v/>
      </c>
      <c r="AR3" s="49">
        <f>SUM(AR$8:AR$162)</f>
        <v/>
      </c>
      <c r="AS3" s="49">
        <f>SUM(AS$8:AS$162)</f>
        <v/>
      </c>
      <c r="AT3" s="49">
        <f>SUM(AT$8:AT$162)</f>
        <v/>
      </c>
      <c r="AU3" s="49">
        <f>SUM(AU$8:AU$162)</f>
        <v/>
      </c>
      <c r="AV3" s="49">
        <f>SUM(AV$8:AV$162)</f>
        <v/>
      </c>
      <c r="AW3" s="49">
        <f>SUM(AW$8:AW$162)</f>
        <v/>
      </c>
      <c r="AX3" s="49">
        <f>SUM(AX$8:AX$162)</f>
        <v/>
      </c>
      <c r="AY3" s="49">
        <f>SUM(AY$8:AY$162)</f>
        <v/>
      </c>
    </row>
    <row r="4">
      <c r="A4" s="45" t="inlineStr">
        <is>
          <t>영상 TO</t>
        </is>
      </c>
      <c r="G4" s="46" t="inlineStr">
        <is>
          <t>정원</t>
        </is>
      </c>
      <c r="H4" s="47">
        <f>'마스터'!$J$8</f>
        <v/>
      </c>
      <c r="I4" s="48" t="n"/>
      <c r="J4" s="48" t="n"/>
      <c r="K4" s="48" t="n"/>
      <c r="L4" s="48" t="n"/>
      <c r="M4" s="48" t="n"/>
      <c r="N4" s="48" t="n"/>
      <c r="O4" s="48" t="n"/>
      <c r="P4" s="48" t="n"/>
      <c r="U4" s="49">
        <f>SUMIF($E$8:$E$162,"영상",U$8:U$162)</f>
        <v/>
      </c>
      <c r="V4" s="49">
        <f>SUMIF($E$8:$E$162,"영상",V$8:V$162)</f>
        <v/>
      </c>
      <c r="W4" s="49">
        <f>SUMIF($E$8:$E$162,"영상",W$8:W$162)</f>
        <v/>
      </c>
      <c r="X4" s="49">
        <f>SUMIF($E$8:$E$162,"영상",X$8:X$162)</f>
        <v/>
      </c>
      <c r="Y4" s="49">
        <f>SUMIF($E$8:$E$162,"영상",Y$8:Y$162)</f>
        <v/>
      </c>
      <c r="Z4" s="49">
        <f>SUMIF($E$8:$E$162,"영상",Z$8:Z$162)</f>
        <v/>
      </c>
      <c r="AA4" s="49">
        <f>SUMIF($E$8:$E$162,"영상",AA$8:AA$162)</f>
        <v/>
      </c>
      <c r="AB4" s="49">
        <f>SUMIF($E$8:$E$162,"영상",AB$8:AB$162)</f>
        <v/>
      </c>
      <c r="AC4" s="49">
        <f>SUMIF($E$8:$E$162,"영상",AC$8:AC$162)</f>
        <v/>
      </c>
      <c r="AD4" s="49">
        <f>SUMIF($E$8:$E$162,"영상",AD$8:AD$162)</f>
        <v/>
      </c>
      <c r="AE4" s="49">
        <f>SUMIF($E$8:$E$162,"영상",AE$8:AE$162)</f>
        <v/>
      </c>
      <c r="AF4" s="49">
        <f>SUMIF($E$8:$E$162,"영상",AF$8:AF$162)</f>
        <v/>
      </c>
      <c r="AG4" s="49">
        <f>SUMIF($E$8:$E$162,"영상",AG$8:AG$162)</f>
        <v/>
      </c>
      <c r="AH4" s="49">
        <f>SUMIF($E$8:$E$162,"영상",AH$8:AH$162)</f>
        <v/>
      </c>
      <c r="AI4" s="49">
        <f>SUMIF($E$8:$E$162,"영상",AI$8:AI$162)</f>
        <v/>
      </c>
      <c r="AJ4" s="49">
        <f>SUMIF($E$8:$E$162,"영상",AJ$8:AJ$162)</f>
        <v/>
      </c>
      <c r="AK4" s="49">
        <f>SUMIF($E$8:$E$162,"영상",AK$8:AK$162)</f>
        <v/>
      </c>
      <c r="AL4" s="49">
        <f>SUMIF($E$8:$E$162,"영상",AL$8:AL$162)</f>
        <v/>
      </c>
      <c r="AM4" s="49">
        <f>SUMIF($E$8:$E$162,"영상",AM$8:AM$162)</f>
        <v/>
      </c>
      <c r="AN4" s="49">
        <f>SUMIF($E$8:$E$162,"영상",AN$8:AN$162)</f>
        <v/>
      </c>
      <c r="AO4" s="49">
        <f>SUMIF($E$8:$E$162,"영상",AO$8:AO$162)</f>
        <v/>
      </c>
      <c r="AP4" s="49">
        <f>SUMIF($E$8:$E$162,"영상",AP$8:AP$162)</f>
        <v/>
      </c>
      <c r="AQ4" s="49">
        <f>SUMIF($E$8:$E$162,"영상",AQ$8:AQ$162)</f>
        <v/>
      </c>
      <c r="AR4" s="49">
        <f>SUMIF($E$8:$E$162,"영상",AR$8:AR$162)</f>
        <v/>
      </c>
      <c r="AS4" s="49">
        <f>SUMIF($E$8:$E$162,"영상",AS$8:AS$162)</f>
        <v/>
      </c>
      <c r="AT4" s="49">
        <f>SUMIF($E$8:$E$162,"영상",AT$8:AT$162)</f>
        <v/>
      </c>
      <c r="AU4" s="49">
        <f>SUMIF($E$8:$E$162,"영상",AU$8:AU$162)</f>
        <v/>
      </c>
      <c r="AV4" s="49">
        <f>SUMIF($E$8:$E$162,"영상",AV$8:AV$162)</f>
        <v/>
      </c>
      <c r="AW4" s="49">
        <f>SUMIF($E$8:$E$162,"영상",AW$8:AW$162)</f>
        <v/>
      </c>
      <c r="AX4" s="49">
        <f>SUMIF($E$8:$E$162,"영상",AX$8:AX$162)</f>
        <v/>
      </c>
      <c r="AY4" s="49">
        <f>SUMIF($E$8:$E$162,"영상",AY$8:AY$162)</f>
        <v/>
      </c>
    </row>
    <row r="5">
      <c r="A5" s="45" t="inlineStr">
        <is>
          <t>이미지 TO</t>
        </is>
      </c>
      <c r="G5" s="46" t="inlineStr">
        <is>
          <t>정원</t>
        </is>
      </c>
      <c r="H5" s="47">
        <f>'마스터'!$J$9</f>
        <v/>
      </c>
      <c r="I5" s="48" t="n"/>
      <c r="J5" s="48" t="n"/>
      <c r="K5" s="48" t="n"/>
      <c r="L5" s="48" t="n"/>
      <c r="M5" s="48" t="n"/>
      <c r="N5" s="48" t="n"/>
      <c r="O5" s="48" t="n"/>
      <c r="P5" s="48" t="n"/>
      <c r="U5" s="49">
        <f>SUMIF($E$8:$E$162,"이미지",U$8:U$162)</f>
        <v/>
      </c>
      <c r="V5" s="49">
        <f>SUMIF($E$8:$E$162,"이미지",V$8:V$162)</f>
        <v/>
      </c>
      <c r="W5" s="49">
        <f>SUMIF($E$8:$E$162,"이미지",W$8:W$162)</f>
        <v/>
      </c>
      <c r="X5" s="49">
        <f>SUMIF($E$8:$E$162,"이미지",X$8:X$162)</f>
        <v/>
      </c>
      <c r="Y5" s="49">
        <f>SUMIF($E$8:$E$162,"이미지",Y$8:Y$162)</f>
        <v/>
      </c>
      <c r="Z5" s="49">
        <f>SUMIF($E$8:$E$162,"이미지",Z$8:Z$162)</f>
        <v/>
      </c>
      <c r="AA5" s="49">
        <f>SUMIF($E$8:$E$162,"이미지",AA$8:AA$162)</f>
        <v/>
      </c>
      <c r="AB5" s="49">
        <f>SUMIF($E$8:$E$162,"이미지",AB$8:AB$162)</f>
        <v/>
      </c>
      <c r="AC5" s="49">
        <f>SUMIF($E$8:$E$162,"이미지",AC$8:AC$162)</f>
        <v/>
      </c>
      <c r="AD5" s="49">
        <f>SUMIF($E$8:$E$162,"이미지",AD$8:AD$162)</f>
        <v/>
      </c>
      <c r="AE5" s="49">
        <f>SUMIF($E$8:$E$162,"이미지",AE$8:AE$162)</f>
        <v/>
      </c>
      <c r="AF5" s="49">
        <f>SUMIF($E$8:$E$162,"이미지",AF$8:AF$162)</f>
        <v/>
      </c>
      <c r="AG5" s="49">
        <f>SUMIF($E$8:$E$162,"이미지",AG$8:AG$162)</f>
        <v/>
      </c>
      <c r="AH5" s="49">
        <f>SUMIF($E$8:$E$162,"이미지",AH$8:AH$162)</f>
        <v/>
      </c>
      <c r="AI5" s="49">
        <f>SUMIF($E$8:$E$162,"이미지",AI$8:AI$162)</f>
        <v/>
      </c>
      <c r="AJ5" s="49">
        <f>SUMIF($E$8:$E$162,"이미지",AJ$8:AJ$162)</f>
        <v/>
      </c>
      <c r="AK5" s="49">
        <f>SUMIF($E$8:$E$162,"이미지",AK$8:AK$162)</f>
        <v/>
      </c>
      <c r="AL5" s="49">
        <f>SUMIF($E$8:$E$162,"이미지",AL$8:AL$162)</f>
        <v/>
      </c>
      <c r="AM5" s="49">
        <f>SUMIF($E$8:$E$162,"이미지",AM$8:AM$162)</f>
        <v/>
      </c>
      <c r="AN5" s="49">
        <f>SUMIF($E$8:$E$162,"이미지",AN$8:AN$162)</f>
        <v/>
      </c>
      <c r="AO5" s="49">
        <f>SUMIF($E$8:$E$162,"이미지",AO$8:AO$162)</f>
        <v/>
      </c>
      <c r="AP5" s="49">
        <f>SUMIF($E$8:$E$162,"이미지",AP$8:AP$162)</f>
        <v/>
      </c>
      <c r="AQ5" s="49">
        <f>SUMIF($E$8:$E$162,"이미지",AQ$8:AQ$162)</f>
        <v/>
      </c>
      <c r="AR5" s="49">
        <f>SUMIF($E$8:$E$162,"이미지",AR$8:AR$162)</f>
        <v/>
      </c>
      <c r="AS5" s="49">
        <f>SUMIF($E$8:$E$162,"이미지",AS$8:AS$162)</f>
        <v/>
      </c>
      <c r="AT5" s="49">
        <f>SUMIF($E$8:$E$162,"이미지",AT$8:AT$162)</f>
        <v/>
      </c>
      <c r="AU5" s="49">
        <f>SUMIF($E$8:$E$162,"이미지",AU$8:AU$162)</f>
        <v/>
      </c>
      <c r="AV5" s="49">
        <f>SUMIF($E$8:$E$162,"이미지",AV$8:AV$162)</f>
        <v/>
      </c>
      <c r="AW5" s="49">
        <f>SUMIF($E$8:$E$162,"이미지",AW$8:AW$162)</f>
        <v/>
      </c>
      <c r="AX5" s="49">
        <f>SUMIF($E$8:$E$162,"이미지",AX$8:AX$162)</f>
        <v/>
      </c>
      <c r="AY5" s="49">
        <f>SUMIF($E$8:$E$162,"이미지",AY$8:AY$162)</f>
        <v/>
      </c>
    </row>
    <row r="6">
      <c r="A6" s="45" t="inlineStr">
        <is>
          <t>기획 TO</t>
        </is>
      </c>
      <c r="G6" s="46" t="inlineStr">
        <is>
          <t>정원</t>
        </is>
      </c>
      <c r="H6" s="47">
        <f>'마스터'!$J$10</f>
        <v/>
      </c>
      <c r="I6" s="48" t="n"/>
      <c r="J6" s="48" t="n"/>
      <c r="K6" s="48" t="n"/>
      <c r="L6" s="48" t="n"/>
      <c r="M6" s="48" t="n"/>
      <c r="N6" s="48" t="n"/>
      <c r="O6" s="48" t="n"/>
      <c r="P6" s="48" t="n"/>
      <c r="U6" s="49">
        <f>SUMIF($E$8:$E$162,"기획",U$8:U$162)</f>
        <v/>
      </c>
      <c r="V6" s="49">
        <f>SUMIF($E$8:$E$162,"기획",V$8:V$162)</f>
        <v/>
      </c>
      <c r="W6" s="49">
        <f>SUMIF($E$8:$E$162,"기획",W$8:W$162)</f>
        <v/>
      </c>
      <c r="X6" s="49">
        <f>SUMIF($E$8:$E$162,"기획",X$8:X$162)</f>
        <v/>
      </c>
      <c r="Y6" s="49">
        <f>SUMIF($E$8:$E$162,"기획",Y$8:Y$162)</f>
        <v/>
      </c>
      <c r="Z6" s="49">
        <f>SUMIF($E$8:$E$162,"기획",Z$8:Z$162)</f>
        <v/>
      </c>
      <c r="AA6" s="49">
        <f>SUMIF($E$8:$E$162,"기획",AA$8:AA$162)</f>
        <v/>
      </c>
      <c r="AB6" s="49">
        <f>SUMIF($E$8:$E$162,"기획",AB$8:AB$162)</f>
        <v/>
      </c>
      <c r="AC6" s="49">
        <f>SUMIF($E$8:$E$162,"기획",AC$8:AC$162)</f>
        <v/>
      </c>
      <c r="AD6" s="49">
        <f>SUMIF($E$8:$E$162,"기획",AD$8:AD$162)</f>
        <v/>
      </c>
      <c r="AE6" s="49">
        <f>SUMIF($E$8:$E$162,"기획",AE$8:AE$162)</f>
        <v/>
      </c>
      <c r="AF6" s="49">
        <f>SUMIF($E$8:$E$162,"기획",AF$8:AF$162)</f>
        <v/>
      </c>
      <c r="AG6" s="49">
        <f>SUMIF($E$8:$E$162,"기획",AG$8:AG$162)</f>
        <v/>
      </c>
      <c r="AH6" s="49">
        <f>SUMIF($E$8:$E$162,"기획",AH$8:AH$162)</f>
        <v/>
      </c>
      <c r="AI6" s="49">
        <f>SUMIF($E$8:$E$162,"기획",AI$8:AI$162)</f>
        <v/>
      </c>
      <c r="AJ6" s="49">
        <f>SUMIF($E$8:$E$162,"기획",AJ$8:AJ$162)</f>
        <v/>
      </c>
      <c r="AK6" s="49">
        <f>SUMIF($E$8:$E$162,"기획",AK$8:AK$162)</f>
        <v/>
      </c>
      <c r="AL6" s="49">
        <f>SUMIF($E$8:$E$162,"기획",AL$8:AL$162)</f>
        <v/>
      </c>
      <c r="AM6" s="49">
        <f>SUMIF($E$8:$E$162,"기획",AM$8:AM$162)</f>
        <v/>
      </c>
      <c r="AN6" s="49">
        <f>SUMIF($E$8:$E$162,"기획",AN$8:AN$162)</f>
        <v/>
      </c>
      <c r="AO6" s="49">
        <f>SUMIF($E$8:$E$162,"기획",AO$8:AO$162)</f>
        <v/>
      </c>
      <c r="AP6" s="49">
        <f>SUMIF($E$8:$E$162,"기획",AP$8:AP$162)</f>
        <v/>
      </c>
      <c r="AQ6" s="49">
        <f>SUMIF($E$8:$E$162,"기획",AQ$8:AQ$162)</f>
        <v/>
      </c>
      <c r="AR6" s="49">
        <f>SUMIF($E$8:$E$162,"기획",AR$8:AR$162)</f>
        <v/>
      </c>
      <c r="AS6" s="49">
        <f>SUMIF($E$8:$E$162,"기획",AS$8:AS$162)</f>
        <v/>
      </c>
      <c r="AT6" s="49">
        <f>SUMIF($E$8:$E$162,"기획",AT$8:AT$162)</f>
        <v/>
      </c>
      <c r="AU6" s="49">
        <f>SUMIF($E$8:$E$162,"기획",AU$8:AU$162)</f>
        <v/>
      </c>
      <c r="AV6" s="49">
        <f>SUMIF($E$8:$E$162,"기획",AV$8:AV$162)</f>
        <v/>
      </c>
      <c r="AW6" s="49">
        <f>SUMIF($E$8:$E$162,"기획",AW$8:AW$162)</f>
        <v/>
      </c>
      <c r="AX6" s="49">
        <f>SUMIF($E$8:$E$162,"기획",AX$8:AX$162)</f>
        <v/>
      </c>
      <c r="AY6" s="49">
        <f>SUMIF($E$8:$E$162,"기획",AY$8:AY$162)</f>
        <v/>
      </c>
    </row>
    <row r="8">
      <c r="A8" s="50" t="inlineStr">
        <is>
          <t>마케팅1팀  (9~38행)</t>
        </is>
      </c>
      <c r="U8" s="51" t="n"/>
      <c r="V8" s="51" t="n"/>
      <c r="W8" s="51" t="n"/>
      <c r="X8" s="51" t="n"/>
      <c r="Y8" s="51" t="n"/>
      <c r="Z8" s="51" t="n"/>
      <c r="AA8" s="51" t="n"/>
      <c r="AB8" s="51" t="n"/>
      <c r="AC8" s="51" t="n"/>
      <c r="AD8" s="51" t="n"/>
      <c r="AE8" s="51" t="n"/>
      <c r="AF8" s="51" t="n"/>
      <c r="AG8" s="51" t="n"/>
      <c r="AH8" s="51" t="n"/>
      <c r="AI8" s="51" t="n"/>
      <c r="AJ8" s="51" t="n"/>
      <c r="AK8" s="51" t="n"/>
      <c r="AL8" s="51" t="n"/>
      <c r="AM8" s="51" t="n"/>
      <c r="AN8" s="51" t="n"/>
      <c r="AO8" s="51" t="n"/>
      <c r="AP8" s="51" t="n"/>
      <c r="AQ8" s="51" t="n"/>
      <c r="AR8" s="51" t="n"/>
      <c r="AS8" s="51" t="n"/>
      <c r="AT8" s="51" t="n"/>
      <c r="AU8" s="51" t="n"/>
      <c r="AV8" s="51" t="n"/>
      <c r="AW8" s="51" t="n"/>
      <c r="AX8" s="51" t="n"/>
      <c r="AY8" s="51" t="n"/>
    </row>
    <row r="9">
      <c r="A9" s="38">
        <f>IF(D9="","",COUNTA($D$9:D9))</f>
        <v/>
      </c>
      <c r="B9" s="52" t="n"/>
      <c r="C9" s="53" t="inlineStr">
        <is>
          <t>마케팅1팀</t>
        </is>
      </c>
      <c r="D9" s="52" t="n"/>
      <c r="E9" s="54" t="n"/>
      <c r="F9" s="52" t="n"/>
      <c r="G9" s="55" t="n"/>
      <c r="H9" s="54" t="n"/>
      <c r="I9" s="54" t="n"/>
      <c r="J9" s="54" t="n"/>
      <c r="K9" s="56">
        <f>IF(SUM(U9:AY9)=0,"",SUM(U9:AY9))</f>
        <v/>
      </c>
      <c r="L9" s="57">
        <f>IFERROR(INDEX(U$2:AY$2,MATCH(TRUE,U9:AY9&lt;&gt;"",0)),"")</f>
        <v/>
      </c>
      <c r="M9" s="58">
        <f>IFERROR(LOOKUP(2,1/(U9:AY9&lt;&gt;""),U$2:AY$2),"")</f>
        <v/>
      </c>
      <c r="N9" s="59">
        <f>IF(OR(G9="",M9=""),"",G9-M9)</f>
        <v/>
      </c>
      <c r="O9" s="60" t="n"/>
      <c r="P9" s="61" t="n"/>
      <c r="U9" s="62" t="n"/>
      <c r="V9" s="62" t="n"/>
      <c r="W9" s="62" t="n"/>
      <c r="X9" s="62" t="n"/>
      <c r="Y9" s="62" t="n"/>
      <c r="Z9" s="62" t="n"/>
      <c r="AA9" s="62" t="n"/>
      <c r="AB9" s="62" t="n"/>
      <c r="AC9" s="62" t="n"/>
      <c r="AD9" s="62" t="n"/>
      <c r="AE9" s="62" t="n"/>
      <c r="AF9" s="62" t="n"/>
      <c r="AG9" s="62" t="n"/>
      <c r="AH9" s="62" t="n"/>
      <c r="AI9" s="62" t="n"/>
      <c r="AJ9" s="62" t="n"/>
      <c r="AK9" s="62" t="n"/>
      <c r="AL9" s="62" t="n"/>
      <c r="AM9" s="62" t="n"/>
      <c r="AN9" s="62" t="n"/>
      <c r="AO9" s="62" t="n"/>
      <c r="AP9" s="62" t="n"/>
      <c r="AQ9" s="62" t="n"/>
      <c r="AR9" s="62" t="n"/>
      <c r="AS9" s="62" t="n"/>
      <c r="AT9" s="62" t="n"/>
      <c r="AU9" s="62" t="n"/>
      <c r="AV9" s="62" t="n"/>
      <c r="AW9" s="62" t="n"/>
      <c r="AX9" s="62" t="n"/>
      <c r="AY9" s="62" t="n"/>
    </row>
    <row r="10">
      <c r="A10" s="38">
        <f>IF(D10="","",COUNTA($D$9:D10))</f>
        <v/>
      </c>
      <c r="B10" s="52" t="n"/>
      <c r="C10" s="53" t="inlineStr">
        <is>
          <t>마케팅1팀</t>
        </is>
      </c>
      <c r="D10" s="52" t="n"/>
      <c r="E10" s="54" t="n"/>
      <c r="F10" s="52" t="n"/>
      <c r="G10" s="55" t="n"/>
      <c r="H10" s="54" t="n"/>
      <c r="I10" s="54" t="n"/>
      <c r="J10" s="54" t="n"/>
      <c r="K10" s="56">
        <f>IF(SUM(U10:AY10)=0,"",SUM(U10:AY10))</f>
        <v/>
      </c>
      <c r="L10" s="57">
        <f>IFERROR(INDEX(U$2:AY$2,MATCH(TRUE,U10:AY10&lt;&gt;"",0)),"")</f>
        <v/>
      </c>
      <c r="M10" s="58">
        <f>IFERROR(LOOKUP(2,1/(U10:AY10&lt;&gt;""),U$2:AY$2),"")</f>
        <v/>
      </c>
      <c r="N10" s="59">
        <f>IF(OR(G10="",M10=""),"",G10-M10)</f>
        <v/>
      </c>
      <c r="O10" s="60" t="n"/>
      <c r="P10" s="61" t="n"/>
      <c r="U10" s="62" t="n"/>
      <c r="V10" s="62" t="n"/>
      <c r="W10" s="62" t="n"/>
      <c r="X10" s="62" t="n"/>
      <c r="Y10" s="62" t="n"/>
      <c r="Z10" s="62" t="n"/>
      <c r="AA10" s="62" t="n"/>
      <c r="AB10" s="62" t="n"/>
      <c r="AC10" s="62" t="n"/>
      <c r="AD10" s="62" t="n"/>
      <c r="AE10" s="62" t="n"/>
      <c r="AF10" s="62" t="n"/>
      <c r="AG10" s="62" t="n"/>
      <c r="AH10" s="62" t="n"/>
      <c r="AI10" s="62" t="n"/>
      <c r="AJ10" s="62" t="n"/>
      <c r="AK10" s="62" t="n"/>
      <c r="AL10" s="62" t="n"/>
      <c r="AM10" s="62" t="n"/>
      <c r="AN10" s="62" t="n"/>
      <c r="AO10" s="62" t="n"/>
      <c r="AP10" s="62" t="n"/>
      <c r="AQ10" s="62" t="n"/>
      <c r="AR10" s="62" t="n"/>
      <c r="AS10" s="62" t="n"/>
      <c r="AT10" s="62" t="n"/>
      <c r="AU10" s="62" t="n"/>
      <c r="AV10" s="62" t="n"/>
      <c r="AW10" s="62" t="n"/>
      <c r="AX10" s="62" t="n"/>
      <c r="AY10" s="62" t="n"/>
    </row>
    <row r="11">
      <c r="A11" s="38">
        <f>IF(D11="","",COUNTA($D$9:D11))</f>
        <v/>
      </c>
      <c r="B11" s="52" t="n"/>
      <c r="C11" s="53" t="inlineStr">
        <is>
          <t>마케팅1팀</t>
        </is>
      </c>
      <c r="D11" s="52" t="n"/>
      <c r="E11" s="54" t="n"/>
      <c r="F11" s="52" t="n"/>
      <c r="G11" s="55" t="n"/>
      <c r="H11" s="54" t="n"/>
      <c r="I11" s="54" t="n"/>
      <c r="J11" s="54" t="n"/>
      <c r="K11" s="56">
        <f>IF(SUM(U11:AY11)=0,"",SUM(U11:AY11))</f>
        <v/>
      </c>
      <c r="L11" s="57">
        <f>IFERROR(INDEX(U$2:AY$2,MATCH(TRUE,U11:AY11&lt;&gt;"",0)),"")</f>
        <v/>
      </c>
      <c r="M11" s="58">
        <f>IFERROR(LOOKUP(2,1/(U11:AY11&lt;&gt;""),U$2:AY$2),"")</f>
        <v/>
      </c>
      <c r="N11" s="59">
        <f>IF(OR(G11="",M11=""),"",G11-M11)</f>
        <v/>
      </c>
      <c r="O11" s="60" t="n"/>
      <c r="P11" s="61" t="n"/>
      <c r="U11" s="62" t="n"/>
      <c r="V11" s="62" t="n"/>
      <c r="W11" s="62" t="n"/>
      <c r="X11" s="62" t="n"/>
      <c r="Y11" s="62" t="n"/>
      <c r="Z11" s="62" t="n"/>
      <c r="AA11" s="62" t="n"/>
      <c r="AB11" s="62" t="n"/>
      <c r="AC11" s="62" t="n"/>
      <c r="AD11" s="62" t="n"/>
      <c r="AE11" s="62" t="n"/>
      <c r="AF11" s="62" t="n"/>
      <c r="AG11" s="62" t="n"/>
      <c r="AH11" s="62" t="n"/>
      <c r="AI11" s="62" t="n"/>
      <c r="AJ11" s="62" t="n"/>
      <c r="AK11" s="62" t="n"/>
      <c r="AL11" s="62" t="n"/>
      <c r="AM11" s="62" t="n"/>
      <c r="AN11" s="62" t="n"/>
      <c r="AO11" s="62" t="n"/>
      <c r="AP11" s="62" t="n"/>
      <c r="AQ11" s="62" t="n"/>
      <c r="AR11" s="62" t="n"/>
      <c r="AS11" s="62" t="n"/>
      <c r="AT11" s="62" t="n"/>
      <c r="AU11" s="62" t="n"/>
      <c r="AV11" s="62" t="n"/>
      <c r="AW11" s="62" t="n"/>
      <c r="AX11" s="62" t="n"/>
      <c r="AY11" s="62" t="n"/>
    </row>
    <row r="12">
      <c r="A12" s="38">
        <f>IF(D12="","",COUNTA($D$9:D12))</f>
        <v/>
      </c>
      <c r="B12" s="52" t="n"/>
      <c r="C12" s="53" t="inlineStr">
        <is>
          <t>마케팅1팀</t>
        </is>
      </c>
      <c r="D12" s="52" t="n"/>
      <c r="E12" s="54" t="n"/>
      <c r="F12" s="52" t="n"/>
      <c r="G12" s="55" t="n"/>
      <c r="H12" s="54" t="n"/>
      <c r="I12" s="54" t="n"/>
      <c r="J12" s="54" t="n"/>
      <c r="K12" s="56">
        <f>IF(SUM(U12:AY12)=0,"",SUM(U12:AY12))</f>
        <v/>
      </c>
      <c r="L12" s="57">
        <f>IFERROR(INDEX(U$2:AY$2,MATCH(TRUE,U12:AY12&lt;&gt;"",0)),"")</f>
        <v/>
      </c>
      <c r="M12" s="58">
        <f>IFERROR(LOOKUP(2,1/(U12:AY12&lt;&gt;""),U$2:AY$2),"")</f>
        <v/>
      </c>
      <c r="N12" s="59">
        <f>IF(OR(G12="",M12=""),"",G12-M12)</f>
        <v/>
      </c>
      <c r="O12" s="60" t="n"/>
      <c r="P12" s="61" t="n"/>
      <c r="U12" s="62" t="n"/>
      <c r="V12" s="62" t="n"/>
      <c r="W12" s="62" t="n"/>
      <c r="X12" s="62" t="n"/>
      <c r="Y12" s="62" t="n"/>
      <c r="Z12" s="62" t="n"/>
      <c r="AA12" s="62" t="n"/>
      <c r="AB12" s="62" t="n"/>
      <c r="AC12" s="62" t="n"/>
      <c r="AD12" s="62" t="n"/>
      <c r="AE12" s="62" t="n"/>
      <c r="AF12" s="62" t="n"/>
      <c r="AG12" s="62" t="n"/>
      <c r="AH12" s="62" t="n"/>
      <c r="AI12" s="62" t="n"/>
      <c r="AJ12" s="62" t="n"/>
      <c r="AK12" s="62" t="n"/>
      <c r="AL12" s="62" t="n"/>
      <c r="AM12" s="62" t="n"/>
      <c r="AN12" s="62" t="n"/>
      <c r="AO12" s="62" t="n"/>
      <c r="AP12" s="62" t="n"/>
      <c r="AQ12" s="62" t="n"/>
      <c r="AR12" s="62" t="n"/>
      <c r="AS12" s="62" t="n"/>
      <c r="AT12" s="62" t="n"/>
      <c r="AU12" s="62" t="n"/>
      <c r="AV12" s="62" t="n"/>
      <c r="AW12" s="62" t="n"/>
      <c r="AX12" s="62" t="n"/>
      <c r="AY12" s="62" t="n"/>
    </row>
    <row r="13">
      <c r="A13" s="38">
        <f>IF(D13="","",COUNTA($D$9:D13))</f>
        <v/>
      </c>
      <c r="B13" s="52" t="n"/>
      <c r="C13" s="53" t="inlineStr">
        <is>
          <t>마케팅1팀</t>
        </is>
      </c>
      <c r="D13" s="52" t="n"/>
      <c r="E13" s="54" t="n"/>
      <c r="F13" s="52" t="n"/>
      <c r="G13" s="55" t="n"/>
      <c r="H13" s="54" t="n"/>
      <c r="I13" s="54" t="n"/>
      <c r="J13" s="54" t="n"/>
      <c r="K13" s="56">
        <f>IF(SUM(U13:AY13)=0,"",SUM(U13:AY13))</f>
        <v/>
      </c>
      <c r="L13" s="57">
        <f>IFERROR(INDEX(U$2:AY$2,MATCH(TRUE,U13:AY13&lt;&gt;"",0)),"")</f>
        <v/>
      </c>
      <c r="M13" s="58">
        <f>IFERROR(LOOKUP(2,1/(U13:AY13&lt;&gt;""),U$2:AY$2),"")</f>
        <v/>
      </c>
      <c r="N13" s="59">
        <f>IF(OR(G13="",M13=""),"",G13-M13)</f>
        <v/>
      </c>
      <c r="O13" s="60" t="n"/>
      <c r="P13" s="61" t="n"/>
      <c r="U13" s="62" t="n"/>
      <c r="V13" s="62" t="n"/>
      <c r="W13" s="62" t="n"/>
      <c r="X13" s="62" t="n"/>
      <c r="Y13" s="62" t="n"/>
      <c r="Z13" s="62" t="n"/>
      <c r="AA13" s="62" t="n"/>
      <c r="AB13" s="62" t="n"/>
      <c r="AC13" s="62" t="n"/>
      <c r="AD13" s="62" t="n"/>
      <c r="AE13" s="62" t="n"/>
      <c r="AF13" s="62" t="n"/>
      <c r="AG13" s="62" t="n"/>
      <c r="AH13" s="62" t="n"/>
      <c r="AI13" s="62" t="n"/>
      <c r="AJ13" s="62" t="n"/>
      <c r="AK13" s="62" t="n"/>
      <c r="AL13" s="62" t="n"/>
      <c r="AM13" s="62" t="n"/>
      <c r="AN13" s="62" t="n"/>
      <c r="AO13" s="62" t="n"/>
      <c r="AP13" s="62" t="n"/>
      <c r="AQ13" s="62" t="n"/>
      <c r="AR13" s="62" t="n"/>
      <c r="AS13" s="62" t="n"/>
      <c r="AT13" s="62" t="n"/>
      <c r="AU13" s="62" t="n"/>
      <c r="AV13" s="62" t="n"/>
      <c r="AW13" s="62" t="n"/>
      <c r="AX13" s="62" t="n"/>
      <c r="AY13" s="62" t="n"/>
    </row>
    <row r="14">
      <c r="A14" s="38">
        <f>IF(D14="","",COUNTA($D$9:D14))</f>
        <v/>
      </c>
      <c r="B14" s="52" t="n"/>
      <c r="C14" s="53" t="inlineStr">
        <is>
          <t>마케팅1팀</t>
        </is>
      </c>
      <c r="D14" s="52" t="n"/>
      <c r="E14" s="54" t="n"/>
      <c r="F14" s="52" t="n"/>
      <c r="G14" s="55" t="n"/>
      <c r="H14" s="54" t="n"/>
      <c r="I14" s="54" t="n"/>
      <c r="J14" s="54" t="n"/>
      <c r="K14" s="56">
        <f>IF(SUM(U14:AY14)=0,"",SUM(U14:AY14))</f>
        <v/>
      </c>
      <c r="L14" s="57">
        <f>IFERROR(INDEX(U$2:AY$2,MATCH(TRUE,U14:AY14&lt;&gt;"",0)),"")</f>
        <v/>
      </c>
      <c r="M14" s="58">
        <f>IFERROR(LOOKUP(2,1/(U14:AY14&lt;&gt;""),U$2:AY$2),"")</f>
        <v/>
      </c>
      <c r="N14" s="59">
        <f>IF(OR(G14="",M14=""),"",G14-M14)</f>
        <v/>
      </c>
      <c r="O14" s="60" t="n"/>
      <c r="P14" s="61" t="n"/>
      <c r="U14" s="62" t="n"/>
      <c r="V14" s="62" t="n"/>
      <c r="W14" s="62" t="n"/>
      <c r="X14" s="62" t="n"/>
      <c r="Y14" s="62" t="n"/>
      <c r="Z14" s="62" t="n"/>
      <c r="AA14" s="62" t="n"/>
      <c r="AB14" s="62" t="n"/>
      <c r="AC14" s="62" t="n"/>
      <c r="AD14" s="62" t="n"/>
      <c r="AE14" s="62" t="n"/>
      <c r="AF14" s="62" t="n"/>
      <c r="AG14" s="62" t="n"/>
      <c r="AH14" s="62" t="n"/>
      <c r="AI14" s="62" t="n"/>
      <c r="AJ14" s="62" t="n"/>
      <c r="AK14" s="62" t="n"/>
      <c r="AL14" s="62" t="n"/>
      <c r="AM14" s="62" t="n"/>
      <c r="AN14" s="62" t="n"/>
      <c r="AO14" s="62" t="n"/>
      <c r="AP14" s="62" t="n"/>
      <c r="AQ14" s="62" t="n"/>
      <c r="AR14" s="62" t="n"/>
      <c r="AS14" s="62" t="n"/>
      <c r="AT14" s="62" t="n"/>
      <c r="AU14" s="62" t="n"/>
      <c r="AV14" s="62" t="n"/>
      <c r="AW14" s="62" t="n"/>
      <c r="AX14" s="62" t="n"/>
      <c r="AY14" s="62" t="n"/>
    </row>
    <row r="15">
      <c r="A15" s="38">
        <f>IF(D15="","",COUNTA($D$9:D15))</f>
        <v/>
      </c>
      <c r="B15" s="52" t="n"/>
      <c r="C15" s="53" t="inlineStr">
        <is>
          <t>마케팅1팀</t>
        </is>
      </c>
      <c r="D15" s="52" t="n"/>
      <c r="E15" s="54" t="n"/>
      <c r="F15" s="52" t="n"/>
      <c r="G15" s="55" t="n"/>
      <c r="H15" s="54" t="n"/>
      <c r="I15" s="54" t="n"/>
      <c r="J15" s="54" t="n"/>
      <c r="K15" s="56">
        <f>IF(SUM(U15:AY15)=0,"",SUM(U15:AY15))</f>
        <v/>
      </c>
      <c r="L15" s="57">
        <f>IFERROR(INDEX(U$2:AY$2,MATCH(TRUE,U15:AY15&lt;&gt;"",0)),"")</f>
        <v/>
      </c>
      <c r="M15" s="58">
        <f>IFERROR(LOOKUP(2,1/(U15:AY15&lt;&gt;""),U$2:AY$2),"")</f>
        <v/>
      </c>
      <c r="N15" s="59">
        <f>IF(OR(G15="",M15=""),"",G15-M15)</f>
        <v/>
      </c>
      <c r="O15" s="60" t="n"/>
      <c r="P15" s="61" t="n"/>
      <c r="U15" s="62" t="n"/>
      <c r="V15" s="62" t="n"/>
      <c r="W15" s="62" t="n"/>
      <c r="X15" s="62" t="n"/>
      <c r="Y15" s="62" t="n"/>
      <c r="Z15" s="62" t="n"/>
      <c r="AA15" s="62" t="n"/>
      <c r="AB15" s="62" t="n"/>
      <c r="AC15" s="62" t="n"/>
      <c r="AD15" s="62" t="n"/>
      <c r="AE15" s="62" t="n"/>
      <c r="AF15" s="62" t="n"/>
      <c r="AG15" s="62" t="n"/>
      <c r="AH15" s="62" t="n"/>
      <c r="AI15" s="62" t="n"/>
      <c r="AJ15" s="62" t="n"/>
      <c r="AK15" s="62" t="n"/>
      <c r="AL15" s="62" t="n"/>
      <c r="AM15" s="62" t="n"/>
      <c r="AN15" s="62" t="n"/>
      <c r="AO15" s="62" t="n"/>
      <c r="AP15" s="62" t="n"/>
      <c r="AQ15" s="62" t="n"/>
      <c r="AR15" s="62" t="n"/>
      <c r="AS15" s="62" t="n"/>
      <c r="AT15" s="62" t="n"/>
      <c r="AU15" s="62" t="n"/>
      <c r="AV15" s="62" t="n"/>
      <c r="AW15" s="62" t="n"/>
      <c r="AX15" s="62" t="n"/>
      <c r="AY15" s="62" t="n"/>
    </row>
    <row r="16">
      <c r="A16" s="38">
        <f>IF(D16="","",COUNTA($D$9:D16))</f>
        <v/>
      </c>
      <c r="B16" s="52" t="n"/>
      <c r="C16" s="53" t="inlineStr">
        <is>
          <t>마케팅1팀</t>
        </is>
      </c>
      <c r="D16" s="52" t="n"/>
      <c r="E16" s="54" t="n"/>
      <c r="F16" s="52" t="n"/>
      <c r="G16" s="55" t="n"/>
      <c r="H16" s="54" t="n"/>
      <c r="I16" s="54" t="n"/>
      <c r="J16" s="54" t="n"/>
      <c r="K16" s="56">
        <f>IF(SUM(U16:AY16)=0,"",SUM(U16:AY16))</f>
        <v/>
      </c>
      <c r="L16" s="57">
        <f>IFERROR(INDEX(U$2:AY$2,MATCH(TRUE,U16:AY16&lt;&gt;"",0)),"")</f>
        <v/>
      </c>
      <c r="M16" s="58">
        <f>IFERROR(LOOKUP(2,1/(U16:AY16&lt;&gt;""),U$2:AY$2),"")</f>
        <v/>
      </c>
      <c r="N16" s="59">
        <f>IF(OR(G16="",M16=""),"",G16-M16)</f>
        <v/>
      </c>
      <c r="O16" s="60" t="n"/>
      <c r="P16" s="61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  <c r="AG16" s="62" t="n"/>
      <c r="AH16" s="62" t="n"/>
      <c r="AI16" s="62" t="n"/>
      <c r="AJ16" s="62" t="n"/>
      <c r="AK16" s="62" t="n"/>
      <c r="AL16" s="62" t="n"/>
      <c r="AM16" s="62" t="n"/>
      <c r="AN16" s="62" t="n"/>
      <c r="AO16" s="62" t="n"/>
      <c r="AP16" s="62" t="n"/>
      <c r="AQ16" s="62" t="n"/>
      <c r="AR16" s="62" t="n"/>
      <c r="AS16" s="62" t="n"/>
      <c r="AT16" s="62" t="n"/>
      <c r="AU16" s="62" t="n"/>
      <c r="AV16" s="62" t="n"/>
      <c r="AW16" s="62" t="n"/>
      <c r="AX16" s="62" t="n"/>
      <c r="AY16" s="62" t="n"/>
    </row>
    <row r="17">
      <c r="A17" s="38">
        <f>IF(D17="","",COUNTA($D$9:D17))</f>
        <v/>
      </c>
      <c r="B17" s="52" t="n"/>
      <c r="C17" s="53" t="inlineStr">
        <is>
          <t>마케팅1팀</t>
        </is>
      </c>
      <c r="D17" s="52" t="n"/>
      <c r="E17" s="54" t="n"/>
      <c r="F17" s="52" t="n"/>
      <c r="G17" s="55" t="n"/>
      <c r="H17" s="54" t="n"/>
      <c r="I17" s="54" t="n"/>
      <c r="J17" s="54" t="n"/>
      <c r="K17" s="56">
        <f>IF(SUM(U17:AY17)=0,"",SUM(U17:AY17))</f>
        <v/>
      </c>
      <c r="L17" s="57">
        <f>IFERROR(INDEX(U$2:AY$2,MATCH(TRUE,U17:AY17&lt;&gt;"",0)),"")</f>
        <v/>
      </c>
      <c r="M17" s="58">
        <f>IFERROR(LOOKUP(2,1/(U17:AY17&lt;&gt;""),U$2:AY$2),"")</f>
        <v/>
      </c>
      <c r="N17" s="59">
        <f>IF(OR(G17="",M17=""),"",G17-M17)</f>
        <v/>
      </c>
      <c r="O17" s="60" t="n"/>
      <c r="P17" s="61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  <c r="AG17" s="62" t="n"/>
      <c r="AH17" s="62" t="n"/>
      <c r="AI17" s="62" t="n"/>
      <c r="AJ17" s="62" t="n"/>
      <c r="AK17" s="62" t="n"/>
      <c r="AL17" s="62" t="n"/>
      <c r="AM17" s="62" t="n"/>
      <c r="AN17" s="62" t="n"/>
      <c r="AO17" s="62" t="n"/>
      <c r="AP17" s="62" t="n"/>
      <c r="AQ17" s="62" t="n"/>
      <c r="AR17" s="62" t="n"/>
      <c r="AS17" s="62" t="n"/>
      <c r="AT17" s="62" t="n"/>
      <c r="AU17" s="62" t="n"/>
      <c r="AV17" s="62" t="n"/>
      <c r="AW17" s="62" t="n"/>
      <c r="AX17" s="62" t="n"/>
      <c r="AY17" s="62" t="n"/>
    </row>
    <row r="18">
      <c r="A18" s="38">
        <f>IF(D18="","",COUNTA($D$9:D18))</f>
        <v/>
      </c>
      <c r="B18" s="52" t="n"/>
      <c r="C18" s="53" t="inlineStr">
        <is>
          <t>마케팅1팀</t>
        </is>
      </c>
      <c r="D18" s="52" t="n"/>
      <c r="E18" s="54" t="n"/>
      <c r="F18" s="52" t="n"/>
      <c r="G18" s="55" t="n"/>
      <c r="H18" s="54" t="n"/>
      <c r="I18" s="54" t="n"/>
      <c r="J18" s="54" t="n"/>
      <c r="K18" s="56">
        <f>IF(SUM(U18:AY18)=0,"",SUM(U18:AY18))</f>
        <v/>
      </c>
      <c r="L18" s="57">
        <f>IFERROR(INDEX(U$2:AY$2,MATCH(TRUE,U18:AY18&lt;&gt;"",0)),"")</f>
        <v/>
      </c>
      <c r="M18" s="58">
        <f>IFERROR(LOOKUP(2,1/(U18:AY18&lt;&gt;""),U$2:AY$2),"")</f>
        <v/>
      </c>
      <c r="N18" s="59">
        <f>IF(OR(G18="",M18=""),"",G18-M18)</f>
        <v/>
      </c>
      <c r="O18" s="60" t="n"/>
      <c r="P18" s="61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  <c r="AG18" s="62" t="n"/>
      <c r="AH18" s="62" t="n"/>
      <c r="AI18" s="62" t="n"/>
      <c r="AJ18" s="62" t="n"/>
      <c r="AK18" s="62" t="n"/>
      <c r="AL18" s="62" t="n"/>
      <c r="AM18" s="62" t="n"/>
      <c r="AN18" s="62" t="n"/>
      <c r="AO18" s="62" t="n"/>
      <c r="AP18" s="62" t="n"/>
      <c r="AQ18" s="62" t="n"/>
      <c r="AR18" s="62" t="n"/>
      <c r="AS18" s="62" t="n"/>
      <c r="AT18" s="62" t="n"/>
      <c r="AU18" s="62" t="n"/>
      <c r="AV18" s="62" t="n"/>
      <c r="AW18" s="62" t="n"/>
      <c r="AX18" s="62" t="n"/>
      <c r="AY18" s="62" t="n"/>
    </row>
    <row r="19">
      <c r="A19" s="38">
        <f>IF(D19="","",COUNTA($D$9:D19))</f>
        <v/>
      </c>
      <c r="B19" s="52" t="n"/>
      <c r="C19" s="53" t="inlineStr">
        <is>
          <t>마케팅1팀</t>
        </is>
      </c>
      <c r="D19" s="52" t="n"/>
      <c r="E19" s="54" t="n"/>
      <c r="F19" s="52" t="n"/>
      <c r="G19" s="55" t="n"/>
      <c r="H19" s="54" t="n"/>
      <c r="I19" s="54" t="n"/>
      <c r="J19" s="54" t="n"/>
      <c r="K19" s="56">
        <f>IF(SUM(U19:AY19)=0,"",SUM(U19:AY19))</f>
        <v/>
      </c>
      <c r="L19" s="57">
        <f>IFERROR(INDEX(U$2:AY$2,MATCH(TRUE,U19:AY19&lt;&gt;"",0)),"")</f>
        <v/>
      </c>
      <c r="M19" s="58">
        <f>IFERROR(LOOKUP(2,1/(U19:AY19&lt;&gt;""),U$2:AY$2),"")</f>
        <v/>
      </c>
      <c r="N19" s="59">
        <f>IF(OR(G19="",M19=""),"",G19-M19)</f>
        <v/>
      </c>
      <c r="O19" s="60" t="n"/>
      <c r="P19" s="61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  <c r="AG19" s="62" t="n"/>
      <c r="AH19" s="62" t="n"/>
      <c r="AI19" s="62" t="n"/>
      <c r="AJ19" s="62" t="n"/>
      <c r="AK19" s="62" t="n"/>
      <c r="AL19" s="62" t="n"/>
      <c r="AM19" s="62" t="n"/>
      <c r="AN19" s="62" t="n"/>
      <c r="AO19" s="62" t="n"/>
      <c r="AP19" s="62" t="n"/>
      <c r="AQ19" s="62" t="n"/>
      <c r="AR19" s="62" t="n"/>
      <c r="AS19" s="62" t="n"/>
      <c r="AT19" s="62" t="n"/>
      <c r="AU19" s="62" t="n"/>
      <c r="AV19" s="62" t="n"/>
      <c r="AW19" s="62" t="n"/>
      <c r="AX19" s="62" t="n"/>
      <c r="AY19" s="62" t="n"/>
    </row>
    <row r="20">
      <c r="A20" s="38">
        <f>IF(D20="","",COUNTA($D$9:D20))</f>
        <v/>
      </c>
      <c r="B20" s="52" t="n"/>
      <c r="C20" s="53" t="inlineStr">
        <is>
          <t>마케팅1팀</t>
        </is>
      </c>
      <c r="D20" s="52" t="n"/>
      <c r="E20" s="54" t="n"/>
      <c r="F20" s="52" t="n"/>
      <c r="G20" s="55" t="n"/>
      <c r="H20" s="54" t="n"/>
      <c r="I20" s="54" t="n"/>
      <c r="J20" s="54" t="n"/>
      <c r="K20" s="56">
        <f>IF(SUM(U20:AY20)=0,"",SUM(U20:AY20))</f>
        <v/>
      </c>
      <c r="L20" s="57">
        <f>IFERROR(INDEX(U$2:AY$2,MATCH(TRUE,U20:AY20&lt;&gt;"",0)),"")</f>
        <v/>
      </c>
      <c r="M20" s="58">
        <f>IFERROR(LOOKUP(2,1/(U20:AY20&lt;&gt;""),U$2:AY$2),"")</f>
        <v/>
      </c>
      <c r="N20" s="59">
        <f>IF(OR(G20="",M20=""),"",G20-M20)</f>
        <v/>
      </c>
      <c r="O20" s="60" t="n"/>
      <c r="P20" s="61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  <c r="AG20" s="62" t="n"/>
      <c r="AH20" s="62" t="n"/>
      <c r="AI20" s="62" t="n"/>
      <c r="AJ20" s="62" t="n"/>
      <c r="AK20" s="62" t="n"/>
      <c r="AL20" s="62" t="n"/>
      <c r="AM20" s="62" t="n"/>
      <c r="AN20" s="62" t="n"/>
      <c r="AO20" s="62" t="n"/>
      <c r="AP20" s="62" t="n"/>
      <c r="AQ20" s="62" t="n"/>
      <c r="AR20" s="62" t="n"/>
      <c r="AS20" s="62" t="n"/>
      <c r="AT20" s="62" t="n"/>
      <c r="AU20" s="62" t="n"/>
      <c r="AV20" s="62" t="n"/>
      <c r="AW20" s="62" t="n"/>
      <c r="AX20" s="62" t="n"/>
      <c r="AY20" s="62" t="n"/>
    </row>
    <row r="21">
      <c r="A21" s="38">
        <f>IF(D21="","",COUNTA($D$9:D21))</f>
        <v/>
      </c>
      <c r="B21" s="52" t="n"/>
      <c r="C21" s="53" t="inlineStr">
        <is>
          <t>마케팅1팀</t>
        </is>
      </c>
      <c r="D21" s="52" t="n"/>
      <c r="E21" s="54" t="n"/>
      <c r="F21" s="52" t="n"/>
      <c r="G21" s="55" t="n"/>
      <c r="H21" s="54" t="n"/>
      <c r="I21" s="54" t="n"/>
      <c r="J21" s="54" t="n"/>
      <c r="K21" s="56">
        <f>IF(SUM(U21:AY21)=0,"",SUM(U21:AY21))</f>
        <v/>
      </c>
      <c r="L21" s="57">
        <f>IFERROR(INDEX(U$2:AY$2,MATCH(TRUE,U21:AY21&lt;&gt;"",0)),"")</f>
        <v/>
      </c>
      <c r="M21" s="58">
        <f>IFERROR(LOOKUP(2,1/(U21:AY21&lt;&gt;""),U$2:AY$2),"")</f>
        <v/>
      </c>
      <c r="N21" s="59">
        <f>IF(OR(G21="",M21=""),"",G21-M21)</f>
        <v/>
      </c>
      <c r="O21" s="60" t="n"/>
      <c r="P21" s="61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  <c r="AG21" s="62" t="n"/>
      <c r="AH21" s="62" t="n"/>
      <c r="AI21" s="62" t="n"/>
      <c r="AJ21" s="62" t="n"/>
      <c r="AK21" s="62" t="n"/>
      <c r="AL21" s="62" t="n"/>
      <c r="AM21" s="62" t="n"/>
      <c r="AN21" s="62" t="n"/>
      <c r="AO21" s="62" t="n"/>
      <c r="AP21" s="62" t="n"/>
      <c r="AQ21" s="62" t="n"/>
      <c r="AR21" s="62" t="n"/>
      <c r="AS21" s="62" t="n"/>
      <c r="AT21" s="62" t="n"/>
      <c r="AU21" s="62" t="n"/>
      <c r="AV21" s="62" t="n"/>
      <c r="AW21" s="62" t="n"/>
      <c r="AX21" s="62" t="n"/>
      <c r="AY21" s="62" t="n"/>
    </row>
    <row r="22">
      <c r="A22" s="38">
        <f>IF(D22="","",COUNTA($D$9:D22))</f>
        <v/>
      </c>
      <c r="B22" s="52" t="n"/>
      <c r="C22" s="53" t="inlineStr">
        <is>
          <t>마케팅1팀</t>
        </is>
      </c>
      <c r="D22" s="52" t="n"/>
      <c r="E22" s="54" t="n"/>
      <c r="F22" s="52" t="n"/>
      <c r="G22" s="55" t="n"/>
      <c r="H22" s="54" t="n"/>
      <c r="I22" s="54" t="n"/>
      <c r="J22" s="54" t="n"/>
      <c r="K22" s="56">
        <f>IF(SUM(U22:AY22)=0,"",SUM(U22:AY22))</f>
        <v/>
      </c>
      <c r="L22" s="57">
        <f>IFERROR(INDEX(U$2:AY$2,MATCH(TRUE,U22:AY22&lt;&gt;"",0)),"")</f>
        <v/>
      </c>
      <c r="M22" s="58">
        <f>IFERROR(LOOKUP(2,1/(U22:AY22&lt;&gt;""),U$2:AY$2),"")</f>
        <v/>
      </c>
      <c r="N22" s="59">
        <f>IF(OR(G22="",M22=""),"",G22-M22)</f>
        <v/>
      </c>
      <c r="O22" s="60" t="n"/>
      <c r="P22" s="61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  <c r="AG22" s="62" t="n"/>
      <c r="AH22" s="62" t="n"/>
      <c r="AI22" s="62" t="n"/>
      <c r="AJ22" s="62" t="n"/>
      <c r="AK22" s="62" t="n"/>
      <c r="AL22" s="62" t="n"/>
      <c r="AM22" s="62" t="n"/>
      <c r="AN22" s="62" t="n"/>
      <c r="AO22" s="62" t="n"/>
      <c r="AP22" s="62" t="n"/>
      <c r="AQ22" s="62" t="n"/>
      <c r="AR22" s="62" t="n"/>
      <c r="AS22" s="62" t="n"/>
      <c r="AT22" s="62" t="n"/>
      <c r="AU22" s="62" t="n"/>
      <c r="AV22" s="62" t="n"/>
      <c r="AW22" s="62" t="n"/>
      <c r="AX22" s="62" t="n"/>
      <c r="AY22" s="62" t="n"/>
    </row>
    <row r="23">
      <c r="A23" s="38">
        <f>IF(D23="","",COUNTA($D$9:D23))</f>
        <v/>
      </c>
      <c r="B23" s="52" t="n"/>
      <c r="C23" s="53" t="inlineStr">
        <is>
          <t>마케팅1팀</t>
        </is>
      </c>
      <c r="D23" s="52" t="n"/>
      <c r="E23" s="54" t="n"/>
      <c r="F23" s="52" t="n"/>
      <c r="G23" s="55" t="n"/>
      <c r="H23" s="54" t="n"/>
      <c r="I23" s="54" t="n"/>
      <c r="J23" s="54" t="n"/>
      <c r="K23" s="56">
        <f>IF(SUM(U23:AY23)=0,"",SUM(U23:AY23))</f>
        <v/>
      </c>
      <c r="L23" s="57">
        <f>IFERROR(INDEX(U$2:AY$2,MATCH(TRUE,U23:AY23&lt;&gt;"",0)),"")</f>
        <v/>
      </c>
      <c r="M23" s="58">
        <f>IFERROR(LOOKUP(2,1/(U23:AY23&lt;&gt;""),U$2:AY$2),"")</f>
        <v/>
      </c>
      <c r="N23" s="59">
        <f>IF(OR(G23="",M23=""),"",G23-M23)</f>
        <v/>
      </c>
      <c r="O23" s="60" t="n"/>
      <c r="P23" s="61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  <c r="AG23" s="62" t="n"/>
      <c r="AH23" s="62" t="n"/>
      <c r="AI23" s="62" t="n"/>
      <c r="AJ23" s="62" t="n"/>
      <c r="AK23" s="62" t="n"/>
      <c r="AL23" s="62" t="n"/>
      <c r="AM23" s="62" t="n"/>
      <c r="AN23" s="62" t="n"/>
      <c r="AO23" s="62" t="n"/>
      <c r="AP23" s="62" t="n"/>
      <c r="AQ23" s="62" t="n"/>
      <c r="AR23" s="62" t="n"/>
      <c r="AS23" s="62" t="n"/>
      <c r="AT23" s="62" t="n"/>
      <c r="AU23" s="62" t="n"/>
      <c r="AV23" s="62" t="n"/>
      <c r="AW23" s="62" t="n"/>
      <c r="AX23" s="62" t="n"/>
      <c r="AY23" s="62" t="n"/>
    </row>
    <row r="24">
      <c r="A24" s="38">
        <f>IF(D24="","",COUNTA($D$9:D24))</f>
        <v/>
      </c>
      <c r="B24" s="52" t="n"/>
      <c r="C24" s="53" t="inlineStr">
        <is>
          <t>마케팅1팀</t>
        </is>
      </c>
      <c r="D24" s="52" t="n"/>
      <c r="E24" s="54" t="n"/>
      <c r="F24" s="52" t="n"/>
      <c r="G24" s="55" t="n"/>
      <c r="H24" s="54" t="n"/>
      <c r="I24" s="54" t="n"/>
      <c r="J24" s="54" t="n"/>
      <c r="K24" s="56">
        <f>IF(SUM(U24:AY24)=0,"",SUM(U24:AY24))</f>
        <v/>
      </c>
      <c r="L24" s="57">
        <f>IFERROR(INDEX(U$2:AY$2,MATCH(TRUE,U24:AY24&lt;&gt;"",0)),"")</f>
        <v/>
      </c>
      <c r="M24" s="58">
        <f>IFERROR(LOOKUP(2,1/(U24:AY24&lt;&gt;""),U$2:AY$2),"")</f>
        <v/>
      </c>
      <c r="N24" s="59">
        <f>IF(OR(G24="",M24=""),"",G24-M24)</f>
        <v/>
      </c>
      <c r="O24" s="60" t="n"/>
      <c r="P24" s="61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  <c r="AG24" s="62" t="n"/>
      <c r="AH24" s="62" t="n"/>
      <c r="AI24" s="62" t="n"/>
      <c r="AJ24" s="62" t="n"/>
      <c r="AK24" s="62" t="n"/>
      <c r="AL24" s="62" t="n"/>
      <c r="AM24" s="62" t="n"/>
      <c r="AN24" s="62" t="n"/>
      <c r="AO24" s="62" t="n"/>
      <c r="AP24" s="62" t="n"/>
      <c r="AQ24" s="62" t="n"/>
      <c r="AR24" s="62" t="n"/>
      <c r="AS24" s="62" t="n"/>
      <c r="AT24" s="62" t="n"/>
      <c r="AU24" s="62" t="n"/>
      <c r="AV24" s="62" t="n"/>
      <c r="AW24" s="62" t="n"/>
      <c r="AX24" s="62" t="n"/>
      <c r="AY24" s="62" t="n"/>
    </row>
    <row r="25">
      <c r="A25" s="38">
        <f>IF(D25="","",COUNTA($D$9:D25))</f>
        <v/>
      </c>
      <c r="B25" s="52" t="n"/>
      <c r="C25" s="53" t="inlineStr">
        <is>
          <t>마케팅1팀</t>
        </is>
      </c>
      <c r="D25" s="52" t="n"/>
      <c r="E25" s="54" t="n"/>
      <c r="F25" s="52" t="n"/>
      <c r="G25" s="55" t="n"/>
      <c r="H25" s="54" t="n"/>
      <c r="I25" s="54" t="n"/>
      <c r="J25" s="54" t="n"/>
      <c r="K25" s="56">
        <f>IF(SUM(U25:AY25)=0,"",SUM(U25:AY25))</f>
        <v/>
      </c>
      <c r="L25" s="57">
        <f>IFERROR(INDEX(U$2:AY$2,MATCH(TRUE,U25:AY25&lt;&gt;"",0)),"")</f>
        <v/>
      </c>
      <c r="M25" s="58">
        <f>IFERROR(LOOKUP(2,1/(U25:AY25&lt;&gt;""),U$2:AY$2),"")</f>
        <v/>
      </c>
      <c r="N25" s="59">
        <f>IF(OR(G25="",M25=""),"",G25-M25)</f>
        <v/>
      </c>
      <c r="O25" s="60" t="n"/>
      <c r="P25" s="61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  <c r="AG25" s="62" t="n"/>
      <c r="AH25" s="62" t="n"/>
      <c r="AI25" s="62" t="n"/>
      <c r="AJ25" s="62" t="n"/>
      <c r="AK25" s="62" t="n"/>
      <c r="AL25" s="62" t="n"/>
      <c r="AM25" s="62" t="n"/>
      <c r="AN25" s="62" t="n"/>
      <c r="AO25" s="62" t="n"/>
      <c r="AP25" s="62" t="n"/>
      <c r="AQ25" s="62" t="n"/>
      <c r="AR25" s="62" t="n"/>
      <c r="AS25" s="62" t="n"/>
      <c r="AT25" s="62" t="n"/>
      <c r="AU25" s="62" t="n"/>
      <c r="AV25" s="62" t="n"/>
      <c r="AW25" s="62" t="n"/>
      <c r="AX25" s="62" t="n"/>
      <c r="AY25" s="62" t="n"/>
    </row>
    <row r="26">
      <c r="A26" s="38">
        <f>IF(D26="","",COUNTA($D$9:D26))</f>
        <v/>
      </c>
      <c r="B26" s="52" t="n"/>
      <c r="C26" s="53" t="inlineStr">
        <is>
          <t>마케팅1팀</t>
        </is>
      </c>
      <c r="D26" s="52" t="n"/>
      <c r="E26" s="54" t="n"/>
      <c r="F26" s="52" t="n"/>
      <c r="G26" s="55" t="n"/>
      <c r="H26" s="54" t="n"/>
      <c r="I26" s="54" t="n"/>
      <c r="J26" s="54" t="n"/>
      <c r="K26" s="56">
        <f>IF(SUM(U26:AY26)=0,"",SUM(U26:AY26))</f>
        <v/>
      </c>
      <c r="L26" s="57">
        <f>IFERROR(INDEX(U$2:AY$2,MATCH(TRUE,U26:AY26&lt;&gt;"",0)),"")</f>
        <v/>
      </c>
      <c r="M26" s="58">
        <f>IFERROR(LOOKUP(2,1/(U26:AY26&lt;&gt;""),U$2:AY$2),"")</f>
        <v/>
      </c>
      <c r="N26" s="59">
        <f>IF(OR(G26="",M26=""),"",G26-M26)</f>
        <v/>
      </c>
      <c r="O26" s="60" t="n"/>
      <c r="P26" s="61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  <c r="AG26" s="62" t="n"/>
      <c r="AH26" s="62" t="n"/>
      <c r="AI26" s="62" t="n"/>
      <c r="AJ26" s="62" t="n"/>
      <c r="AK26" s="62" t="n"/>
      <c r="AL26" s="62" t="n"/>
      <c r="AM26" s="62" t="n"/>
      <c r="AN26" s="62" t="n"/>
      <c r="AO26" s="62" t="n"/>
      <c r="AP26" s="62" t="n"/>
      <c r="AQ26" s="62" t="n"/>
      <c r="AR26" s="62" t="n"/>
      <c r="AS26" s="62" t="n"/>
      <c r="AT26" s="62" t="n"/>
      <c r="AU26" s="62" t="n"/>
      <c r="AV26" s="62" t="n"/>
      <c r="AW26" s="62" t="n"/>
      <c r="AX26" s="62" t="n"/>
      <c r="AY26" s="62" t="n"/>
    </row>
    <row r="27">
      <c r="A27" s="38">
        <f>IF(D27="","",COUNTA($D$9:D27))</f>
        <v/>
      </c>
      <c r="B27" s="52" t="n"/>
      <c r="C27" s="53" t="inlineStr">
        <is>
          <t>마케팅1팀</t>
        </is>
      </c>
      <c r="D27" s="52" t="n"/>
      <c r="E27" s="54" t="n"/>
      <c r="F27" s="52" t="n"/>
      <c r="G27" s="55" t="n"/>
      <c r="H27" s="54" t="n"/>
      <c r="I27" s="54" t="n"/>
      <c r="J27" s="54" t="n"/>
      <c r="K27" s="56">
        <f>IF(SUM(U27:AY27)=0,"",SUM(U27:AY27))</f>
        <v/>
      </c>
      <c r="L27" s="57">
        <f>IFERROR(INDEX(U$2:AY$2,MATCH(TRUE,U27:AY27&lt;&gt;"",0)),"")</f>
        <v/>
      </c>
      <c r="M27" s="58">
        <f>IFERROR(LOOKUP(2,1/(U27:AY27&lt;&gt;""),U$2:AY$2),"")</f>
        <v/>
      </c>
      <c r="N27" s="59">
        <f>IF(OR(G27="",M27=""),"",G27-M27)</f>
        <v/>
      </c>
      <c r="O27" s="60" t="n"/>
      <c r="P27" s="61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  <c r="AG27" s="62" t="n"/>
      <c r="AH27" s="62" t="n"/>
      <c r="AI27" s="62" t="n"/>
      <c r="AJ27" s="62" t="n"/>
      <c r="AK27" s="62" t="n"/>
      <c r="AL27" s="62" t="n"/>
      <c r="AM27" s="62" t="n"/>
      <c r="AN27" s="62" t="n"/>
      <c r="AO27" s="62" t="n"/>
      <c r="AP27" s="62" t="n"/>
      <c r="AQ27" s="62" t="n"/>
      <c r="AR27" s="62" t="n"/>
      <c r="AS27" s="62" t="n"/>
      <c r="AT27" s="62" t="n"/>
      <c r="AU27" s="62" t="n"/>
      <c r="AV27" s="62" t="n"/>
      <c r="AW27" s="62" t="n"/>
      <c r="AX27" s="62" t="n"/>
      <c r="AY27" s="62" t="n"/>
    </row>
    <row r="28">
      <c r="A28" s="38">
        <f>IF(D28="","",COUNTA($D$9:D28))</f>
        <v/>
      </c>
      <c r="B28" s="52" t="n"/>
      <c r="C28" s="53" t="inlineStr">
        <is>
          <t>마케팅1팀</t>
        </is>
      </c>
      <c r="D28" s="52" t="n"/>
      <c r="E28" s="54" t="n"/>
      <c r="F28" s="52" t="n"/>
      <c r="G28" s="55" t="n"/>
      <c r="H28" s="54" t="n"/>
      <c r="I28" s="54" t="n"/>
      <c r="J28" s="54" t="n"/>
      <c r="K28" s="56">
        <f>IF(SUM(U28:AY28)=0,"",SUM(U28:AY28))</f>
        <v/>
      </c>
      <c r="L28" s="57">
        <f>IFERROR(INDEX(U$2:AY$2,MATCH(TRUE,U28:AY28&lt;&gt;"",0)),"")</f>
        <v/>
      </c>
      <c r="M28" s="58">
        <f>IFERROR(LOOKUP(2,1/(U28:AY28&lt;&gt;""),U$2:AY$2),"")</f>
        <v/>
      </c>
      <c r="N28" s="59">
        <f>IF(OR(G28="",M28=""),"",G28-M28)</f>
        <v/>
      </c>
      <c r="O28" s="60" t="n"/>
      <c r="P28" s="61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  <c r="AG28" s="62" t="n"/>
      <c r="AH28" s="62" t="n"/>
      <c r="AI28" s="62" t="n"/>
      <c r="AJ28" s="62" t="n"/>
      <c r="AK28" s="62" t="n"/>
      <c r="AL28" s="62" t="n"/>
      <c r="AM28" s="62" t="n"/>
      <c r="AN28" s="62" t="n"/>
      <c r="AO28" s="62" t="n"/>
      <c r="AP28" s="62" t="n"/>
      <c r="AQ28" s="62" t="n"/>
      <c r="AR28" s="62" t="n"/>
      <c r="AS28" s="62" t="n"/>
      <c r="AT28" s="62" t="n"/>
      <c r="AU28" s="62" t="n"/>
      <c r="AV28" s="62" t="n"/>
      <c r="AW28" s="62" t="n"/>
      <c r="AX28" s="62" t="n"/>
      <c r="AY28" s="62" t="n"/>
    </row>
    <row r="29">
      <c r="A29" s="38">
        <f>IF(D29="","",COUNTA($D$9:D29))</f>
        <v/>
      </c>
      <c r="B29" s="52" t="n"/>
      <c r="C29" s="53" t="inlineStr">
        <is>
          <t>마케팅1팀</t>
        </is>
      </c>
      <c r="D29" s="52" t="n"/>
      <c r="E29" s="54" t="n"/>
      <c r="F29" s="52" t="n"/>
      <c r="G29" s="55" t="n"/>
      <c r="H29" s="54" t="n"/>
      <c r="I29" s="54" t="n"/>
      <c r="J29" s="54" t="n"/>
      <c r="K29" s="56">
        <f>IF(SUM(U29:AY29)=0,"",SUM(U29:AY29))</f>
        <v/>
      </c>
      <c r="L29" s="57">
        <f>IFERROR(INDEX(U$2:AY$2,MATCH(TRUE,U29:AY29&lt;&gt;"",0)),"")</f>
        <v/>
      </c>
      <c r="M29" s="58">
        <f>IFERROR(LOOKUP(2,1/(U29:AY29&lt;&gt;""),U$2:AY$2),"")</f>
        <v/>
      </c>
      <c r="N29" s="59">
        <f>IF(OR(G29="",M29=""),"",G29-M29)</f>
        <v/>
      </c>
      <c r="O29" s="60" t="n"/>
      <c r="P29" s="61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  <c r="AG29" s="62" t="n"/>
      <c r="AH29" s="62" t="n"/>
      <c r="AI29" s="62" t="n"/>
      <c r="AJ29" s="62" t="n"/>
      <c r="AK29" s="62" t="n"/>
      <c r="AL29" s="62" t="n"/>
      <c r="AM29" s="62" t="n"/>
      <c r="AN29" s="62" t="n"/>
      <c r="AO29" s="62" t="n"/>
      <c r="AP29" s="62" t="n"/>
      <c r="AQ29" s="62" t="n"/>
      <c r="AR29" s="62" t="n"/>
      <c r="AS29" s="62" t="n"/>
      <c r="AT29" s="62" t="n"/>
      <c r="AU29" s="62" t="n"/>
      <c r="AV29" s="62" t="n"/>
      <c r="AW29" s="62" t="n"/>
      <c r="AX29" s="62" t="n"/>
      <c r="AY29" s="62" t="n"/>
    </row>
    <row r="30">
      <c r="A30" s="38">
        <f>IF(D30="","",COUNTA($D$9:D30))</f>
        <v/>
      </c>
      <c r="B30" s="52" t="n"/>
      <c r="C30" s="53" t="inlineStr">
        <is>
          <t>마케팅1팀</t>
        </is>
      </c>
      <c r="D30" s="52" t="n"/>
      <c r="E30" s="54" t="n"/>
      <c r="F30" s="52" t="n"/>
      <c r="G30" s="55" t="n"/>
      <c r="H30" s="54" t="n"/>
      <c r="I30" s="54" t="n"/>
      <c r="J30" s="54" t="n"/>
      <c r="K30" s="56">
        <f>IF(SUM(U30:AY30)=0,"",SUM(U30:AY30))</f>
        <v/>
      </c>
      <c r="L30" s="57">
        <f>IFERROR(INDEX(U$2:AY$2,MATCH(TRUE,U30:AY30&lt;&gt;"",0)),"")</f>
        <v/>
      </c>
      <c r="M30" s="58">
        <f>IFERROR(LOOKUP(2,1/(U30:AY30&lt;&gt;""),U$2:AY$2),"")</f>
        <v/>
      </c>
      <c r="N30" s="59">
        <f>IF(OR(G30="",M30=""),"",G30-M30)</f>
        <v/>
      </c>
      <c r="O30" s="60" t="n"/>
      <c r="P30" s="61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  <c r="AG30" s="62" t="n"/>
      <c r="AH30" s="62" t="n"/>
      <c r="AI30" s="62" t="n"/>
      <c r="AJ30" s="62" t="n"/>
      <c r="AK30" s="62" t="n"/>
      <c r="AL30" s="62" t="n"/>
      <c r="AM30" s="62" t="n"/>
      <c r="AN30" s="62" t="n"/>
      <c r="AO30" s="62" t="n"/>
      <c r="AP30" s="62" t="n"/>
      <c r="AQ30" s="62" t="n"/>
      <c r="AR30" s="62" t="n"/>
      <c r="AS30" s="62" t="n"/>
      <c r="AT30" s="62" t="n"/>
      <c r="AU30" s="62" t="n"/>
      <c r="AV30" s="62" t="n"/>
      <c r="AW30" s="62" t="n"/>
      <c r="AX30" s="62" t="n"/>
      <c r="AY30" s="62" t="n"/>
    </row>
    <row r="31">
      <c r="A31" s="38">
        <f>IF(D31="","",COUNTA($D$9:D31))</f>
        <v/>
      </c>
      <c r="B31" s="52" t="n"/>
      <c r="C31" s="53" t="inlineStr">
        <is>
          <t>마케팅1팀</t>
        </is>
      </c>
      <c r="D31" s="52" t="n"/>
      <c r="E31" s="54" t="n"/>
      <c r="F31" s="52" t="n"/>
      <c r="G31" s="55" t="n"/>
      <c r="H31" s="54" t="n"/>
      <c r="I31" s="54" t="n"/>
      <c r="J31" s="54" t="n"/>
      <c r="K31" s="56">
        <f>IF(SUM(U31:AY31)=0,"",SUM(U31:AY31))</f>
        <v/>
      </c>
      <c r="L31" s="57">
        <f>IFERROR(INDEX(U$2:AY$2,MATCH(TRUE,U31:AY31&lt;&gt;"",0)),"")</f>
        <v/>
      </c>
      <c r="M31" s="58">
        <f>IFERROR(LOOKUP(2,1/(U31:AY31&lt;&gt;""),U$2:AY$2),"")</f>
        <v/>
      </c>
      <c r="N31" s="59">
        <f>IF(OR(G31="",M31=""),"",G31-M31)</f>
        <v/>
      </c>
      <c r="O31" s="60" t="n"/>
      <c r="P31" s="61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  <c r="AG31" s="62" t="n"/>
      <c r="AH31" s="62" t="n"/>
      <c r="AI31" s="62" t="n"/>
      <c r="AJ31" s="62" t="n"/>
      <c r="AK31" s="62" t="n"/>
      <c r="AL31" s="62" t="n"/>
      <c r="AM31" s="62" t="n"/>
      <c r="AN31" s="62" t="n"/>
      <c r="AO31" s="62" t="n"/>
      <c r="AP31" s="62" t="n"/>
      <c r="AQ31" s="62" t="n"/>
      <c r="AR31" s="62" t="n"/>
      <c r="AS31" s="62" t="n"/>
      <c r="AT31" s="62" t="n"/>
      <c r="AU31" s="62" t="n"/>
      <c r="AV31" s="62" t="n"/>
      <c r="AW31" s="62" t="n"/>
      <c r="AX31" s="62" t="n"/>
      <c r="AY31" s="62" t="n"/>
    </row>
    <row r="32">
      <c r="A32" s="38">
        <f>IF(D32="","",COUNTA($D$9:D32))</f>
        <v/>
      </c>
      <c r="B32" s="52" t="n"/>
      <c r="C32" s="53" t="inlineStr">
        <is>
          <t>마케팅1팀</t>
        </is>
      </c>
      <c r="D32" s="52" t="n"/>
      <c r="E32" s="54" t="n"/>
      <c r="F32" s="52" t="n"/>
      <c r="G32" s="55" t="n"/>
      <c r="H32" s="54" t="n"/>
      <c r="I32" s="54" t="n"/>
      <c r="J32" s="54" t="n"/>
      <c r="K32" s="56">
        <f>IF(SUM(U32:AY32)=0,"",SUM(U32:AY32))</f>
        <v/>
      </c>
      <c r="L32" s="57">
        <f>IFERROR(INDEX(U$2:AY$2,MATCH(TRUE,U32:AY32&lt;&gt;"",0)),"")</f>
        <v/>
      </c>
      <c r="M32" s="58">
        <f>IFERROR(LOOKUP(2,1/(U32:AY32&lt;&gt;""),U$2:AY$2),"")</f>
        <v/>
      </c>
      <c r="N32" s="59">
        <f>IF(OR(G32="",M32=""),"",G32-M32)</f>
        <v/>
      </c>
      <c r="O32" s="60" t="n"/>
      <c r="P32" s="61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  <c r="AG32" s="62" t="n"/>
      <c r="AH32" s="62" t="n"/>
      <c r="AI32" s="62" t="n"/>
      <c r="AJ32" s="62" t="n"/>
      <c r="AK32" s="62" t="n"/>
      <c r="AL32" s="62" t="n"/>
      <c r="AM32" s="62" t="n"/>
      <c r="AN32" s="62" t="n"/>
      <c r="AO32" s="62" t="n"/>
      <c r="AP32" s="62" t="n"/>
      <c r="AQ32" s="62" t="n"/>
      <c r="AR32" s="62" t="n"/>
      <c r="AS32" s="62" t="n"/>
      <c r="AT32" s="62" t="n"/>
      <c r="AU32" s="62" t="n"/>
      <c r="AV32" s="62" t="n"/>
      <c r="AW32" s="62" t="n"/>
      <c r="AX32" s="62" t="n"/>
      <c r="AY32" s="62" t="n"/>
    </row>
    <row r="33">
      <c r="A33" s="38">
        <f>IF(D33="","",COUNTA($D$9:D33))</f>
        <v/>
      </c>
      <c r="B33" s="52" t="n"/>
      <c r="C33" s="53" t="inlineStr">
        <is>
          <t>마케팅1팀</t>
        </is>
      </c>
      <c r="D33" s="52" t="n"/>
      <c r="E33" s="54" t="n"/>
      <c r="F33" s="52" t="n"/>
      <c r="G33" s="55" t="n"/>
      <c r="H33" s="54" t="n"/>
      <c r="I33" s="54" t="n"/>
      <c r="J33" s="54" t="n"/>
      <c r="K33" s="56">
        <f>IF(SUM(U33:AY33)=0,"",SUM(U33:AY33))</f>
        <v/>
      </c>
      <c r="L33" s="57">
        <f>IFERROR(INDEX(U$2:AY$2,MATCH(TRUE,U33:AY33&lt;&gt;"",0)),"")</f>
        <v/>
      </c>
      <c r="M33" s="58">
        <f>IFERROR(LOOKUP(2,1/(U33:AY33&lt;&gt;""),U$2:AY$2),"")</f>
        <v/>
      </c>
      <c r="N33" s="59">
        <f>IF(OR(G33="",M33=""),"",G33-M33)</f>
        <v/>
      </c>
      <c r="O33" s="60" t="n"/>
      <c r="P33" s="61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  <c r="AG33" s="62" t="n"/>
      <c r="AH33" s="62" t="n"/>
      <c r="AI33" s="62" t="n"/>
      <c r="AJ33" s="62" t="n"/>
      <c r="AK33" s="62" t="n"/>
      <c r="AL33" s="62" t="n"/>
      <c r="AM33" s="62" t="n"/>
      <c r="AN33" s="62" t="n"/>
      <c r="AO33" s="62" t="n"/>
      <c r="AP33" s="62" t="n"/>
      <c r="AQ33" s="62" t="n"/>
      <c r="AR33" s="62" t="n"/>
      <c r="AS33" s="62" t="n"/>
      <c r="AT33" s="62" t="n"/>
      <c r="AU33" s="62" t="n"/>
      <c r="AV33" s="62" t="n"/>
      <c r="AW33" s="62" t="n"/>
      <c r="AX33" s="62" t="n"/>
      <c r="AY33" s="62" t="n"/>
    </row>
    <row r="34">
      <c r="A34" s="38">
        <f>IF(D34="","",COUNTA($D$9:D34))</f>
        <v/>
      </c>
      <c r="B34" s="52" t="n"/>
      <c r="C34" s="53" t="inlineStr">
        <is>
          <t>마케팅1팀</t>
        </is>
      </c>
      <c r="D34" s="52" t="n"/>
      <c r="E34" s="54" t="n"/>
      <c r="F34" s="52" t="n"/>
      <c r="G34" s="55" t="n"/>
      <c r="H34" s="54" t="n"/>
      <c r="I34" s="54" t="n"/>
      <c r="J34" s="54" t="n"/>
      <c r="K34" s="56">
        <f>IF(SUM(U34:AY34)=0,"",SUM(U34:AY34))</f>
        <v/>
      </c>
      <c r="L34" s="57">
        <f>IFERROR(INDEX(U$2:AY$2,MATCH(TRUE,U34:AY34&lt;&gt;"",0)),"")</f>
        <v/>
      </c>
      <c r="M34" s="58">
        <f>IFERROR(LOOKUP(2,1/(U34:AY34&lt;&gt;""),U$2:AY$2),"")</f>
        <v/>
      </c>
      <c r="N34" s="59">
        <f>IF(OR(G34="",M34=""),"",G34-M34)</f>
        <v/>
      </c>
      <c r="O34" s="60" t="n"/>
      <c r="P34" s="61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  <c r="AG34" s="62" t="n"/>
      <c r="AH34" s="62" t="n"/>
      <c r="AI34" s="62" t="n"/>
      <c r="AJ34" s="62" t="n"/>
      <c r="AK34" s="62" t="n"/>
      <c r="AL34" s="62" t="n"/>
      <c r="AM34" s="62" t="n"/>
      <c r="AN34" s="62" t="n"/>
      <c r="AO34" s="62" t="n"/>
      <c r="AP34" s="62" t="n"/>
      <c r="AQ34" s="62" t="n"/>
      <c r="AR34" s="62" t="n"/>
      <c r="AS34" s="62" t="n"/>
      <c r="AT34" s="62" t="n"/>
      <c r="AU34" s="62" t="n"/>
      <c r="AV34" s="62" t="n"/>
      <c r="AW34" s="62" t="n"/>
      <c r="AX34" s="62" t="n"/>
      <c r="AY34" s="62" t="n"/>
    </row>
    <row r="35">
      <c r="A35" s="38">
        <f>IF(D35="","",COUNTA($D$9:D35))</f>
        <v/>
      </c>
      <c r="B35" s="52" t="n"/>
      <c r="C35" s="53" t="inlineStr">
        <is>
          <t>마케팅1팀</t>
        </is>
      </c>
      <c r="D35" s="52" t="n"/>
      <c r="E35" s="54" t="n"/>
      <c r="F35" s="52" t="n"/>
      <c r="G35" s="55" t="n"/>
      <c r="H35" s="54" t="n"/>
      <c r="I35" s="54" t="n"/>
      <c r="J35" s="54" t="n"/>
      <c r="K35" s="56">
        <f>IF(SUM(U35:AY35)=0,"",SUM(U35:AY35))</f>
        <v/>
      </c>
      <c r="L35" s="57">
        <f>IFERROR(INDEX(U$2:AY$2,MATCH(TRUE,U35:AY35&lt;&gt;"",0)),"")</f>
        <v/>
      </c>
      <c r="M35" s="58">
        <f>IFERROR(LOOKUP(2,1/(U35:AY35&lt;&gt;""),U$2:AY$2),"")</f>
        <v/>
      </c>
      <c r="N35" s="59">
        <f>IF(OR(G35="",M35=""),"",G35-M35)</f>
        <v/>
      </c>
      <c r="O35" s="60" t="n"/>
      <c r="P35" s="61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  <c r="AG35" s="62" t="n"/>
      <c r="AH35" s="62" t="n"/>
      <c r="AI35" s="62" t="n"/>
      <c r="AJ35" s="62" t="n"/>
      <c r="AK35" s="62" t="n"/>
      <c r="AL35" s="62" t="n"/>
      <c r="AM35" s="62" t="n"/>
      <c r="AN35" s="62" t="n"/>
      <c r="AO35" s="62" t="n"/>
      <c r="AP35" s="62" t="n"/>
      <c r="AQ35" s="62" t="n"/>
      <c r="AR35" s="62" t="n"/>
      <c r="AS35" s="62" t="n"/>
      <c r="AT35" s="62" t="n"/>
      <c r="AU35" s="62" t="n"/>
      <c r="AV35" s="62" t="n"/>
      <c r="AW35" s="62" t="n"/>
      <c r="AX35" s="62" t="n"/>
      <c r="AY35" s="62" t="n"/>
    </row>
    <row r="36">
      <c r="A36" s="38">
        <f>IF(D36="","",COUNTA($D$9:D36))</f>
        <v/>
      </c>
      <c r="B36" s="52" t="n"/>
      <c r="C36" s="53" t="inlineStr">
        <is>
          <t>마케팅1팀</t>
        </is>
      </c>
      <c r="D36" s="52" t="n"/>
      <c r="E36" s="54" t="n"/>
      <c r="F36" s="52" t="n"/>
      <c r="G36" s="55" t="n"/>
      <c r="H36" s="54" t="n"/>
      <c r="I36" s="54" t="n"/>
      <c r="J36" s="54" t="n"/>
      <c r="K36" s="56">
        <f>IF(SUM(U36:AY36)=0,"",SUM(U36:AY36))</f>
        <v/>
      </c>
      <c r="L36" s="57">
        <f>IFERROR(INDEX(U$2:AY$2,MATCH(TRUE,U36:AY36&lt;&gt;"",0)),"")</f>
        <v/>
      </c>
      <c r="M36" s="58">
        <f>IFERROR(LOOKUP(2,1/(U36:AY36&lt;&gt;""),U$2:AY$2),"")</f>
        <v/>
      </c>
      <c r="N36" s="59">
        <f>IF(OR(G36="",M36=""),"",G36-M36)</f>
        <v/>
      </c>
      <c r="O36" s="60" t="n"/>
      <c r="P36" s="61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  <c r="AG36" s="62" t="n"/>
      <c r="AH36" s="62" t="n"/>
      <c r="AI36" s="62" t="n"/>
      <c r="AJ36" s="62" t="n"/>
      <c r="AK36" s="62" t="n"/>
      <c r="AL36" s="62" t="n"/>
      <c r="AM36" s="62" t="n"/>
      <c r="AN36" s="62" t="n"/>
      <c r="AO36" s="62" t="n"/>
      <c r="AP36" s="62" t="n"/>
      <c r="AQ36" s="62" t="n"/>
      <c r="AR36" s="62" t="n"/>
      <c r="AS36" s="62" t="n"/>
      <c r="AT36" s="62" t="n"/>
      <c r="AU36" s="62" t="n"/>
      <c r="AV36" s="62" t="n"/>
      <c r="AW36" s="62" t="n"/>
      <c r="AX36" s="62" t="n"/>
      <c r="AY36" s="62" t="n"/>
    </row>
    <row r="37">
      <c r="A37" s="38">
        <f>IF(D37="","",COUNTA($D$9:D37))</f>
        <v/>
      </c>
      <c r="B37" s="52" t="n"/>
      <c r="C37" s="53" t="inlineStr">
        <is>
          <t>마케팅1팀</t>
        </is>
      </c>
      <c r="D37" s="52" t="n"/>
      <c r="E37" s="54" t="n"/>
      <c r="F37" s="52" t="n"/>
      <c r="G37" s="55" t="n"/>
      <c r="H37" s="54" t="n"/>
      <c r="I37" s="54" t="n"/>
      <c r="J37" s="54" t="n"/>
      <c r="K37" s="56">
        <f>IF(SUM(U37:AY37)=0,"",SUM(U37:AY37))</f>
        <v/>
      </c>
      <c r="L37" s="57">
        <f>IFERROR(INDEX(U$2:AY$2,MATCH(TRUE,U37:AY37&lt;&gt;"",0)),"")</f>
        <v/>
      </c>
      <c r="M37" s="58">
        <f>IFERROR(LOOKUP(2,1/(U37:AY37&lt;&gt;""),U$2:AY$2),"")</f>
        <v/>
      </c>
      <c r="N37" s="59">
        <f>IF(OR(G37="",M37=""),"",G37-M37)</f>
        <v/>
      </c>
      <c r="O37" s="60" t="n"/>
      <c r="P37" s="61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  <c r="AG37" s="62" t="n"/>
      <c r="AH37" s="62" t="n"/>
      <c r="AI37" s="62" t="n"/>
      <c r="AJ37" s="62" t="n"/>
      <c r="AK37" s="62" t="n"/>
      <c r="AL37" s="62" t="n"/>
      <c r="AM37" s="62" t="n"/>
      <c r="AN37" s="62" t="n"/>
      <c r="AO37" s="62" t="n"/>
      <c r="AP37" s="62" t="n"/>
      <c r="AQ37" s="62" t="n"/>
      <c r="AR37" s="62" t="n"/>
      <c r="AS37" s="62" t="n"/>
      <c r="AT37" s="62" t="n"/>
      <c r="AU37" s="62" t="n"/>
      <c r="AV37" s="62" t="n"/>
      <c r="AW37" s="62" t="n"/>
      <c r="AX37" s="62" t="n"/>
      <c r="AY37" s="62" t="n"/>
    </row>
    <row r="38">
      <c r="A38" s="38">
        <f>IF(D38="","",COUNTA($D$9:D38))</f>
        <v/>
      </c>
      <c r="B38" s="52" t="n"/>
      <c r="C38" s="53" t="inlineStr">
        <is>
          <t>마케팅1팀</t>
        </is>
      </c>
      <c r="D38" s="52" t="n"/>
      <c r="E38" s="54" t="n"/>
      <c r="F38" s="52" t="n"/>
      <c r="G38" s="55" t="n"/>
      <c r="H38" s="54" t="n"/>
      <c r="I38" s="54" t="n"/>
      <c r="J38" s="54" t="n"/>
      <c r="K38" s="56">
        <f>IF(SUM(U38:AY38)=0,"",SUM(U38:AY38))</f>
        <v/>
      </c>
      <c r="L38" s="57">
        <f>IFERROR(INDEX(U$2:AY$2,MATCH(TRUE,U38:AY38&lt;&gt;"",0)),"")</f>
        <v/>
      </c>
      <c r="M38" s="58">
        <f>IFERROR(LOOKUP(2,1/(U38:AY38&lt;&gt;""),U$2:AY$2),"")</f>
        <v/>
      </c>
      <c r="N38" s="59">
        <f>IF(OR(G38="",M38=""),"",G38-M38)</f>
        <v/>
      </c>
      <c r="O38" s="60" t="n"/>
      <c r="P38" s="61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  <c r="AG38" s="62" t="n"/>
      <c r="AH38" s="62" t="n"/>
      <c r="AI38" s="62" t="n"/>
      <c r="AJ38" s="62" t="n"/>
      <c r="AK38" s="62" t="n"/>
      <c r="AL38" s="62" t="n"/>
      <c r="AM38" s="62" t="n"/>
      <c r="AN38" s="62" t="n"/>
      <c r="AO38" s="62" t="n"/>
      <c r="AP38" s="62" t="n"/>
      <c r="AQ38" s="62" t="n"/>
      <c r="AR38" s="62" t="n"/>
      <c r="AS38" s="62" t="n"/>
      <c r="AT38" s="62" t="n"/>
      <c r="AU38" s="62" t="n"/>
      <c r="AV38" s="62" t="n"/>
      <c r="AW38" s="62" t="n"/>
      <c r="AX38" s="62" t="n"/>
      <c r="AY38" s="62" t="n"/>
    </row>
    <row r="39">
      <c r="A39" s="63" t="inlineStr">
        <is>
          <t>마케팅2팀  (40~69행)</t>
        </is>
      </c>
      <c r="U39" s="64" t="n"/>
      <c r="V39" s="64" t="n"/>
      <c r="W39" s="64" t="n"/>
      <c r="X39" s="64" t="n"/>
      <c r="Y39" s="64" t="n"/>
      <c r="Z39" s="64" t="n"/>
      <c r="AA39" s="64" t="n"/>
      <c r="AB39" s="64" t="n"/>
      <c r="AC39" s="64" t="n"/>
      <c r="AD39" s="64" t="n"/>
      <c r="AE39" s="64" t="n"/>
      <c r="AF39" s="64" t="n"/>
      <c r="AG39" s="64" t="n"/>
      <c r="AH39" s="64" t="n"/>
      <c r="AI39" s="64" t="n"/>
      <c r="AJ39" s="64" t="n"/>
      <c r="AK39" s="64" t="n"/>
      <c r="AL39" s="64" t="n"/>
      <c r="AM39" s="64" t="n"/>
      <c r="AN39" s="64" t="n"/>
      <c r="AO39" s="64" t="n"/>
      <c r="AP39" s="64" t="n"/>
      <c r="AQ39" s="64" t="n"/>
      <c r="AR39" s="64" t="n"/>
      <c r="AS39" s="64" t="n"/>
      <c r="AT39" s="64" t="n"/>
      <c r="AU39" s="64" t="n"/>
      <c r="AV39" s="64" t="n"/>
      <c r="AW39" s="64" t="n"/>
      <c r="AX39" s="64" t="n"/>
      <c r="AY39" s="64" t="n"/>
    </row>
    <row r="40">
      <c r="A40" s="38">
        <f>IF(D40="","",COUNTA($D$40:D40))</f>
        <v/>
      </c>
      <c r="B40" s="52" t="n"/>
      <c r="C40" s="65" t="inlineStr">
        <is>
          <t>마케팅2팀</t>
        </is>
      </c>
      <c r="D40" s="52" t="n"/>
      <c r="E40" s="54" t="n"/>
      <c r="F40" s="52" t="n"/>
      <c r="G40" s="55" t="n"/>
      <c r="H40" s="54" t="n"/>
      <c r="I40" s="54" t="n"/>
      <c r="J40" s="54" t="n"/>
      <c r="K40" s="56">
        <f>IF(SUM(U40:AY40)=0,"",SUM(U40:AY40))</f>
        <v/>
      </c>
      <c r="L40" s="57">
        <f>IFERROR(INDEX(U$2:AY$2,MATCH(TRUE,U40:AY40&lt;&gt;"",0)),"")</f>
        <v/>
      </c>
      <c r="M40" s="58">
        <f>IFERROR(LOOKUP(2,1/(U40:AY40&lt;&gt;""),U$2:AY$2),"")</f>
        <v/>
      </c>
      <c r="N40" s="59">
        <f>IF(OR(G40="",M40=""),"",G40-M40)</f>
        <v/>
      </c>
      <c r="O40" s="60" t="n"/>
      <c r="P40" s="61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  <c r="AG40" s="62" t="n"/>
      <c r="AH40" s="62" t="n"/>
      <c r="AI40" s="62" t="n"/>
      <c r="AJ40" s="62" t="n"/>
      <c r="AK40" s="62" t="n"/>
      <c r="AL40" s="62" t="n"/>
      <c r="AM40" s="62" t="n"/>
      <c r="AN40" s="62" t="n"/>
      <c r="AO40" s="62" t="n"/>
      <c r="AP40" s="62" t="n"/>
      <c r="AQ40" s="62" t="n"/>
      <c r="AR40" s="62" t="n"/>
      <c r="AS40" s="62" t="n"/>
      <c r="AT40" s="62" t="n"/>
      <c r="AU40" s="62" t="n"/>
      <c r="AV40" s="62" t="n"/>
      <c r="AW40" s="62" t="n"/>
      <c r="AX40" s="62" t="n"/>
      <c r="AY40" s="62" t="n"/>
    </row>
    <row r="41">
      <c r="A41" s="38">
        <f>IF(D41="","",COUNTA($D$40:D41))</f>
        <v/>
      </c>
      <c r="B41" s="52" t="n"/>
      <c r="C41" s="65" t="inlineStr">
        <is>
          <t>마케팅2팀</t>
        </is>
      </c>
      <c r="D41" s="52" t="n"/>
      <c r="E41" s="54" t="n"/>
      <c r="F41" s="52" t="n"/>
      <c r="G41" s="55" t="n"/>
      <c r="H41" s="54" t="n"/>
      <c r="I41" s="54" t="n"/>
      <c r="J41" s="54" t="n"/>
      <c r="K41" s="56">
        <f>IF(SUM(U41:AY41)=0,"",SUM(U41:AY41))</f>
        <v/>
      </c>
      <c r="L41" s="57">
        <f>IFERROR(INDEX(U$2:AY$2,MATCH(TRUE,U41:AY41&lt;&gt;"",0)),"")</f>
        <v/>
      </c>
      <c r="M41" s="58">
        <f>IFERROR(LOOKUP(2,1/(U41:AY41&lt;&gt;""),U$2:AY$2),"")</f>
        <v/>
      </c>
      <c r="N41" s="59">
        <f>IF(OR(G41="",M41=""),"",G41-M41)</f>
        <v/>
      </c>
      <c r="O41" s="60" t="n"/>
      <c r="P41" s="61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  <c r="AG41" s="62" t="n"/>
      <c r="AH41" s="62" t="n"/>
      <c r="AI41" s="62" t="n"/>
      <c r="AJ41" s="62" t="n"/>
      <c r="AK41" s="62" t="n"/>
      <c r="AL41" s="62" t="n"/>
      <c r="AM41" s="62" t="n"/>
      <c r="AN41" s="62" t="n"/>
      <c r="AO41" s="62" t="n"/>
      <c r="AP41" s="62" t="n"/>
      <c r="AQ41" s="62" t="n"/>
      <c r="AR41" s="62" t="n"/>
      <c r="AS41" s="62" t="n"/>
      <c r="AT41" s="62" t="n"/>
      <c r="AU41" s="62" t="n"/>
      <c r="AV41" s="62" t="n"/>
      <c r="AW41" s="62" t="n"/>
      <c r="AX41" s="62" t="n"/>
      <c r="AY41" s="62" t="n"/>
    </row>
    <row r="42">
      <c r="A42" s="38">
        <f>IF(D42="","",COUNTA($D$40:D42))</f>
        <v/>
      </c>
      <c r="B42" s="52" t="n"/>
      <c r="C42" s="65" t="inlineStr">
        <is>
          <t>마케팅2팀</t>
        </is>
      </c>
      <c r="D42" s="52" t="n"/>
      <c r="E42" s="54" t="n"/>
      <c r="F42" s="52" t="n"/>
      <c r="G42" s="55" t="n"/>
      <c r="H42" s="54" t="n"/>
      <c r="I42" s="54" t="n"/>
      <c r="J42" s="54" t="n"/>
      <c r="K42" s="56">
        <f>IF(SUM(U42:AY42)=0,"",SUM(U42:AY42))</f>
        <v/>
      </c>
      <c r="L42" s="57">
        <f>IFERROR(INDEX(U$2:AY$2,MATCH(TRUE,U42:AY42&lt;&gt;"",0)),"")</f>
        <v/>
      </c>
      <c r="M42" s="58">
        <f>IFERROR(LOOKUP(2,1/(U42:AY42&lt;&gt;""),U$2:AY$2),"")</f>
        <v/>
      </c>
      <c r="N42" s="59">
        <f>IF(OR(G42="",M42=""),"",G42-M42)</f>
        <v/>
      </c>
      <c r="O42" s="60" t="n"/>
      <c r="P42" s="61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  <c r="AG42" s="62" t="n"/>
      <c r="AH42" s="62" t="n"/>
      <c r="AI42" s="62" t="n"/>
      <c r="AJ42" s="62" t="n"/>
      <c r="AK42" s="62" t="n"/>
      <c r="AL42" s="62" t="n"/>
      <c r="AM42" s="62" t="n"/>
      <c r="AN42" s="62" t="n"/>
      <c r="AO42" s="62" t="n"/>
      <c r="AP42" s="62" t="n"/>
      <c r="AQ42" s="62" t="n"/>
      <c r="AR42" s="62" t="n"/>
      <c r="AS42" s="62" t="n"/>
      <c r="AT42" s="62" t="n"/>
      <c r="AU42" s="62" t="n"/>
      <c r="AV42" s="62" t="n"/>
      <c r="AW42" s="62" t="n"/>
      <c r="AX42" s="62" t="n"/>
      <c r="AY42" s="62" t="n"/>
    </row>
    <row r="43">
      <c r="A43" s="38">
        <f>IF(D43="","",COUNTA($D$40:D43))</f>
        <v/>
      </c>
      <c r="B43" s="52" t="n"/>
      <c r="C43" s="65" t="inlineStr">
        <is>
          <t>마케팅2팀</t>
        </is>
      </c>
      <c r="D43" s="52" t="n"/>
      <c r="E43" s="54" t="n"/>
      <c r="F43" s="52" t="n"/>
      <c r="G43" s="55" t="n"/>
      <c r="H43" s="54" t="n"/>
      <c r="I43" s="54" t="n"/>
      <c r="J43" s="54" t="n"/>
      <c r="K43" s="56">
        <f>IF(SUM(U43:AY43)=0,"",SUM(U43:AY43))</f>
        <v/>
      </c>
      <c r="L43" s="57">
        <f>IFERROR(INDEX(U$2:AY$2,MATCH(TRUE,U43:AY43&lt;&gt;"",0)),"")</f>
        <v/>
      </c>
      <c r="M43" s="58">
        <f>IFERROR(LOOKUP(2,1/(U43:AY43&lt;&gt;""),U$2:AY$2),"")</f>
        <v/>
      </c>
      <c r="N43" s="59">
        <f>IF(OR(G43="",M43=""),"",G43-M43)</f>
        <v/>
      </c>
      <c r="O43" s="60" t="n"/>
      <c r="P43" s="61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  <c r="AG43" s="62" t="n"/>
      <c r="AH43" s="62" t="n"/>
      <c r="AI43" s="62" t="n"/>
      <c r="AJ43" s="62" t="n"/>
      <c r="AK43" s="62" t="n"/>
      <c r="AL43" s="62" t="n"/>
      <c r="AM43" s="62" t="n"/>
      <c r="AN43" s="62" t="n"/>
      <c r="AO43" s="62" t="n"/>
      <c r="AP43" s="62" t="n"/>
      <c r="AQ43" s="62" t="n"/>
      <c r="AR43" s="62" t="n"/>
      <c r="AS43" s="62" t="n"/>
      <c r="AT43" s="62" t="n"/>
      <c r="AU43" s="62" t="n"/>
      <c r="AV43" s="62" t="n"/>
      <c r="AW43" s="62" t="n"/>
      <c r="AX43" s="62" t="n"/>
      <c r="AY43" s="62" t="n"/>
    </row>
    <row r="44">
      <c r="A44" s="38">
        <f>IF(D44="","",COUNTA($D$40:D44))</f>
        <v/>
      </c>
      <c r="B44" s="52" t="n"/>
      <c r="C44" s="65" t="inlineStr">
        <is>
          <t>마케팅2팀</t>
        </is>
      </c>
      <c r="D44" s="52" t="n"/>
      <c r="E44" s="54" t="n"/>
      <c r="F44" s="52" t="n"/>
      <c r="G44" s="55" t="n"/>
      <c r="H44" s="54" t="n"/>
      <c r="I44" s="54" t="n"/>
      <c r="J44" s="54" t="n"/>
      <c r="K44" s="56">
        <f>IF(SUM(U44:AY44)=0,"",SUM(U44:AY44))</f>
        <v/>
      </c>
      <c r="L44" s="57">
        <f>IFERROR(INDEX(U$2:AY$2,MATCH(TRUE,U44:AY44&lt;&gt;"",0)),"")</f>
        <v/>
      </c>
      <c r="M44" s="58">
        <f>IFERROR(LOOKUP(2,1/(U44:AY44&lt;&gt;""),U$2:AY$2),"")</f>
        <v/>
      </c>
      <c r="N44" s="59">
        <f>IF(OR(G44="",M44=""),"",G44-M44)</f>
        <v/>
      </c>
      <c r="O44" s="60" t="n"/>
      <c r="P44" s="61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  <c r="AG44" s="62" t="n"/>
      <c r="AH44" s="62" t="n"/>
      <c r="AI44" s="62" t="n"/>
      <c r="AJ44" s="62" t="n"/>
      <c r="AK44" s="62" t="n"/>
      <c r="AL44" s="62" t="n"/>
      <c r="AM44" s="62" t="n"/>
      <c r="AN44" s="62" t="n"/>
      <c r="AO44" s="62" t="n"/>
      <c r="AP44" s="62" t="n"/>
      <c r="AQ44" s="62" t="n"/>
      <c r="AR44" s="62" t="n"/>
      <c r="AS44" s="62" t="n"/>
      <c r="AT44" s="62" t="n"/>
      <c r="AU44" s="62" t="n"/>
      <c r="AV44" s="62" t="n"/>
      <c r="AW44" s="62" t="n"/>
      <c r="AX44" s="62" t="n"/>
      <c r="AY44" s="62" t="n"/>
    </row>
    <row r="45">
      <c r="A45" s="38">
        <f>IF(D45="","",COUNTA($D$40:D45))</f>
        <v/>
      </c>
      <c r="B45" s="52" t="n"/>
      <c r="C45" s="65" t="inlineStr">
        <is>
          <t>마케팅2팀</t>
        </is>
      </c>
      <c r="D45" s="52" t="n"/>
      <c r="E45" s="54" t="n"/>
      <c r="F45" s="52" t="n"/>
      <c r="G45" s="55" t="n"/>
      <c r="H45" s="54" t="n"/>
      <c r="I45" s="54" t="n"/>
      <c r="J45" s="54" t="n"/>
      <c r="K45" s="56">
        <f>IF(SUM(U45:AY45)=0,"",SUM(U45:AY45))</f>
        <v/>
      </c>
      <c r="L45" s="57">
        <f>IFERROR(INDEX(U$2:AY$2,MATCH(TRUE,U45:AY45&lt;&gt;"",0)),"")</f>
        <v/>
      </c>
      <c r="M45" s="58">
        <f>IFERROR(LOOKUP(2,1/(U45:AY45&lt;&gt;""),U$2:AY$2),"")</f>
        <v/>
      </c>
      <c r="N45" s="59">
        <f>IF(OR(G45="",M45=""),"",G45-M45)</f>
        <v/>
      </c>
      <c r="O45" s="60" t="n"/>
      <c r="P45" s="61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  <c r="AG45" s="62" t="n"/>
      <c r="AH45" s="62" t="n"/>
      <c r="AI45" s="62" t="n"/>
      <c r="AJ45" s="62" t="n"/>
      <c r="AK45" s="62" t="n"/>
      <c r="AL45" s="62" t="n"/>
      <c r="AM45" s="62" t="n"/>
      <c r="AN45" s="62" t="n"/>
      <c r="AO45" s="62" t="n"/>
      <c r="AP45" s="62" t="n"/>
      <c r="AQ45" s="62" t="n"/>
      <c r="AR45" s="62" t="n"/>
      <c r="AS45" s="62" t="n"/>
      <c r="AT45" s="62" t="n"/>
      <c r="AU45" s="62" t="n"/>
      <c r="AV45" s="62" t="n"/>
      <c r="AW45" s="62" t="n"/>
      <c r="AX45" s="62" t="n"/>
      <c r="AY45" s="62" t="n"/>
    </row>
    <row r="46">
      <c r="A46" s="38">
        <f>IF(D46="","",COUNTA($D$40:D46))</f>
        <v/>
      </c>
      <c r="B46" s="52" t="n"/>
      <c r="C46" s="65" t="inlineStr">
        <is>
          <t>마케팅2팀</t>
        </is>
      </c>
      <c r="D46" s="52" t="n"/>
      <c r="E46" s="54" t="n"/>
      <c r="F46" s="52" t="n"/>
      <c r="G46" s="55" t="n"/>
      <c r="H46" s="54" t="n"/>
      <c r="I46" s="54" t="n"/>
      <c r="J46" s="54" t="n"/>
      <c r="K46" s="56">
        <f>IF(SUM(U46:AY46)=0,"",SUM(U46:AY46))</f>
        <v/>
      </c>
      <c r="L46" s="57">
        <f>IFERROR(INDEX(U$2:AY$2,MATCH(TRUE,U46:AY46&lt;&gt;"",0)),"")</f>
        <v/>
      </c>
      <c r="M46" s="58">
        <f>IFERROR(LOOKUP(2,1/(U46:AY46&lt;&gt;""),U$2:AY$2),"")</f>
        <v/>
      </c>
      <c r="N46" s="59">
        <f>IF(OR(G46="",M46=""),"",G46-M46)</f>
        <v/>
      </c>
      <c r="O46" s="60" t="n"/>
      <c r="P46" s="61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  <c r="AG46" s="62" t="n"/>
      <c r="AH46" s="62" t="n"/>
      <c r="AI46" s="62" t="n"/>
      <c r="AJ46" s="62" t="n"/>
      <c r="AK46" s="62" t="n"/>
      <c r="AL46" s="62" t="n"/>
      <c r="AM46" s="62" t="n"/>
      <c r="AN46" s="62" t="n"/>
      <c r="AO46" s="62" t="n"/>
      <c r="AP46" s="62" t="n"/>
      <c r="AQ46" s="62" t="n"/>
      <c r="AR46" s="62" t="n"/>
      <c r="AS46" s="62" t="n"/>
      <c r="AT46" s="62" t="n"/>
      <c r="AU46" s="62" t="n"/>
      <c r="AV46" s="62" t="n"/>
      <c r="AW46" s="62" t="n"/>
      <c r="AX46" s="62" t="n"/>
      <c r="AY46" s="62" t="n"/>
    </row>
    <row r="47">
      <c r="A47" s="38">
        <f>IF(D47="","",COUNTA($D$40:D47))</f>
        <v/>
      </c>
      <c r="B47" s="52" t="n"/>
      <c r="C47" s="65" t="inlineStr">
        <is>
          <t>마케팅2팀</t>
        </is>
      </c>
      <c r="D47" s="52" t="n"/>
      <c r="E47" s="54" t="n"/>
      <c r="F47" s="52" t="n"/>
      <c r="G47" s="55" t="n"/>
      <c r="H47" s="54" t="n"/>
      <c r="I47" s="54" t="n"/>
      <c r="J47" s="54" t="n"/>
      <c r="K47" s="56">
        <f>IF(SUM(U47:AY47)=0,"",SUM(U47:AY47))</f>
        <v/>
      </c>
      <c r="L47" s="57">
        <f>IFERROR(INDEX(U$2:AY$2,MATCH(TRUE,U47:AY47&lt;&gt;"",0)),"")</f>
        <v/>
      </c>
      <c r="M47" s="58">
        <f>IFERROR(LOOKUP(2,1/(U47:AY47&lt;&gt;""),U$2:AY$2),"")</f>
        <v/>
      </c>
      <c r="N47" s="59">
        <f>IF(OR(G47="",M47=""),"",G47-M47)</f>
        <v/>
      </c>
      <c r="O47" s="60" t="n"/>
      <c r="P47" s="61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  <c r="AG47" s="62" t="n"/>
      <c r="AH47" s="62" t="n"/>
      <c r="AI47" s="62" t="n"/>
      <c r="AJ47" s="62" t="n"/>
      <c r="AK47" s="62" t="n"/>
      <c r="AL47" s="62" t="n"/>
      <c r="AM47" s="62" t="n"/>
      <c r="AN47" s="62" t="n"/>
      <c r="AO47" s="62" t="n"/>
      <c r="AP47" s="62" t="n"/>
      <c r="AQ47" s="62" t="n"/>
      <c r="AR47" s="62" t="n"/>
      <c r="AS47" s="62" t="n"/>
      <c r="AT47" s="62" t="n"/>
      <c r="AU47" s="62" t="n"/>
      <c r="AV47" s="62" t="n"/>
      <c r="AW47" s="62" t="n"/>
      <c r="AX47" s="62" t="n"/>
      <c r="AY47" s="62" t="n"/>
    </row>
    <row r="48">
      <c r="A48" s="38">
        <f>IF(D48="","",COUNTA($D$40:D48))</f>
        <v/>
      </c>
      <c r="B48" s="52" t="n"/>
      <c r="C48" s="65" t="inlineStr">
        <is>
          <t>마케팅2팀</t>
        </is>
      </c>
      <c r="D48" s="52" t="n"/>
      <c r="E48" s="54" t="n"/>
      <c r="F48" s="52" t="n"/>
      <c r="G48" s="55" t="n"/>
      <c r="H48" s="54" t="n"/>
      <c r="I48" s="54" t="n"/>
      <c r="J48" s="54" t="n"/>
      <c r="K48" s="56">
        <f>IF(SUM(U48:AY48)=0,"",SUM(U48:AY48))</f>
        <v/>
      </c>
      <c r="L48" s="57">
        <f>IFERROR(INDEX(U$2:AY$2,MATCH(TRUE,U48:AY48&lt;&gt;"",0)),"")</f>
        <v/>
      </c>
      <c r="M48" s="58">
        <f>IFERROR(LOOKUP(2,1/(U48:AY48&lt;&gt;""),U$2:AY$2),"")</f>
        <v/>
      </c>
      <c r="N48" s="59">
        <f>IF(OR(G48="",M48=""),"",G48-M48)</f>
        <v/>
      </c>
      <c r="O48" s="60" t="n"/>
      <c r="P48" s="61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  <c r="AG48" s="62" t="n"/>
      <c r="AH48" s="62" t="n"/>
      <c r="AI48" s="62" t="n"/>
      <c r="AJ48" s="62" t="n"/>
      <c r="AK48" s="62" t="n"/>
      <c r="AL48" s="62" t="n"/>
      <c r="AM48" s="62" t="n"/>
      <c r="AN48" s="62" t="n"/>
      <c r="AO48" s="62" t="n"/>
      <c r="AP48" s="62" t="n"/>
      <c r="AQ48" s="62" t="n"/>
      <c r="AR48" s="62" t="n"/>
      <c r="AS48" s="62" t="n"/>
      <c r="AT48" s="62" t="n"/>
      <c r="AU48" s="62" t="n"/>
      <c r="AV48" s="62" t="n"/>
      <c r="AW48" s="62" t="n"/>
      <c r="AX48" s="62" t="n"/>
      <c r="AY48" s="62" t="n"/>
    </row>
    <row r="49">
      <c r="A49" s="38">
        <f>IF(D49="","",COUNTA($D$40:D49))</f>
        <v/>
      </c>
      <c r="B49" s="52" t="n"/>
      <c r="C49" s="65" t="inlineStr">
        <is>
          <t>마케팅2팀</t>
        </is>
      </c>
      <c r="D49" s="52" t="n"/>
      <c r="E49" s="54" t="n"/>
      <c r="F49" s="52" t="n"/>
      <c r="G49" s="55" t="n"/>
      <c r="H49" s="54" t="n"/>
      <c r="I49" s="54" t="n"/>
      <c r="J49" s="54" t="n"/>
      <c r="K49" s="56">
        <f>IF(SUM(U49:AY49)=0,"",SUM(U49:AY49))</f>
        <v/>
      </c>
      <c r="L49" s="57">
        <f>IFERROR(INDEX(U$2:AY$2,MATCH(TRUE,U49:AY49&lt;&gt;"",0)),"")</f>
        <v/>
      </c>
      <c r="M49" s="58">
        <f>IFERROR(LOOKUP(2,1/(U49:AY49&lt;&gt;""),U$2:AY$2),"")</f>
        <v/>
      </c>
      <c r="N49" s="59">
        <f>IF(OR(G49="",M49=""),"",G49-M49)</f>
        <v/>
      </c>
      <c r="O49" s="60" t="n"/>
      <c r="P49" s="61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  <c r="AG49" s="62" t="n"/>
      <c r="AH49" s="62" t="n"/>
      <c r="AI49" s="62" t="n"/>
      <c r="AJ49" s="62" t="n"/>
      <c r="AK49" s="62" t="n"/>
      <c r="AL49" s="62" t="n"/>
      <c r="AM49" s="62" t="n"/>
      <c r="AN49" s="62" t="n"/>
      <c r="AO49" s="62" t="n"/>
      <c r="AP49" s="62" t="n"/>
      <c r="AQ49" s="62" t="n"/>
      <c r="AR49" s="62" t="n"/>
      <c r="AS49" s="62" t="n"/>
      <c r="AT49" s="62" t="n"/>
      <c r="AU49" s="62" t="n"/>
      <c r="AV49" s="62" t="n"/>
      <c r="AW49" s="62" t="n"/>
      <c r="AX49" s="62" t="n"/>
      <c r="AY49" s="62" t="n"/>
    </row>
    <row r="50">
      <c r="A50" s="38">
        <f>IF(D50="","",COUNTA($D$40:D50))</f>
        <v/>
      </c>
      <c r="B50" s="52" t="n"/>
      <c r="C50" s="65" t="inlineStr">
        <is>
          <t>마케팅2팀</t>
        </is>
      </c>
      <c r="D50" s="52" t="n"/>
      <c r="E50" s="54" t="n"/>
      <c r="F50" s="52" t="n"/>
      <c r="G50" s="55" t="n"/>
      <c r="H50" s="54" t="n"/>
      <c r="I50" s="54" t="n"/>
      <c r="J50" s="54" t="n"/>
      <c r="K50" s="56">
        <f>IF(SUM(U50:AY50)=0,"",SUM(U50:AY50))</f>
        <v/>
      </c>
      <c r="L50" s="57">
        <f>IFERROR(INDEX(U$2:AY$2,MATCH(TRUE,U50:AY50&lt;&gt;"",0)),"")</f>
        <v/>
      </c>
      <c r="M50" s="58">
        <f>IFERROR(LOOKUP(2,1/(U50:AY50&lt;&gt;""),U$2:AY$2),"")</f>
        <v/>
      </c>
      <c r="N50" s="59">
        <f>IF(OR(G50="",M50=""),"",G50-M50)</f>
        <v/>
      </c>
      <c r="O50" s="60" t="n"/>
      <c r="P50" s="61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  <c r="AG50" s="62" t="n"/>
      <c r="AH50" s="62" t="n"/>
      <c r="AI50" s="62" t="n"/>
      <c r="AJ50" s="62" t="n"/>
      <c r="AK50" s="62" t="n"/>
      <c r="AL50" s="62" t="n"/>
      <c r="AM50" s="62" t="n"/>
      <c r="AN50" s="62" t="n"/>
      <c r="AO50" s="62" t="n"/>
      <c r="AP50" s="62" t="n"/>
      <c r="AQ50" s="62" t="n"/>
      <c r="AR50" s="62" t="n"/>
      <c r="AS50" s="62" t="n"/>
      <c r="AT50" s="62" t="n"/>
      <c r="AU50" s="62" t="n"/>
      <c r="AV50" s="62" t="n"/>
      <c r="AW50" s="62" t="n"/>
      <c r="AX50" s="62" t="n"/>
      <c r="AY50" s="62" t="n"/>
    </row>
    <row r="51">
      <c r="A51" s="38">
        <f>IF(D51="","",COUNTA($D$40:D51))</f>
        <v/>
      </c>
      <c r="B51" s="52" t="n"/>
      <c r="C51" s="65" t="inlineStr">
        <is>
          <t>마케팅2팀</t>
        </is>
      </c>
      <c r="D51" s="52" t="n"/>
      <c r="E51" s="54" t="n"/>
      <c r="F51" s="52" t="n"/>
      <c r="G51" s="55" t="n"/>
      <c r="H51" s="54" t="n"/>
      <c r="I51" s="54" t="n"/>
      <c r="J51" s="54" t="n"/>
      <c r="K51" s="56">
        <f>IF(SUM(U51:AY51)=0,"",SUM(U51:AY51))</f>
        <v/>
      </c>
      <c r="L51" s="57">
        <f>IFERROR(INDEX(U$2:AY$2,MATCH(TRUE,U51:AY51&lt;&gt;"",0)),"")</f>
        <v/>
      </c>
      <c r="M51" s="58">
        <f>IFERROR(LOOKUP(2,1/(U51:AY51&lt;&gt;""),U$2:AY$2),"")</f>
        <v/>
      </c>
      <c r="N51" s="59">
        <f>IF(OR(G51="",M51=""),"",G51-M51)</f>
        <v/>
      </c>
      <c r="O51" s="60" t="n"/>
      <c r="P51" s="61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  <c r="AG51" s="62" t="n"/>
      <c r="AH51" s="62" t="n"/>
      <c r="AI51" s="62" t="n"/>
      <c r="AJ51" s="62" t="n"/>
      <c r="AK51" s="62" t="n"/>
      <c r="AL51" s="62" t="n"/>
      <c r="AM51" s="62" t="n"/>
      <c r="AN51" s="62" t="n"/>
      <c r="AO51" s="62" t="n"/>
      <c r="AP51" s="62" t="n"/>
      <c r="AQ51" s="62" t="n"/>
      <c r="AR51" s="62" t="n"/>
      <c r="AS51" s="62" t="n"/>
      <c r="AT51" s="62" t="n"/>
      <c r="AU51" s="62" t="n"/>
      <c r="AV51" s="62" t="n"/>
      <c r="AW51" s="62" t="n"/>
      <c r="AX51" s="62" t="n"/>
      <c r="AY51" s="62" t="n"/>
    </row>
    <row r="52">
      <c r="A52" s="38">
        <f>IF(D52="","",COUNTA($D$40:D52))</f>
        <v/>
      </c>
      <c r="B52" s="52" t="n"/>
      <c r="C52" s="65" t="inlineStr">
        <is>
          <t>마케팅2팀</t>
        </is>
      </c>
      <c r="D52" s="52" t="n"/>
      <c r="E52" s="54" t="n"/>
      <c r="F52" s="52" t="n"/>
      <c r="G52" s="55" t="n"/>
      <c r="H52" s="54" t="n"/>
      <c r="I52" s="54" t="n"/>
      <c r="J52" s="54" t="n"/>
      <c r="K52" s="56">
        <f>IF(SUM(U52:AY52)=0,"",SUM(U52:AY52))</f>
        <v/>
      </c>
      <c r="L52" s="57">
        <f>IFERROR(INDEX(U$2:AY$2,MATCH(TRUE,U52:AY52&lt;&gt;"",0)),"")</f>
        <v/>
      </c>
      <c r="M52" s="58">
        <f>IFERROR(LOOKUP(2,1/(U52:AY52&lt;&gt;""),U$2:AY$2),"")</f>
        <v/>
      </c>
      <c r="N52" s="59">
        <f>IF(OR(G52="",M52=""),"",G52-M52)</f>
        <v/>
      </c>
      <c r="O52" s="60" t="n"/>
      <c r="P52" s="61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  <c r="AG52" s="62" t="n"/>
      <c r="AH52" s="62" t="n"/>
      <c r="AI52" s="62" t="n"/>
      <c r="AJ52" s="62" t="n"/>
      <c r="AK52" s="62" t="n"/>
      <c r="AL52" s="62" t="n"/>
      <c r="AM52" s="62" t="n"/>
      <c r="AN52" s="62" t="n"/>
      <c r="AO52" s="62" t="n"/>
      <c r="AP52" s="62" t="n"/>
      <c r="AQ52" s="62" t="n"/>
      <c r="AR52" s="62" t="n"/>
      <c r="AS52" s="62" t="n"/>
      <c r="AT52" s="62" t="n"/>
      <c r="AU52" s="62" t="n"/>
      <c r="AV52" s="62" t="n"/>
      <c r="AW52" s="62" t="n"/>
      <c r="AX52" s="62" t="n"/>
      <c r="AY52" s="62" t="n"/>
    </row>
    <row r="53">
      <c r="A53" s="38">
        <f>IF(D53="","",COUNTA($D$40:D53))</f>
        <v/>
      </c>
      <c r="B53" s="52" t="n"/>
      <c r="C53" s="65" t="inlineStr">
        <is>
          <t>마케팅2팀</t>
        </is>
      </c>
      <c r="D53" s="52" t="n"/>
      <c r="E53" s="54" t="n"/>
      <c r="F53" s="52" t="n"/>
      <c r="G53" s="55" t="n"/>
      <c r="H53" s="54" t="n"/>
      <c r="I53" s="54" t="n"/>
      <c r="J53" s="54" t="n"/>
      <c r="K53" s="56">
        <f>IF(SUM(U53:AY53)=0,"",SUM(U53:AY53))</f>
        <v/>
      </c>
      <c r="L53" s="57">
        <f>IFERROR(INDEX(U$2:AY$2,MATCH(TRUE,U53:AY53&lt;&gt;"",0)),"")</f>
        <v/>
      </c>
      <c r="M53" s="58">
        <f>IFERROR(LOOKUP(2,1/(U53:AY53&lt;&gt;""),U$2:AY$2),"")</f>
        <v/>
      </c>
      <c r="N53" s="59">
        <f>IF(OR(G53="",M53=""),"",G53-M53)</f>
        <v/>
      </c>
      <c r="O53" s="60" t="n"/>
      <c r="P53" s="61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  <c r="AG53" s="62" t="n"/>
      <c r="AH53" s="62" t="n"/>
      <c r="AI53" s="62" t="n"/>
      <c r="AJ53" s="62" t="n"/>
      <c r="AK53" s="62" t="n"/>
      <c r="AL53" s="62" t="n"/>
      <c r="AM53" s="62" t="n"/>
      <c r="AN53" s="62" t="n"/>
      <c r="AO53" s="62" t="n"/>
      <c r="AP53" s="62" t="n"/>
      <c r="AQ53" s="62" t="n"/>
      <c r="AR53" s="62" t="n"/>
      <c r="AS53" s="62" t="n"/>
      <c r="AT53" s="62" t="n"/>
      <c r="AU53" s="62" t="n"/>
      <c r="AV53" s="62" t="n"/>
      <c r="AW53" s="62" t="n"/>
      <c r="AX53" s="62" t="n"/>
      <c r="AY53" s="62" t="n"/>
    </row>
    <row r="54">
      <c r="A54" s="38">
        <f>IF(D54="","",COUNTA($D$40:D54))</f>
        <v/>
      </c>
      <c r="B54" s="52" t="n"/>
      <c r="C54" s="65" t="inlineStr">
        <is>
          <t>마케팅2팀</t>
        </is>
      </c>
      <c r="D54" s="52" t="n"/>
      <c r="E54" s="54" t="n"/>
      <c r="F54" s="52" t="n"/>
      <c r="G54" s="55" t="n"/>
      <c r="H54" s="54" t="n"/>
      <c r="I54" s="54" t="n"/>
      <c r="J54" s="54" t="n"/>
      <c r="K54" s="56">
        <f>IF(SUM(U54:AY54)=0,"",SUM(U54:AY54))</f>
        <v/>
      </c>
      <c r="L54" s="57">
        <f>IFERROR(INDEX(U$2:AY$2,MATCH(TRUE,U54:AY54&lt;&gt;"",0)),"")</f>
        <v/>
      </c>
      <c r="M54" s="58">
        <f>IFERROR(LOOKUP(2,1/(U54:AY54&lt;&gt;""),U$2:AY$2),"")</f>
        <v/>
      </c>
      <c r="N54" s="59">
        <f>IF(OR(G54="",M54=""),"",G54-M54)</f>
        <v/>
      </c>
      <c r="O54" s="60" t="n"/>
      <c r="P54" s="61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  <c r="AG54" s="62" t="n"/>
      <c r="AH54" s="62" t="n"/>
      <c r="AI54" s="62" t="n"/>
      <c r="AJ54" s="62" t="n"/>
      <c r="AK54" s="62" t="n"/>
      <c r="AL54" s="62" t="n"/>
      <c r="AM54" s="62" t="n"/>
      <c r="AN54" s="62" t="n"/>
      <c r="AO54" s="62" t="n"/>
      <c r="AP54" s="62" t="n"/>
      <c r="AQ54" s="62" t="n"/>
      <c r="AR54" s="62" t="n"/>
      <c r="AS54" s="62" t="n"/>
      <c r="AT54" s="62" t="n"/>
      <c r="AU54" s="62" t="n"/>
      <c r="AV54" s="62" t="n"/>
      <c r="AW54" s="62" t="n"/>
      <c r="AX54" s="62" t="n"/>
      <c r="AY54" s="62" t="n"/>
    </row>
    <row r="55">
      <c r="A55" s="38">
        <f>IF(D55="","",COUNTA($D$40:D55))</f>
        <v/>
      </c>
      <c r="B55" s="52" t="n"/>
      <c r="C55" s="65" t="inlineStr">
        <is>
          <t>마케팅2팀</t>
        </is>
      </c>
      <c r="D55" s="52" t="n"/>
      <c r="E55" s="54" t="n"/>
      <c r="F55" s="52" t="n"/>
      <c r="G55" s="55" t="n"/>
      <c r="H55" s="54" t="n"/>
      <c r="I55" s="54" t="n"/>
      <c r="J55" s="54" t="n"/>
      <c r="K55" s="56">
        <f>IF(SUM(U55:AY55)=0,"",SUM(U55:AY55))</f>
        <v/>
      </c>
      <c r="L55" s="57">
        <f>IFERROR(INDEX(U$2:AY$2,MATCH(TRUE,U55:AY55&lt;&gt;"",0)),"")</f>
        <v/>
      </c>
      <c r="M55" s="58">
        <f>IFERROR(LOOKUP(2,1/(U55:AY55&lt;&gt;""),U$2:AY$2),"")</f>
        <v/>
      </c>
      <c r="N55" s="59">
        <f>IF(OR(G55="",M55=""),"",G55-M55)</f>
        <v/>
      </c>
      <c r="O55" s="60" t="n"/>
      <c r="P55" s="61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  <c r="AG55" s="62" t="n"/>
      <c r="AH55" s="62" t="n"/>
      <c r="AI55" s="62" t="n"/>
      <c r="AJ55" s="62" t="n"/>
      <c r="AK55" s="62" t="n"/>
      <c r="AL55" s="62" t="n"/>
      <c r="AM55" s="62" t="n"/>
      <c r="AN55" s="62" t="n"/>
      <c r="AO55" s="62" t="n"/>
      <c r="AP55" s="62" t="n"/>
      <c r="AQ55" s="62" t="n"/>
      <c r="AR55" s="62" t="n"/>
      <c r="AS55" s="62" t="n"/>
      <c r="AT55" s="62" t="n"/>
      <c r="AU55" s="62" t="n"/>
      <c r="AV55" s="62" t="n"/>
      <c r="AW55" s="62" t="n"/>
      <c r="AX55" s="62" t="n"/>
      <c r="AY55" s="62" t="n"/>
    </row>
    <row r="56">
      <c r="A56" s="38">
        <f>IF(D56="","",COUNTA($D$40:D56))</f>
        <v/>
      </c>
      <c r="B56" s="52" t="n"/>
      <c r="C56" s="65" t="inlineStr">
        <is>
          <t>마케팅2팀</t>
        </is>
      </c>
      <c r="D56" s="52" t="n"/>
      <c r="E56" s="54" t="n"/>
      <c r="F56" s="52" t="n"/>
      <c r="G56" s="55" t="n"/>
      <c r="H56" s="54" t="n"/>
      <c r="I56" s="54" t="n"/>
      <c r="J56" s="54" t="n"/>
      <c r="K56" s="56">
        <f>IF(SUM(U56:AY56)=0,"",SUM(U56:AY56))</f>
        <v/>
      </c>
      <c r="L56" s="57">
        <f>IFERROR(INDEX(U$2:AY$2,MATCH(TRUE,U56:AY56&lt;&gt;"",0)),"")</f>
        <v/>
      </c>
      <c r="M56" s="58">
        <f>IFERROR(LOOKUP(2,1/(U56:AY56&lt;&gt;""),U$2:AY$2),"")</f>
        <v/>
      </c>
      <c r="N56" s="59">
        <f>IF(OR(G56="",M56=""),"",G56-M56)</f>
        <v/>
      </c>
      <c r="O56" s="60" t="n"/>
      <c r="P56" s="61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  <c r="AG56" s="62" t="n"/>
      <c r="AH56" s="62" t="n"/>
      <c r="AI56" s="62" t="n"/>
      <c r="AJ56" s="62" t="n"/>
      <c r="AK56" s="62" t="n"/>
      <c r="AL56" s="62" t="n"/>
      <c r="AM56" s="62" t="n"/>
      <c r="AN56" s="62" t="n"/>
      <c r="AO56" s="62" t="n"/>
      <c r="AP56" s="62" t="n"/>
      <c r="AQ56" s="62" t="n"/>
      <c r="AR56" s="62" t="n"/>
      <c r="AS56" s="62" t="n"/>
      <c r="AT56" s="62" t="n"/>
      <c r="AU56" s="62" t="n"/>
      <c r="AV56" s="62" t="n"/>
      <c r="AW56" s="62" t="n"/>
      <c r="AX56" s="62" t="n"/>
      <c r="AY56" s="62" t="n"/>
    </row>
    <row r="57">
      <c r="A57" s="38">
        <f>IF(D57="","",COUNTA($D$40:D57))</f>
        <v/>
      </c>
      <c r="B57" s="52" t="n"/>
      <c r="C57" s="65" t="inlineStr">
        <is>
          <t>마케팅2팀</t>
        </is>
      </c>
      <c r="D57" s="52" t="n"/>
      <c r="E57" s="54" t="n"/>
      <c r="F57" s="52" t="n"/>
      <c r="G57" s="55" t="n"/>
      <c r="H57" s="54" t="n"/>
      <c r="I57" s="54" t="n"/>
      <c r="J57" s="54" t="n"/>
      <c r="K57" s="56">
        <f>IF(SUM(U57:AY57)=0,"",SUM(U57:AY57))</f>
        <v/>
      </c>
      <c r="L57" s="57">
        <f>IFERROR(INDEX(U$2:AY$2,MATCH(TRUE,U57:AY57&lt;&gt;"",0)),"")</f>
        <v/>
      </c>
      <c r="M57" s="58">
        <f>IFERROR(LOOKUP(2,1/(U57:AY57&lt;&gt;""),U$2:AY$2),"")</f>
        <v/>
      </c>
      <c r="N57" s="59">
        <f>IF(OR(G57="",M57=""),"",G57-M57)</f>
        <v/>
      </c>
      <c r="O57" s="60" t="n"/>
      <c r="P57" s="61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  <c r="AG57" s="62" t="n"/>
      <c r="AH57" s="62" t="n"/>
      <c r="AI57" s="62" t="n"/>
      <c r="AJ57" s="62" t="n"/>
      <c r="AK57" s="62" t="n"/>
      <c r="AL57" s="62" t="n"/>
      <c r="AM57" s="62" t="n"/>
      <c r="AN57" s="62" t="n"/>
      <c r="AO57" s="62" t="n"/>
      <c r="AP57" s="62" t="n"/>
      <c r="AQ57" s="62" t="n"/>
      <c r="AR57" s="62" t="n"/>
      <c r="AS57" s="62" t="n"/>
      <c r="AT57" s="62" t="n"/>
      <c r="AU57" s="62" t="n"/>
      <c r="AV57" s="62" t="n"/>
      <c r="AW57" s="62" t="n"/>
      <c r="AX57" s="62" t="n"/>
      <c r="AY57" s="62" t="n"/>
    </row>
    <row r="58">
      <c r="A58" s="38">
        <f>IF(D58="","",COUNTA($D$40:D58))</f>
        <v/>
      </c>
      <c r="B58" s="52" t="n"/>
      <c r="C58" s="65" t="inlineStr">
        <is>
          <t>마케팅2팀</t>
        </is>
      </c>
      <c r="D58" s="52" t="n"/>
      <c r="E58" s="54" t="n"/>
      <c r="F58" s="52" t="n"/>
      <c r="G58" s="55" t="n"/>
      <c r="H58" s="54" t="n"/>
      <c r="I58" s="54" t="n"/>
      <c r="J58" s="54" t="n"/>
      <c r="K58" s="56">
        <f>IF(SUM(U58:AY58)=0,"",SUM(U58:AY58))</f>
        <v/>
      </c>
      <c r="L58" s="57">
        <f>IFERROR(INDEX(U$2:AY$2,MATCH(TRUE,U58:AY58&lt;&gt;"",0)),"")</f>
        <v/>
      </c>
      <c r="M58" s="58">
        <f>IFERROR(LOOKUP(2,1/(U58:AY58&lt;&gt;""),U$2:AY$2),"")</f>
        <v/>
      </c>
      <c r="N58" s="59">
        <f>IF(OR(G58="",M58=""),"",G58-M58)</f>
        <v/>
      </c>
      <c r="O58" s="60" t="n"/>
      <c r="P58" s="61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  <c r="AG58" s="62" t="n"/>
      <c r="AH58" s="62" t="n"/>
      <c r="AI58" s="62" t="n"/>
      <c r="AJ58" s="62" t="n"/>
      <c r="AK58" s="62" t="n"/>
      <c r="AL58" s="62" t="n"/>
      <c r="AM58" s="62" t="n"/>
      <c r="AN58" s="62" t="n"/>
      <c r="AO58" s="62" t="n"/>
      <c r="AP58" s="62" t="n"/>
      <c r="AQ58" s="62" t="n"/>
      <c r="AR58" s="62" t="n"/>
      <c r="AS58" s="62" t="n"/>
      <c r="AT58" s="62" t="n"/>
      <c r="AU58" s="62" t="n"/>
      <c r="AV58" s="62" t="n"/>
      <c r="AW58" s="62" t="n"/>
      <c r="AX58" s="62" t="n"/>
      <c r="AY58" s="62" t="n"/>
    </row>
    <row r="59">
      <c r="A59" s="38">
        <f>IF(D59="","",COUNTA($D$40:D59))</f>
        <v/>
      </c>
      <c r="B59" s="52" t="n"/>
      <c r="C59" s="65" t="inlineStr">
        <is>
          <t>마케팅2팀</t>
        </is>
      </c>
      <c r="D59" s="52" t="n"/>
      <c r="E59" s="54" t="n"/>
      <c r="F59" s="52" t="n"/>
      <c r="G59" s="55" t="n"/>
      <c r="H59" s="54" t="n"/>
      <c r="I59" s="54" t="n"/>
      <c r="J59" s="54" t="n"/>
      <c r="K59" s="56">
        <f>IF(SUM(U59:AY59)=0,"",SUM(U59:AY59))</f>
        <v/>
      </c>
      <c r="L59" s="57">
        <f>IFERROR(INDEX(U$2:AY$2,MATCH(TRUE,U59:AY59&lt;&gt;"",0)),"")</f>
        <v/>
      </c>
      <c r="M59" s="58">
        <f>IFERROR(LOOKUP(2,1/(U59:AY59&lt;&gt;""),U$2:AY$2),"")</f>
        <v/>
      </c>
      <c r="N59" s="59">
        <f>IF(OR(G59="",M59=""),"",G59-M59)</f>
        <v/>
      </c>
      <c r="O59" s="60" t="n"/>
      <c r="P59" s="61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  <c r="AG59" s="62" t="n"/>
      <c r="AH59" s="62" t="n"/>
      <c r="AI59" s="62" t="n"/>
      <c r="AJ59" s="62" t="n"/>
      <c r="AK59" s="62" t="n"/>
      <c r="AL59" s="62" t="n"/>
      <c r="AM59" s="62" t="n"/>
      <c r="AN59" s="62" t="n"/>
      <c r="AO59" s="62" t="n"/>
      <c r="AP59" s="62" t="n"/>
      <c r="AQ59" s="62" t="n"/>
      <c r="AR59" s="62" t="n"/>
      <c r="AS59" s="62" t="n"/>
      <c r="AT59" s="62" t="n"/>
      <c r="AU59" s="62" t="n"/>
      <c r="AV59" s="62" t="n"/>
      <c r="AW59" s="62" t="n"/>
      <c r="AX59" s="62" t="n"/>
      <c r="AY59" s="62" t="n"/>
    </row>
    <row r="60">
      <c r="A60" s="38">
        <f>IF(D60="","",COUNTA($D$40:D60))</f>
        <v/>
      </c>
      <c r="B60" s="52" t="n"/>
      <c r="C60" s="65" t="inlineStr">
        <is>
          <t>마케팅2팀</t>
        </is>
      </c>
      <c r="D60" s="52" t="n"/>
      <c r="E60" s="54" t="n"/>
      <c r="F60" s="52" t="n"/>
      <c r="G60" s="55" t="n"/>
      <c r="H60" s="54" t="n"/>
      <c r="I60" s="54" t="n"/>
      <c r="J60" s="54" t="n"/>
      <c r="K60" s="56">
        <f>IF(SUM(U60:AY60)=0,"",SUM(U60:AY60))</f>
        <v/>
      </c>
      <c r="L60" s="57">
        <f>IFERROR(INDEX(U$2:AY$2,MATCH(TRUE,U60:AY60&lt;&gt;"",0)),"")</f>
        <v/>
      </c>
      <c r="M60" s="58">
        <f>IFERROR(LOOKUP(2,1/(U60:AY60&lt;&gt;""),U$2:AY$2),"")</f>
        <v/>
      </c>
      <c r="N60" s="59">
        <f>IF(OR(G60="",M60=""),"",G60-M60)</f>
        <v/>
      </c>
      <c r="O60" s="60" t="n"/>
      <c r="P60" s="61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  <c r="AG60" s="62" t="n"/>
      <c r="AH60" s="62" t="n"/>
      <c r="AI60" s="62" t="n"/>
      <c r="AJ60" s="62" t="n"/>
      <c r="AK60" s="62" t="n"/>
      <c r="AL60" s="62" t="n"/>
      <c r="AM60" s="62" t="n"/>
      <c r="AN60" s="62" t="n"/>
      <c r="AO60" s="62" t="n"/>
      <c r="AP60" s="62" t="n"/>
      <c r="AQ60" s="62" t="n"/>
      <c r="AR60" s="62" t="n"/>
      <c r="AS60" s="62" t="n"/>
      <c r="AT60" s="62" t="n"/>
      <c r="AU60" s="62" t="n"/>
      <c r="AV60" s="62" t="n"/>
      <c r="AW60" s="62" t="n"/>
      <c r="AX60" s="62" t="n"/>
      <c r="AY60" s="62" t="n"/>
    </row>
    <row r="61">
      <c r="A61" s="38">
        <f>IF(D61="","",COUNTA($D$40:D61))</f>
        <v/>
      </c>
      <c r="B61" s="52" t="n"/>
      <c r="C61" s="65" t="inlineStr">
        <is>
          <t>마케팅2팀</t>
        </is>
      </c>
      <c r="D61" s="52" t="n"/>
      <c r="E61" s="54" t="n"/>
      <c r="F61" s="52" t="n"/>
      <c r="G61" s="55" t="n"/>
      <c r="H61" s="54" t="n"/>
      <c r="I61" s="54" t="n"/>
      <c r="J61" s="54" t="n"/>
      <c r="K61" s="56">
        <f>IF(SUM(U61:AY61)=0,"",SUM(U61:AY61))</f>
        <v/>
      </c>
      <c r="L61" s="57">
        <f>IFERROR(INDEX(U$2:AY$2,MATCH(TRUE,U61:AY61&lt;&gt;"",0)),"")</f>
        <v/>
      </c>
      <c r="M61" s="58">
        <f>IFERROR(LOOKUP(2,1/(U61:AY61&lt;&gt;""),U$2:AY$2),"")</f>
        <v/>
      </c>
      <c r="N61" s="59">
        <f>IF(OR(G61="",M61=""),"",G61-M61)</f>
        <v/>
      </c>
      <c r="O61" s="60" t="n"/>
      <c r="P61" s="61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  <c r="AG61" s="62" t="n"/>
      <c r="AH61" s="62" t="n"/>
      <c r="AI61" s="62" t="n"/>
      <c r="AJ61" s="62" t="n"/>
      <c r="AK61" s="62" t="n"/>
      <c r="AL61" s="62" t="n"/>
      <c r="AM61" s="62" t="n"/>
      <c r="AN61" s="62" t="n"/>
      <c r="AO61" s="62" t="n"/>
      <c r="AP61" s="62" t="n"/>
      <c r="AQ61" s="62" t="n"/>
      <c r="AR61" s="62" t="n"/>
      <c r="AS61" s="62" t="n"/>
      <c r="AT61" s="62" t="n"/>
      <c r="AU61" s="62" t="n"/>
      <c r="AV61" s="62" t="n"/>
      <c r="AW61" s="62" t="n"/>
      <c r="AX61" s="62" t="n"/>
      <c r="AY61" s="62" t="n"/>
    </row>
    <row r="62">
      <c r="A62" s="38">
        <f>IF(D62="","",COUNTA($D$40:D62))</f>
        <v/>
      </c>
      <c r="B62" s="52" t="n"/>
      <c r="C62" s="65" t="inlineStr">
        <is>
          <t>마케팅2팀</t>
        </is>
      </c>
      <c r="D62" s="52" t="n"/>
      <c r="E62" s="54" t="n"/>
      <c r="F62" s="52" t="n"/>
      <c r="G62" s="55" t="n"/>
      <c r="H62" s="54" t="n"/>
      <c r="I62" s="54" t="n"/>
      <c r="J62" s="54" t="n"/>
      <c r="K62" s="56">
        <f>IF(SUM(U62:AY62)=0,"",SUM(U62:AY62))</f>
        <v/>
      </c>
      <c r="L62" s="57">
        <f>IFERROR(INDEX(U$2:AY$2,MATCH(TRUE,U62:AY62&lt;&gt;"",0)),"")</f>
        <v/>
      </c>
      <c r="M62" s="58">
        <f>IFERROR(LOOKUP(2,1/(U62:AY62&lt;&gt;""),U$2:AY$2),"")</f>
        <v/>
      </c>
      <c r="N62" s="59">
        <f>IF(OR(G62="",M62=""),"",G62-M62)</f>
        <v/>
      </c>
      <c r="O62" s="60" t="n"/>
      <c r="P62" s="61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  <c r="AG62" s="62" t="n"/>
      <c r="AH62" s="62" t="n"/>
      <c r="AI62" s="62" t="n"/>
      <c r="AJ62" s="62" t="n"/>
      <c r="AK62" s="62" t="n"/>
      <c r="AL62" s="62" t="n"/>
      <c r="AM62" s="62" t="n"/>
      <c r="AN62" s="62" t="n"/>
      <c r="AO62" s="62" t="n"/>
      <c r="AP62" s="62" t="n"/>
      <c r="AQ62" s="62" t="n"/>
      <c r="AR62" s="62" t="n"/>
      <c r="AS62" s="62" t="n"/>
      <c r="AT62" s="62" t="n"/>
      <c r="AU62" s="62" t="n"/>
      <c r="AV62" s="62" t="n"/>
      <c r="AW62" s="62" t="n"/>
      <c r="AX62" s="62" t="n"/>
      <c r="AY62" s="62" t="n"/>
    </row>
    <row r="63">
      <c r="A63" s="38">
        <f>IF(D63="","",COUNTA($D$40:D63))</f>
        <v/>
      </c>
      <c r="B63" s="52" t="n"/>
      <c r="C63" s="65" t="inlineStr">
        <is>
          <t>마케팅2팀</t>
        </is>
      </c>
      <c r="D63" s="52" t="n"/>
      <c r="E63" s="54" t="n"/>
      <c r="F63" s="52" t="n"/>
      <c r="G63" s="55" t="n"/>
      <c r="H63" s="54" t="n"/>
      <c r="I63" s="54" t="n"/>
      <c r="J63" s="54" t="n"/>
      <c r="K63" s="56">
        <f>IF(SUM(U63:AY63)=0,"",SUM(U63:AY63))</f>
        <v/>
      </c>
      <c r="L63" s="57">
        <f>IFERROR(INDEX(U$2:AY$2,MATCH(TRUE,U63:AY63&lt;&gt;"",0)),"")</f>
        <v/>
      </c>
      <c r="M63" s="58">
        <f>IFERROR(LOOKUP(2,1/(U63:AY63&lt;&gt;""),U$2:AY$2),"")</f>
        <v/>
      </c>
      <c r="N63" s="59">
        <f>IF(OR(G63="",M63=""),"",G63-M63)</f>
        <v/>
      </c>
      <c r="O63" s="60" t="n"/>
      <c r="P63" s="61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  <c r="AG63" s="62" t="n"/>
      <c r="AH63" s="62" t="n"/>
      <c r="AI63" s="62" t="n"/>
      <c r="AJ63" s="62" t="n"/>
      <c r="AK63" s="62" t="n"/>
      <c r="AL63" s="62" t="n"/>
      <c r="AM63" s="62" t="n"/>
      <c r="AN63" s="62" t="n"/>
      <c r="AO63" s="62" t="n"/>
      <c r="AP63" s="62" t="n"/>
      <c r="AQ63" s="62" t="n"/>
      <c r="AR63" s="62" t="n"/>
      <c r="AS63" s="62" t="n"/>
      <c r="AT63" s="62" t="n"/>
      <c r="AU63" s="62" t="n"/>
      <c r="AV63" s="62" t="n"/>
      <c r="AW63" s="62" t="n"/>
      <c r="AX63" s="62" t="n"/>
      <c r="AY63" s="62" t="n"/>
    </row>
    <row r="64">
      <c r="A64" s="38">
        <f>IF(D64="","",COUNTA($D$40:D64))</f>
        <v/>
      </c>
      <c r="B64" s="52" t="n"/>
      <c r="C64" s="65" t="inlineStr">
        <is>
          <t>마케팅2팀</t>
        </is>
      </c>
      <c r="D64" s="52" t="n"/>
      <c r="E64" s="54" t="n"/>
      <c r="F64" s="52" t="n"/>
      <c r="G64" s="55" t="n"/>
      <c r="H64" s="54" t="n"/>
      <c r="I64" s="54" t="n"/>
      <c r="J64" s="54" t="n"/>
      <c r="K64" s="56">
        <f>IF(SUM(U64:AY64)=0,"",SUM(U64:AY64))</f>
        <v/>
      </c>
      <c r="L64" s="57">
        <f>IFERROR(INDEX(U$2:AY$2,MATCH(TRUE,U64:AY64&lt;&gt;"",0)),"")</f>
        <v/>
      </c>
      <c r="M64" s="58">
        <f>IFERROR(LOOKUP(2,1/(U64:AY64&lt;&gt;""),U$2:AY$2),"")</f>
        <v/>
      </c>
      <c r="N64" s="59">
        <f>IF(OR(G64="",M64=""),"",G64-M64)</f>
        <v/>
      </c>
      <c r="O64" s="60" t="n"/>
      <c r="P64" s="61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  <c r="AG64" s="62" t="n"/>
      <c r="AH64" s="62" t="n"/>
      <c r="AI64" s="62" t="n"/>
      <c r="AJ64" s="62" t="n"/>
      <c r="AK64" s="62" t="n"/>
      <c r="AL64" s="62" t="n"/>
      <c r="AM64" s="62" t="n"/>
      <c r="AN64" s="62" t="n"/>
      <c r="AO64" s="62" t="n"/>
      <c r="AP64" s="62" t="n"/>
      <c r="AQ64" s="62" t="n"/>
      <c r="AR64" s="62" t="n"/>
      <c r="AS64" s="62" t="n"/>
      <c r="AT64" s="62" t="n"/>
      <c r="AU64" s="62" t="n"/>
      <c r="AV64" s="62" t="n"/>
      <c r="AW64" s="62" t="n"/>
      <c r="AX64" s="62" t="n"/>
      <c r="AY64" s="62" t="n"/>
    </row>
    <row r="65">
      <c r="A65" s="38">
        <f>IF(D65="","",COUNTA($D$40:D65))</f>
        <v/>
      </c>
      <c r="B65" s="52" t="n"/>
      <c r="C65" s="65" t="inlineStr">
        <is>
          <t>마케팅2팀</t>
        </is>
      </c>
      <c r="D65" s="52" t="n"/>
      <c r="E65" s="54" t="n"/>
      <c r="F65" s="52" t="n"/>
      <c r="G65" s="55" t="n"/>
      <c r="H65" s="54" t="n"/>
      <c r="I65" s="54" t="n"/>
      <c r="J65" s="54" t="n"/>
      <c r="K65" s="56">
        <f>IF(SUM(U65:AY65)=0,"",SUM(U65:AY65))</f>
        <v/>
      </c>
      <c r="L65" s="57">
        <f>IFERROR(INDEX(U$2:AY$2,MATCH(TRUE,U65:AY65&lt;&gt;"",0)),"")</f>
        <v/>
      </c>
      <c r="M65" s="58">
        <f>IFERROR(LOOKUP(2,1/(U65:AY65&lt;&gt;""),U$2:AY$2),"")</f>
        <v/>
      </c>
      <c r="N65" s="59">
        <f>IF(OR(G65="",M65=""),"",G65-M65)</f>
        <v/>
      </c>
      <c r="O65" s="60" t="n"/>
      <c r="P65" s="61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  <c r="AG65" s="62" t="n"/>
      <c r="AH65" s="62" t="n"/>
      <c r="AI65" s="62" t="n"/>
      <c r="AJ65" s="62" t="n"/>
      <c r="AK65" s="62" t="n"/>
      <c r="AL65" s="62" t="n"/>
      <c r="AM65" s="62" t="n"/>
      <c r="AN65" s="62" t="n"/>
      <c r="AO65" s="62" t="n"/>
      <c r="AP65" s="62" t="n"/>
      <c r="AQ65" s="62" t="n"/>
      <c r="AR65" s="62" t="n"/>
      <c r="AS65" s="62" t="n"/>
      <c r="AT65" s="62" t="n"/>
      <c r="AU65" s="62" t="n"/>
      <c r="AV65" s="62" t="n"/>
      <c r="AW65" s="62" t="n"/>
      <c r="AX65" s="62" t="n"/>
      <c r="AY65" s="62" t="n"/>
    </row>
    <row r="66">
      <c r="A66" s="38">
        <f>IF(D66="","",COUNTA($D$40:D66))</f>
        <v/>
      </c>
      <c r="B66" s="52" t="n"/>
      <c r="C66" s="65" t="inlineStr">
        <is>
          <t>마케팅2팀</t>
        </is>
      </c>
      <c r="D66" s="52" t="n"/>
      <c r="E66" s="54" t="n"/>
      <c r="F66" s="52" t="n"/>
      <c r="G66" s="55" t="n"/>
      <c r="H66" s="54" t="n"/>
      <c r="I66" s="54" t="n"/>
      <c r="J66" s="54" t="n"/>
      <c r="K66" s="56">
        <f>IF(SUM(U66:AY66)=0,"",SUM(U66:AY66))</f>
        <v/>
      </c>
      <c r="L66" s="57">
        <f>IFERROR(INDEX(U$2:AY$2,MATCH(TRUE,U66:AY66&lt;&gt;"",0)),"")</f>
        <v/>
      </c>
      <c r="M66" s="58">
        <f>IFERROR(LOOKUP(2,1/(U66:AY66&lt;&gt;""),U$2:AY$2),"")</f>
        <v/>
      </c>
      <c r="N66" s="59">
        <f>IF(OR(G66="",M66=""),"",G66-M66)</f>
        <v/>
      </c>
      <c r="O66" s="60" t="n"/>
      <c r="P66" s="61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  <c r="AG66" s="62" t="n"/>
      <c r="AH66" s="62" t="n"/>
      <c r="AI66" s="62" t="n"/>
      <c r="AJ66" s="62" t="n"/>
      <c r="AK66" s="62" t="n"/>
      <c r="AL66" s="62" t="n"/>
      <c r="AM66" s="62" t="n"/>
      <c r="AN66" s="62" t="n"/>
      <c r="AO66" s="62" t="n"/>
      <c r="AP66" s="62" t="n"/>
      <c r="AQ66" s="62" t="n"/>
      <c r="AR66" s="62" t="n"/>
      <c r="AS66" s="62" t="n"/>
      <c r="AT66" s="62" t="n"/>
      <c r="AU66" s="62" t="n"/>
      <c r="AV66" s="62" t="n"/>
      <c r="AW66" s="62" t="n"/>
      <c r="AX66" s="62" t="n"/>
      <c r="AY66" s="62" t="n"/>
    </row>
    <row r="67">
      <c r="A67" s="38">
        <f>IF(D67="","",COUNTA($D$40:D67))</f>
        <v/>
      </c>
      <c r="B67" s="52" t="n"/>
      <c r="C67" s="65" t="inlineStr">
        <is>
          <t>마케팅2팀</t>
        </is>
      </c>
      <c r="D67" s="52" t="n"/>
      <c r="E67" s="54" t="n"/>
      <c r="F67" s="52" t="n"/>
      <c r="G67" s="55" t="n"/>
      <c r="H67" s="54" t="n"/>
      <c r="I67" s="54" t="n"/>
      <c r="J67" s="54" t="n"/>
      <c r="K67" s="56">
        <f>IF(SUM(U67:AY67)=0,"",SUM(U67:AY67))</f>
        <v/>
      </c>
      <c r="L67" s="57">
        <f>IFERROR(INDEX(U$2:AY$2,MATCH(TRUE,U67:AY67&lt;&gt;"",0)),"")</f>
        <v/>
      </c>
      <c r="M67" s="58">
        <f>IFERROR(LOOKUP(2,1/(U67:AY67&lt;&gt;""),U$2:AY$2),"")</f>
        <v/>
      </c>
      <c r="N67" s="59">
        <f>IF(OR(G67="",M67=""),"",G67-M67)</f>
        <v/>
      </c>
      <c r="O67" s="60" t="n"/>
      <c r="P67" s="61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  <c r="AG67" s="62" t="n"/>
      <c r="AH67" s="62" t="n"/>
      <c r="AI67" s="62" t="n"/>
      <c r="AJ67" s="62" t="n"/>
      <c r="AK67" s="62" t="n"/>
      <c r="AL67" s="62" t="n"/>
      <c r="AM67" s="62" t="n"/>
      <c r="AN67" s="62" t="n"/>
      <c r="AO67" s="62" t="n"/>
      <c r="AP67" s="62" t="n"/>
      <c r="AQ67" s="62" t="n"/>
      <c r="AR67" s="62" t="n"/>
      <c r="AS67" s="62" t="n"/>
      <c r="AT67" s="62" t="n"/>
      <c r="AU67" s="62" t="n"/>
      <c r="AV67" s="62" t="n"/>
      <c r="AW67" s="62" t="n"/>
      <c r="AX67" s="62" t="n"/>
      <c r="AY67" s="62" t="n"/>
    </row>
    <row r="68">
      <c r="A68" s="38">
        <f>IF(D68="","",COUNTA($D$40:D68))</f>
        <v/>
      </c>
      <c r="B68" s="52" t="n"/>
      <c r="C68" s="65" t="inlineStr">
        <is>
          <t>마케팅2팀</t>
        </is>
      </c>
      <c r="D68" s="52" t="n"/>
      <c r="E68" s="54" t="n"/>
      <c r="F68" s="52" t="n"/>
      <c r="G68" s="55" t="n"/>
      <c r="H68" s="54" t="n"/>
      <c r="I68" s="54" t="n"/>
      <c r="J68" s="54" t="n"/>
      <c r="K68" s="56">
        <f>IF(SUM(U68:AY68)=0,"",SUM(U68:AY68))</f>
        <v/>
      </c>
      <c r="L68" s="57">
        <f>IFERROR(INDEX(U$2:AY$2,MATCH(TRUE,U68:AY68&lt;&gt;"",0)),"")</f>
        <v/>
      </c>
      <c r="M68" s="58">
        <f>IFERROR(LOOKUP(2,1/(U68:AY68&lt;&gt;""),U$2:AY$2),"")</f>
        <v/>
      </c>
      <c r="N68" s="59">
        <f>IF(OR(G68="",M68=""),"",G68-M68)</f>
        <v/>
      </c>
      <c r="O68" s="60" t="n"/>
      <c r="P68" s="61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  <c r="AG68" s="62" t="n"/>
      <c r="AH68" s="62" t="n"/>
      <c r="AI68" s="62" t="n"/>
      <c r="AJ68" s="62" t="n"/>
      <c r="AK68" s="62" t="n"/>
      <c r="AL68" s="62" t="n"/>
      <c r="AM68" s="62" t="n"/>
      <c r="AN68" s="62" t="n"/>
      <c r="AO68" s="62" t="n"/>
      <c r="AP68" s="62" t="n"/>
      <c r="AQ68" s="62" t="n"/>
      <c r="AR68" s="62" t="n"/>
      <c r="AS68" s="62" t="n"/>
      <c r="AT68" s="62" t="n"/>
      <c r="AU68" s="62" t="n"/>
      <c r="AV68" s="62" t="n"/>
      <c r="AW68" s="62" t="n"/>
      <c r="AX68" s="62" t="n"/>
      <c r="AY68" s="62" t="n"/>
    </row>
    <row r="69">
      <c r="A69" s="38">
        <f>IF(D69="","",COUNTA($D$40:D69))</f>
        <v/>
      </c>
      <c r="B69" s="52" t="n"/>
      <c r="C69" s="65" t="inlineStr">
        <is>
          <t>마케팅2팀</t>
        </is>
      </c>
      <c r="D69" s="52" t="n"/>
      <c r="E69" s="54" t="n"/>
      <c r="F69" s="52" t="n"/>
      <c r="G69" s="55" t="n"/>
      <c r="H69" s="54" t="n"/>
      <c r="I69" s="54" t="n"/>
      <c r="J69" s="54" t="n"/>
      <c r="K69" s="56">
        <f>IF(SUM(U69:AY69)=0,"",SUM(U69:AY69))</f>
        <v/>
      </c>
      <c r="L69" s="57">
        <f>IFERROR(INDEX(U$2:AY$2,MATCH(TRUE,U69:AY69&lt;&gt;"",0)),"")</f>
        <v/>
      </c>
      <c r="M69" s="58">
        <f>IFERROR(LOOKUP(2,1/(U69:AY69&lt;&gt;""),U$2:AY$2),"")</f>
        <v/>
      </c>
      <c r="N69" s="59">
        <f>IF(OR(G69="",M69=""),"",G69-M69)</f>
        <v/>
      </c>
      <c r="O69" s="60" t="n"/>
      <c r="P69" s="61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  <c r="AG69" s="62" t="n"/>
      <c r="AH69" s="62" t="n"/>
      <c r="AI69" s="62" t="n"/>
      <c r="AJ69" s="62" t="n"/>
      <c r="AK69" s="62" t="n"/>
      <c r="AL69" s="62" t="n"/>
      <c r="AM69" s="62" t="n"/>
      <c r="AN69" s="62" t="n"/>
      <c r="AO69" s="62" t="n"/>
      <c r="AP69" s="62" t="n"/>
      <c r="AQ69" s="62" t="n"/>
      <c r="AR69" s="62" t="n"/>
      <c r="AS69" s="62" t="n"/>
      <c r="AT69" s="62" t="n"/>
      <c r="AU69" s="62" t="n"/>
      <c r="AV69" s="62" t="n"/>
      <c r="AW69" s="62" t="n"/>
      <c r="AX69" s="62" t="n"/>
      <c r="AY69" s="62" t="n"/>
    </row>
    <row r="70">
      <c r="A70" s="66" t="inlineStr">
        <is>
          <t>마케팅3팀  (71~100행)</t>
        </is>
      </c>
      <c r="U70" s="67" t="n"/>
      <c r="V70" s="67" t="n"/>
      <c r="W70" s="67" t="n"/>
      <c r="X70" s="67" t="n"/>
      <c r="Y70" s="67" t="n"/>
      <c r="Z70" s="67" t="n"/>
      <c r="AA70" s="67" t="n"/>
      <c r="AB70" s="67" t="n"/>
      <c r="AC70" s="67" t="n"/>
      <c r="AD70" s="67" t="n"/>
      <c r="AE70" s="67" t="n"/>
      <c r="AF70" s="67" t="n"/>
      <c r="AG70" s="67" t="n"/>
      <c r="AH70" s="67" t="n"/>
      <c r="AI70" s="67" t="n"/>
      <c r="AJ70" s="67" t="n"/>
      <c r="AK70" s="67" t="n"/>
      <c r="AL70" s="67" t="n"/>
      <c r="AM70" s="67" t="n"/>
      <c r="AN70" s="67" t="n"/>
      <c r="AO70" s="67" t="n"/>
      <c r="AP70" s="67" t="n"/>
      <c r="AQ70" s="67" t="n"/>
      <c r="AR70" s="67" t="n"/>
      <c r="AS70" s="67" t="n"/>
      <c r="AT70" s="67" t="n"/>
      <c r="AU70" s="67" t="n"/>
      <c r="AV70" s="67" t="n"/>
      <c r="AW70" s="67" t="n"/>
      <c r="AX70" s="67" t="n"/>
      <c r="AY70" s="67" t="n"/>
    </row>
    <row r="71">
      <c r="A71" s="38">
        <f>IF(D71="","",COUNTA($D$71:D71))</f>
        <v/>
      </c>
      <c r="B71" s="52" t="n"/>
      <c r="C71" s="68" t="inlineStr">
        <is>
          <t>마케팅3팀</t>
        </is>
      </c>
      <c r="D71" s="52" t="n"/>
      <c r="E71" s="54" t="n"/>
      <c r="F71" s="52" t="n"/>
      <c r="G71" s="55" t="n"/>
      <c r="H71" s="54" t="n"/>
      <c r="I71" s="54" t="n"/>
      <c r="J71" s="54" t="n"/>
      <c r="K71" s="56">
        <f>IF(SUM(U71:AY71)=0,"",SUM(U71:AY71))</f>
        <v/>
      </c>
      <c r="L71" s="57">
        <f>IFERROR(INDEX(U$2:AY$2,MATCH(TRUE,U71:AY71&lt;&gt;"",0)),"")</f>
        <v/>
      </c>
      <c r="M71" s="58">
        <f>IFERROR(LOOKUP(2,1/(U71:AY71&lt;&gt;""),U$2:AY$2),"")</f>
        <v/>
      </c>
      <c r="N71" s="59">
        <f>IF(OR(G71="",M71=""),"",G71-M71)</f>
        <v/>
      </c>
      <c r="O71" s="60" t="n"/>
      <c r="P71" s="61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  <c r="AG71" s="62" t="n"/>
      <c r="AH71" s="62" t="n"/>
      <c r="AI71" s="62" t="n"/>
      <c r="AJ71" s="62" t="n"/>
      <c r="AK71" s="62" t="n"/>
      <c r="AL71" s="62" t="n"/>
      <c r="AM71" s="62" t="n"/>
      <c r="AN71" s="62" t="n"/>
      <c r="AO71" s="62" t="n"/>
      <c r="AP71" s="62" t="n"/>
      <c r="AQ71" s="62" t="n"/>
      <c r="AR71" s="62" t="n"/>
      <c r="AS71" s="62" t="n"/>
      <c r="AT71" s="62" t="n"/>
      <c r="AU71" s="62" t="n"/>
      <c r="AV71" s="62" t="n"/>
      <c r="AW71" s="62" t="n"/>
      <c r="AX71" s="62" t="n"/>
      <c r="AY71" s="62" t="n"/>
    </row>
    <row r="72">
      <c r="A72" s="38">
        <f>IF(D72="","",COUNTA($D$71:D72))</f>
        <v/>
      </c>
      <c r="B72" s="52" t="n"/>
      <c r="C72" s="68" t="inlineStr">
        <is>
          <t>마케팅3팀</t>
        </is>
      </c>
      <c r="D72" s="52" t="n"/>
      <c r="E72" s="54" t="n"/>
      <c r="F72" s="52" t="n"/>
      <c r="G72" s="55" t="n"/>
      <c r="H72" s="54" t="n"/>
      <c r="I72" s="54" t="n"/>
      <c r="J72" s="54" t="n"/>
      <c r="K72" s="56">
        <f>IF(SUM(U72:AY72)=0,"",SUM(U72:AY72))</f>
        <v/>
      </c>
      <c r="L72" s="57">
        <f>IFERROR(INDEX(U$2:AY$2,MATCH(TRUE,U72:AY72&lt;&gt;"",0)),"")</f>
        <v/>
      </c>
      <c r="M72" s="58">
        <f>IFERROR(LOOKUP(2,1/(U72:AY72&lt;&gt;""),U$2:AY$2),"")</f>
        <v/>
      </c>
      <c r="N72" s="59">
        <f>IF(OR(G72="",M72=""),"",G72-M72)</f>
        <v/>
      </c>
      <c r="O72" s="60" t="n"/>
      <c r="P72" s="61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  <c r="AG72" s="62" t="n"/>
      <c r="AH72" s="62" t="n"/>
      <c r="AI72" s="62" t="n"/>
      <c r="AJ72" s="62" t="n"/>
      <c r="AK72" s="62" t="n"/>
      <c r="AL72" s="62" t="n"/>
      <c r="AM72" s="62" t="n"/>
      <c r="AN72" s="62" t="n"/>
      <c r="AO72" s="62" t="n"/>
      <c r="AP72" s="62" t="n"/>
      <c r="AQ72" s="62" t="n"/>
      <c r="AR72" s="62" t="n"/>
      <c r="AS72" s="62" t="n"/>
      <c r="AT72" s="62" t="n"/>
      <c r="AU72" s="62" t="n"/>
      <c r="AV72" s="62" t="n"/>
      <c r="AW72" s="62" t="n"/>
      <c r="AX72" s="62" t="n"/>
      <c r="AY72" s="62" t="n"/>
    </row>
    <row r="73">
      <c r="A73" s="38">
        <f>IF(D73="","",COUNTA($D$71:D73))</f>
        <v/>
      </c>
      <c r="B73" s="52" t="n"/>
      <c r="C73" s="68" t="inlineStr">
        <is>
          <t>마케팅3팀</t>
        </is>
      </c>
      <c r="D73" s="52" t="n"/>
      <c r="E73" s="54" t="n"/>
      <c r="F73" s="52" t="n"/>
      <c r="G73" s="55" t="n"/>
      <c r="H73" s="54" t="n"/>
      <c r="I73" s="54" t="n"/>
      <c r="J73" s="54" t="n"/>
      <c r="K73" s="56">
        <f>IF(SUM(U73:AY73)=0,"",SUM(U73:AY73))</f>
        <v/>
      </c>
      <c r="L73" s="57">
        <f>IFERROR(INDEX(U$2:AY$2,MATCH(TRUE,U73:AY73&lt;&gt;"",0)),"")</f>
        <v/>
      </c>
      <c r="M73" s="58">
        <f>IFERROR(LOOKUP(2,1/(U73:AY73&lt;&gt;""),U$2:AY$2),"")</f>
        <v/>
      </c>
      <c r="N73" s="59">
        <f>IF(OR(G73="",M73=""),"",G73-M73)</f>
        <v/>
      </c>
      <c r="O73" s="60" t="n"/>
      <c r="P73" s="61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  <c r="AG73" s="62" t="n"/>
      <c r="AH73" s="62" t="n"/>
      <c r="AI73" s="62" t="n"/>
      <c r="AJ73" s="62" t="n"/>
      <c r="AK73" s="62" t="n"/>
      <c r="AL73" s="62" t="n"/>
      <c r="AM73" s="62" t="n"/>
      <c r="AN73" s="62" t="n"/>
      <c r="AO73" s="62" t="n"/>
      <c r="AP73" s="62" t="n"/>
      <c r="AQ73" s="62" t="n"/>
      <c r="AR73" s="62" t="n"/>
      <c r="AS73" s="62" t="n"/>
      <c r="AT73" s="62" t="n"/>
      <c r="AU73" s="62" t="n"/>
      <c r="AV73" s="62" t="n"/>
      <c r="AW73" s="62" t="n"/>
      <c r="AX73" s="62" t="n"/>
      <c r="AY73" s="62" t="n"/>
    </row>
    <row r="74">
      <c r="A74" s="38">
        <f>IF(D74="","",COUNTA($D$71:D74))</f>
        <v/>
      </c>
      <c r="B74" s="52" t="n"/>
      <c r="C74" s="68" t="inlineStr">
        <is>
          <t>마케팅3팀</t>
        </is>
      </c>
      <c r="D74" s="52" t="n"/>
      <c r="E74" s="54" t="n"/>
      <c r="F74" s="52" t="n"/>
      <c r="G74" s="55" t="n"/>
      <c r="H74" s="54" t="n"/>
      <c r="I74" s="54" t="n"/>
      <c r="J74" s="54" t="n"/>
      <c r="K74" s="56">
        <f>IF(SUM(U74:AY74)=0,"",SUM(U74:AY74))</f>
        <v/>
      </c>
      <c r="L74" s="57">
        <f>IFERROR(INDEX(U$2:AY$2,MATCH(TRUE,U74:AY74&lt;&gt;"",0)),"")</f>
        <v/>
      </c>
      <c r="M74" s="58">
        <f>IFERROR(LOOKUP(2,1/(U74:AY74&lt;&gt;""),U$2:AY$2),"")</f>
        <v/>
      </c>
      <c r="N74" s="59">
        <f>IF(OR(G74="",M74=""),"",G74-M74)</f>
        <v/>
      </c>
      <c r="O74" s="60" t="n"/>
      <c r="P74" s="61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  <c r="AG74" s="62" t="n"/>
      <c r="AH74" s="62" t="n"/>
      <c r="AI74" s="62" t="n"/>
      <c r="AJ74" s="62" t="n"/>
      <c r="AK74" s="62" t="n"/>
      <c r="AL74" s="62" t="n"/>
      <c r="AM74" s="62" t="n"/>
      <c r="AN74" s="62" t="n"/>
      <c r="AO74" s="62" t="n"/>
      <c r="AP74" s="62" t="n"/>
      <c r="AQ74" s="62" t="n"/>
      <c r="AR74" s="62" t="n"/>
      <c r="AS74" s="62" t="n"/>
      <c r="AT74" s="62" t="n"/>
      <c r="AU74" s="62" t="n"/>
      <c r="AV74" s="62" t="n"/>
      <c r="AW74" s="62" t="n"/>
      <c r="AX74" s="62" t="n"/>
      <c r="AY74" s="62" t="n"/>
    </row>
    <row r="75">
      <c r="A75" s="38">
        <f>IF(D75="","",COUNTA($D$71:D75))</f>
        <v/>
      </c>
      <c r="B75" s="52" t="n"/>
      <c r="C75" s="68" t="inlineStr">
        <is>
          <t>마케팅3팀</t>
        </is>
      </c>
      <c r="D75" s="52" t="n"/>
      <c r="E75" s="54" t="n"/>
      <c r="F75" s="52" t="n"/>
      <c r="G75" s="55" t="n"/>
      <c r="H75" s="54" t="n"/>
      <c r="I75" s="54" t="n"/>
      <c r="J75" s="54" t="n"/>
      <c r="K75" s="56">
        <f>IF(SUM(U75:AY75)=0,"",SUM(U75:AY75))</f>
        <v/>
      </c>
      <c r="L75" s="57">
        <f>IFERROR(INDEX(U$2:AY$2,MATCH(TRUE,U75:AY75&lt;&gt;"",0)),"")</f>
        <v/>
      </c>
      <c r="M75" s="58">
        <f>IFERROR(LOOKUP(2,1/(U75:AY75&lt;&gt;""),U$2:AY$2),"")</f>
        <v/>
      </c>
      <c r="N75" s="59">
        <f>IF(OR(G75="",M75=""),"",G75-M75)</f>
        <v/>
      </c>
      <c r="O75" s="60" t="n"/>
      <c r="P75" s="61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  <c r="AG75" s="62" t="n"/>
      <c r="AH75" s="62" t="n"/>
      <c r="AI75" s="62" t="n"/>
      <c r="AJ75" s="62" t="n"/>
      <c r="AK75" s="62" t="n"/>
      <c r="AL75" s="62" t="n"/>
      <c r="AM75" s="62" t="n"/>
      <c r="AN75" s="62" t="n"/>
      <c r="AO75" s="62" t="n"/>
      <c r="AP75" s="62" t="n"/>
      <c r="AQ75" s="62" t="n"/>
      <c r="AR75" s="62" t="n"/>
      <c r="AS75" s="62" t="n"/>
      <c r="AT75" s="62" t="n"/>
      <c r="AU75" s="62" t="n"/>
      <c r="AV75" s="62" t="n"/>
      <c r="AW75" s="62" t="n"/>
      <c r="AX75" s="62" t="n"/>
      <c r="AY75" s="62" t="n"/>
    </row>
    <row r="76">
      <c r="A76" s="38">
        <f>IF(D76="","",COUNTA($D$71:D76))</f>
        <v/>
      </c>
      <c r="B76" s="52" t="n"/>
      <c r="C76" s="68" t="inlineStr">
        <is>
          <t>마케팅3팀</t>
        </is>
      </c>
      <c r="D76" s="52" t="n"/>
      <c r="E76" s="54" t="n"/>
      <c r="F76" s="52" t="n"/>
      <c r="G76" s="55" t="n"/>
      <c r="H76" s="54" t="n"/>
      <c r="I76" s="54" t="n"/>
      <c r="J76" s="54" t="n"/>
      <c r="K76" s="56">
        <f>IF(SUM(U76:AY76)=0,"",SUM(U76:AY76))</f>
        <v/>
      </c>
      <c r="L76" s="57">
        <f>IFERROR(INDEX(U$2:AY$2,MATCH(TRUE,U76:AY76&lt;&gt;"",0)),"")</f>
        <v/>
      </c>
      <c r="M76" s="58">
        <f>IFERROR(LOOKUP(2,1/(U76:AY76&lt;&gt;""),U$2:AY$2),"")</f>
        <v/>
      </c>
      <c r="N76" s="59">
        <f>IF(OR(G76="",M76=""),"",G76-M76)</f>
        <v/>
      </c>
      <c r="O76" s="60" t="n"/>
      <c r="P76" s="61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  <c r="AG76" s="62" t="n"/>
      <c r="AH76" s="62" t="n"/>
      <c r="AI76" s="62" t="n"/>
      <c r="AJ76" s="62" t="n"/>
      <c r="AK76" s="62" t="n"/>
      <c r="AL76" s="62" t="n"/>
      <c r="AM76" s="62" t="n"/>
      <c r="AN76" s="62" t="n"/>
      <c r="AO76" s="62" t="n"/>
      <c r="AP76" s="62" t="n"/>
      <c r="AQ76" s="62" t="n"/>
      <c r="AR76" s="62" t="n"/>
      <c r="AS76" s="62" t="n"/>
      <c r="AT76" s="62" t="n"/>
      <c r="AU76" s="62" t="n"/>
      <c r="AV76" s="62" t="n"/>
      <c r="AW76" s="62" t="n"/>
      <c r="AX76" s="62" t="n"/>
      <c r="AY76" s="62" t="n"/>
    </row>
    <row r="77">
      <c r="A77" s="38">
        <f>IF(D77="","",COUNTA($D$71:D77))</f>
        <v/>
      </c>
      <c r="B77" s="52" t="n"/>
      <c r="C77" s="68" t="inlineStr">
        <is>
          <t>마케팅3팀</t>
        </is>
      </c>
      <c r="D77" s="52" t="n"/>
      <c r="E77" s="54" t="n"/>
      <c r="F77" s="52" t="n"/>
      <c r="G77" s="55" t="n"/>
      <c r="H77" s="54" t="n"/>
      <c r="I77" s="54" t="n"/>
      <c r="J77" s="54" t="n"/>
      <c r="K77" s="56">
        <f>IF(SUM(U77:AY77)=0,"",SUM(U77:AY77))</f>
        <v/>
      </c>
      <c r="L77" s="57">
        <f>IFERROR(INDEX(U$2:AY$2,MATCH(TRUE,U77:AY77&lt;&gt;"",0)),"")</f>
        <v/>
      </c>
      <c r="M77" s="58">
        <f>IFERROR(LOOKUP(2,1/(U77:AY77&lt;&gt;""),U$2:AY$2),"")</f>
        <v/>
      </c>
      <c r="N77" s="59">
        <f>IF(OR(G77="",M77=""),"",G77-M77)</f>
        <v/>
      </c>
      <c r="O77" s="60" t="n"/>
      <c r="P77" s="61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  <c r="AG77" s="62" t="n"/>
      <c r="AH77" s="62" t="n"/>
      <c r="AI77" s="62" t="n"/>
      <c r="AJ77" s="62" t="n"/>
      <c r="AK77" s="62" t="n"/>
      <c r="AL77" s="62" t="n"/>
      <c r="AM77" s="62" t="n"/>
      <c r="AN77" s="62" t="n"/>
      <c r="AO77" s="62" t="n"/>
      <c r="AP77" s="62" t="n"/>
      <c r="AQ77" s="62" t="n"/>
      <c r="AR77" s="62" t="n"/>
      <c r="AS77" s="62" t="n"/>
      <c r="AT77" s="62" t="n"/>
      <c r="AU77" s="62" t="n"/>
      <c r="AV77" s="62" t="n"/>
      <c r="AW77" s="62" t="n"/>
      <c r="AX77" s="62" t="n"/>
      <c r="AY77" s="62" t="n"/>
    </row>
    <row r="78">
      <c r="A78" s="38">
        <f>IF(D78="","",COUNTA($D$71:D78))</f>
        <v/>
      </c>
      <c r="B78" s="52" t="n"/>
      <c r="C78" s="68" t="inlineStr">
        <is>
          <t>마케팅3팀</t>
        </is>
      </c>
      <c r="D78" s="52" t="n"/>
      <c r="E78" s="54" t="n"/>
      <c r="F78" s="52" t="n"/>
      <c r="G78" s="55" t="n"/>
      <c r="H78" s="54" t="n"/>
      <c r="I78" s="54" t="n"/>
      <c r="J78" s="54" t="n"/>
      <c r="K78" s="56">
        <f>IF(SUM(U78:AY78)=0,"",SUM(U78:AY78))</f>
        <v/>
      </c>
      <c r="L78" s="57">
        <f>IFERROR(INDEX(U$2:AY$2,MATCH(TRUE,U78:AY78&lt;&gt;"",0)),"")</f>
        <v/>
      </c>
      <c r="M78" s="58">
        <f>IFERROR(LOOKUP(2,1/(U78:AY78&lt;&gt;""),U$2:AY$2),"")</f>
        <v/>
      </c>
      <c r="N78" s="59">
        <f>IF(OR(G78="",M78=""),"",G78-M78)</f>
        <v/>
      </c>
      <c r="O78" s="60" t="n"/>
      <c r="P78" s="61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  <c r="AG78" s="62" t="n"/>
      <c r="AH78" s="62" t="n"/>
      <c r="AI78" s="62" t="n"/>
      <c r="AJ78" s="62" t="n"/>
      <c r="AK78" s="62" t="n"/>
      <c r="AL78" s="62" t="n"/>
      <c r="AM78" s="62" t="n"/>
      <c r="AN78" s="62" t="n"/>
      <c r="AO78" s="62" t="n"/>
      <c r="AP78" s="62" t="n"/>
      <c r="AQ78" s="62" t="n"/>
      <c r="AR78" s="62" t="n"/>
      <c r="AS78" s="62" t="n"/>
      <c r="AT78" s="62" t="n"/>
      <c r="AU78" s="62" t="n"/>
      <c r="AV78" s="62" t="n"/>
      <c r="AW78" s="62" t="n"/>
      <c r="AX78" s="62" t="n"/>
      <c r="AY78" s="62" t="n"/>
    </row>
    <row r="79">
      <c r="A79" s="38">
        <f>IF(D79="","",COUNTA($D$71:D79))</f>
        <v/>
      </c>
      <c r="B79" s="52" t="n"/>
      <c r="C79" s="68" t="inlineStr">
        <is>
          <t>마케팅3팀</t>
        </is>
      </c>
      <c r="D79" s="52" t="n"/>
      <c r="E79" s="54" t="n"/>
      <c r="F79" s="52" t="n"/>
      <c r="G79" s="55" t="n"/>
      <c r="H79" s="54" t="n"/>
      <c r="I79" s="54" t="n"/>
      <c r="J79" s="54" t="n"/>
      <c r="K79" s="56">
        <f>IF(SUM(U79:AY79)=0,"",SUM(U79:AY79))</f>
        <v/>
      </c>
      <c r="L79" s="57">
        <f>IFERROR(INDEX(U$2:AY$2,MATCH(TRUE,U79:AY79&lt;&gt;"",0)),"")</f>
        <v/>
      </c>
      <c r="M79" s="58">
        <f>IFERROR(LOOKUP(2,1/(U79:AY79&lt;&gt;""),U$2:AY$2),"")</f>
        <v/>
      </c>
      <c r="N79" s="59">
        <f>IF(OR(G79="",M79=""),"",G79-M79)</f>
        <v/>
      </c>
      <c r="O79" s="60" t="n"/>
      <c r="P79" s="61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  <c r="AG79" s="62" t="n"/>
      <c r="AH79" s="62" t="n"/>
      <c r="AI79" s="62" t="n"/>
      <c r="AJ79" s="62" t="n"/>
      <c r="AK79" s="62" t="n"/>
      <c r="AL79" s="62" t="n"/>
      <c r="AM79" s="62" t="n"/>
      <c r="AN79" s="62" t="n"/>
      <c r="AO79" s="62" t="n"/>
      <c r="AP79" s="62" t="n"/>
      <c r="AQ79" s="62" t="n"/>
      <c r="AR79" s="62" t="n"/>
      <c r="AS79" s="62" t="n"/>
      <c r="AT79" s="62" t="n"/>
      <c r="AU79" s="62" t="n"/>
      <c r="AV79" s="62" t="n"/>
      <c r="AW79" s="62" t="n"/>
      <c r="AX79" s="62" t="n"/>
      <c r="AY79" s="62" t="n"/>
    </row>
    <row r="80">
      <c r="A80" s="38">
        <f>IF(D80="","",COUNTA($D$71:D80))</f>
        <v/>
      </c>
      <c r="B80" s="52" t="n"/>
      <c r="C80" s="68" t="inlineStr">
        <is>
          <t>마케팅3팀</t>
        </is>
      </c>
      <c r="D80" s="52" t="n"/>
      <c r="E80" s="54" t="n"/>
      <c r="F80" s="52" t="n"/>
      <c r="G80" s="55" t="n"/>
      <c r="H80" s="54" t="n"/>
      <c r="I80" s="54" t="n"/>
      <c r="J80" s="54" t="n"/>
      <c r="K80" s="56">
        <f>IF(SUM(U80:AY80)=0,"",SUM(U80:AY80))</f>
        <v/>
      </c>
      <c r="L80" s="57">
        <f>IFERROR(INDEX(U$2:AY$2,MATCH(TRUE,U80:AY80&lt;&gt;"",0)),"")</f>
        <v/>
      </c>
      <c r="M80" s="58">
        <f>IFERROR(LOOKUP(2,1/(U80:AY80&lt;&gt;""),U$2:AY$2),"")</f>
        <v/>
      </c>
      <c r="N80" s="59">
        <f>IF(OR(G80="",M80=""),"",G80-M80)</f>
        <v/>
      </c>
      <c r="O80" s="60" t="n"/>
      <c r="P80" s="61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  <c r="AG80" s="62" t="n"/>
      <c r="AH80" s="62" t="n"/>
      <c r="AI80" s="62" t="n"/>
      <c r="AJ80" s="62" t="n"/>
      <c r="AK80" s="62" t="n"/>
      <c r="AL80" s="62" t="n"/>
      <c r="AM80" s="62" t="n"/>
      <c r="AN80" s="62" t="n"/>
      <c r="AO80" s="62" t="n"/>
      <c r="AP80" s="62" t="n"/>
      <c r="AQ80" s="62" t="n"/>
      <c r="AR80" s="62" t="n"/>
      <c r="AS80" s="62" t="n"/>
      <c r="AT80" s="62" t="n"/>
      <c r="AU80" s="62" t="n"/>
      <c r="AV80" s="62" t="n"/>
      <c r="AW80" s="62" t="n"/>
      <c r="AX80" s="62" t="n"/>
      <c r="AY80" s="62" t="n"/>
    </row>
    <row r="81">
      <c r="A81" s="38">
        <f>IF(D81="","",COUNTA($D$71:D81))</f>
        <v/>
      </c>
      <c r="B81" s="52" t="n"/>
      <c r="C81" s="68" t="inlineStr">
        <is>
          <t>마케팅3팀</t>
        </is>
      </c>
      <c r="D81" s="52" t="n"/>
      <c r="E81" s="54" t="n"/>
      <c r="F81" s="52" t="n"/>
      <c r="G81" s="55" t="n"/>
      <c r="H81" s="54" t="n"/>
      <c r="I81" s="54" t="n"/>
      <c r="J81" s="54" t="n"/>
      <c r="K81" s="56">
        <f>IF(SUM(U81:AY81)=0,"",SUM(U81:AY81))</f>
        <v/>
      </c>
      <c r="L81" s="57">
        <f>IFERROR(INDEX(U$2:AY$2,MATCH(TRUE,U81:AY81&lt;&gt;"",0)),"")</f>
        <v/>
      </c>
      <c r="M81" s="58">
        <f>IFERROR(LOOKUP(2,1/(U81:AY81&lt;&gt;""),U$2:AY$2),"")</f>
        <v/>
      </c>
      <c r="N81" s="59">
        <f>IF(OR(G81="",M81=""),"",G81-M81)</f>
        <v/>
      </c>
      <c r="O81" s="60" t="n"/>
      <c r="P81" s="61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  <c r="AG81" s="62" t="n"/>
      <c r="AH81" s="62" t="n"/>
      <c r="AI81" s="62" t="n"/>
      <c r="AJ81" s="62" t="n"/>
      <c r="AK81" s="62" t="n"/>
      <c r="AL81" s="62" t="n"/>
      <c r="AM81" s="62" t="n"/>
      <c r="AN81" s="62" t="n"/>
      <c r="AO81" s="62" t="n"/>
      <c r="AP81" s="62" t="n"/>
      <c r="AQ81" s="62" t="n"/>
      <c r="AR81" s="62" t="n"/>
      <c r="AS81" s="62" t="n"/>
      <c r="AT81" s="62" t="n"/>
      <c r="AU81" s="62" t="n"/>
      <c r="AV81" s="62" t="n"/>
      <c r="AW81" s="62" t="n"/>
      <c r="AX81" s="62" t="n"/>
      <c r="AY81" s="62" t="n"/>
    </row>
    <row r="82">
      <c r="A82" s="38">
        <f>IF(D82="","",COUNTA($D$71:D82))</f>
        <v/>
      </c>
      <c r="B82" s="52" t="n"/>
      <c r="C82" s="68" t="inlineStr">
        <is>
          <t>마케팅3팀</t>
        </is>
      </c>
      <c r="D82" s="52" t="n"/>
      <c r="E82" s="54" t="n"/>
      <c r="F82" s="52" t="n"/>
      <c r="G82" s="55" t="n"/>
      <c r="H82" s="54" t="n"/>
      <c r="I82" s="54" t="n"/>
      <c r="J82" s="54" t="n"/>
      <c r="K82" s="56">
        <f>IF(SUM(U82:AY82)=0,"",SUM(U82:AY82))</f>
        <v/>
      </c>
      <c r="L82" s="57">
        <f>IFERROR(INDEX(U$2:AY$2,MATCH(TRUE,U82:AY82&lt;&gt;"",0)),"")</f>
        <v/>
      </c>
      <c r="M82" s="58">
        <f>IFERROR(LOOKUP(2,1/(U82:AY82&lt;&gt;""),U$2:AY$2),"")</f>
        <v/>
      </c>
      <c r="N82" s="59">
        <f>IF(OR(G82="",M82=""),"",G82-M82)</f>
        <v/>
      </c>
      <c r="O82" s="60" t="n"/>
      <c r="P82" s="61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  <c r="AG82" s="62" t="n"/>
      <c r="AH82" s="62" t="n"/>
      <c r="AI82" s="62" t="n"/>
      <c r="AJ82" s="62" t="n"/>
      <c r="AK82" s="62" t="n"/>
      <c r="AL82" s="62" t="n"/>
      <c r="AM82" s="62" t="n"/>
      <c r="AN82" s="62" t="n"/>
      <c r="AO82" s="62" t="n"/>
      <c r="AP82" s="62" t="n"/>
      <c r="AQ82" s="62" t="n"/>
      <c r="AR82" s="62" t="n"/>
      <c r="AS82" s="62" t="n"/>
      <c r="AT82" s="62" t="n"/>
      <c r="AU82" s="62" t="n"/>
      <c r="AV82" s="62" t="n"/>
      <c r="AW82" s="62" t="n"/>
      <c r="AX82" s="62" t="n"/>
      <c r="AY82" s="62" t="n"/>
    </row>
    <row r="83">
      <c r="A83" s="38">
        <f>IF(D83="","",COUNTA($D$71:D83))</f>
        <v/>
      </c>
      <c r="B83" s="52" t="n"/>
      <c r="C83" s="68" t="inlineStr">
        <is>
          <t>마케팅3팀</t>
        </is>
      </c>
      <c r="D83" s="52" t="n"/>
      <c r="E83" s="54" t="n"/>
      <c r="F83" s="52" t="n"/>
      <c r="G83" s="55" t="n"/>
      <c r="H83" s="54" t="n"/>
      <c r="I83" s="54" t="n"/>
      <c r="J83" s="54" t="n"/>
      <c r="K83" s="56">
        <f>IF(SUM(U83:AY83)=0,"",SUM(U83:AY83))</f>
        <v/>
      </c>
      <c r="L83" s="57">
        <f>IFERROR(INDEX(U$2:AY$2,MATCH(TRUE,U83:AY83&lt;&gt;"",0)),"")</f>
        <v/>
      </c>
      <c r="M83" s="58">
        <f>IFERROR(LOOKUP(2,1/(U83:AY83&lt;&gt;""),U$2:AY$2),"")</f>
        <v/>
      </c>
      <c r="N83" s="59">
        <f>IF(OR(G83="",M83=""),"",G83-M83)</f>
        <v/>
      </c>
      <c r="O83" s="60" t="n"/>
      <c r="P83" s="61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  <c r="AG83" s="62" t="n"/>
      <c r="AH83" s="62" t="n"/>
      <c r="AI83" s="62" t="n"/>
      <c r="AJ83" s="62" t="n"/>
      <c r="AK83" s="62" t="n"/>
      <c r="AL83" s="62" t="n"/>
      <c r="AM83" s="62" t="n"/>
      <c r="AN83" s="62" t="n"/>
      <c r="AO83" s="62" t="n"/>
      <c r="AP83" s="62" t="n"/>
      <c r="AQ83" s="62" t="n"/>
      <c r="AR83" s="62" t="n"/>
      <c r="AS83" s="62" t="n"/>
      <c r="AT83" s="62" t="n"/>
      <c r="AU83" s="62" t="n"/>
      <c r="AV83" s="62" t="n"/>
      <c r="AW83" s="62" t="n"/>
      <c r="AX83" s="62" t="n"/>
      <c r="AY83" s="62" t="n"/>
    </row>
    <row r="84">
      <c r="A84" s="38">
        <f>IF(D84="","",COUNTA($D$71:D84))</f>
        <v/>
      </c>
      <c r="B84" s="52" t="n"/>
      <c r="C84" s="68" t="inlineStr">
        <is>
          <t>마케팅3팀</t>
        </is>
      </c>
      <c r="D84" s="52" t="n"/>
      <c r="E84" s="54" t="n"/>
      <c r="F84" s="52" t="n"/>
      <c r="G84" s="55" t="n"/>
      <c r="H84" s="54" t="n"/>
      <c r="I84" s="54" t="n"/>
      <c r="J84" s="54" t="n"/>
      <c r="K84" s="56">
        <f>IF(SUM(U84:AY84)=0,"",SUM(U84:AY84))</f>
        <v/>
      </c>
      <c r="L84" s="57">
        <f>IFERROR(INDEX(U$2:AY$2,MATCH(TRUE,U84:AY84&lt;&gt;"",0)),"")</f>
        <v/>
      </c>
      <c r="M84" s="58">
        <f>IFERROR(LOOKUP(2,1/(U84:AY84&lt;&gt;""),U$2:AY$2),"")</f>
        <v/>
      </c>
      <c r="N84" s="59">
        <f>IF(OR(G84="",M84=""),"",G84-M84)</f>
        <v/>
      </c>
      <c r="O84" s="60" t="n"/>
      <c r="P84" s="61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  <c r="AG84" s="62" t="n"/>
      <c r="AH84" s="62" t="n"/>
      <c r="AI84" s="62" t="n"/>
      <c r="AJ84" s="62" t="n"/>
      <c r="AK84" s="62" t="n"/>
      <c r="AL84" s="62" t="n"/>
      <c r="AM84" s="62" t="n"/>
      <c r="AN84" s="62" t="n"/>
      <c r="AO84" s="62" t="n"/>
      <c r="AP84" s="62" t="n"/>
      <c r="AQ84" s="62" t="n"/>
      <c r="AR84" s="62" t="n"/>
      <c r="AS84" s="62" t="n"/>
      <c r="AT84" s="62" t="n"/>
      <c r="AU84" s="62" t="n"/>
      <c r="AV84" s="62" t="n"/>
      <c r="AW84" s="62" t="n"/>
      <c r="AX84" s="62" t="n"/>
      <c r="AY84" s="62" t="n"/>
    </row>
    <row r="85">
      <c r="A85" s="38">
        <f>IF(D85="","",COUNTA($D$71:D85))</f>
        <v/>
      </c>
      <c r="B85" s="52" t="n"/>
      <c r="C85" s="68" t="inlineStr">
        <is>
          <t>마케팅3팀</t>
        </is>
      </c>
      <c r="D85" s="52" t="n"/>
      <c r="E85" s="54" t="n"/>
      <c r="F85" s="52" t="n"/>
      <c r="G85" s="55" t="n"/>
      <c r="H85" s="54" t="n"/>
      <c r="I85" s="54" t="n"/>
      <c r="J85" s="54" t="n"/>
      <c r="K85" s="56">
        <f>IF(SUM(U85:AY85)=0,"",SUM(U85:AY85))</f>
        <v/>
      </c>
      <c r="L85" s="57">
        <f>IFERROR(INDEX(U$2:AY$2,MATCH(TRUE,U85:AY85&lt;&gt;"",0)),"")</f>
        <v/>
      </c>
      <c r="M85" s="58">
        <f>IFERROR(LOOKUP(2,1/(U85:AY85&lt;&gt;""),U$2:AY$2),"")</f>
        <v/>
      </c>
      <c r="N85" s="59">
        <f>IF(OR(G85="",M85=""),"",G85-M85)</f>
        <v/>
      </c>
      <c r="O85" s="60" t="n"/>
      <c r="P85" s="61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  <c r="AG85" s="62" t="n"/>
      <c r="AH85" s="62" t="n"/>
      <c r="AI85" s="62" t="n"/>
      <c r="AJ85" s="62" t="n"/>
      <c r="AK85" s="62" t="n"/>
      <c r="AL85" s="62" t="n"/>
      <c r="AM85" s="62" t="n"/>
      <c r="AN85" s="62" t="n"/>
      <c r="AO85" s="62" t="n"/>
      <c r="AP85" s="62" t="n"/>
      <c r="AQ85" s="62" t="n"/>
      <c r="AR85" s="62" t="n"/>
      <c r="AS85" s="62" t="n"/>
      <c r="AT85" s="62" t="n"/>
      <c r="AU85" s="62" t="n"/>
      <c r="AV85" s="62" t="n"/>
      <c r="AW85" s="62" t="n"/>
      <c r="AX85" s="62" t="n"/>
      <c r="AY85" s="62" t="n"/>
    </row>
    <row r="86">
      <c r="A86" s="38">
        <f>IF(D86="","",COUNTA($D$71:D86))</f>
        <v/>
      </c>
      <c r="B86" s="52" t="n"/>
      <c r="C86" s="68" t="inlineStr">
        <is>
          <t>마케팅3팀</t>
        </is>
      </c>
      <c r="D86" s="52" t="n"/>
      <c r="E86" s="54" t="n"/>
      <c r="F86" s="52" t="n"/>
      <c r="G86" s="55" t="n"/>
      <c r="H86" s="54" t="n"/>
      <c r="I86" s="54" t="n"/>
      <c r="J86" s="54" t="n"/>
      <c r="K86" s="56">
        <f>IF(SUM(U86:AY86)=0,"",SUM(U86:AY86))</f>
        <v/>
      </c>
      <c r="L86" s="57">
        <f>IFERROR(INDEX(U$2:AY$2,MATCH(TRUE,U86:AY86&lt;&gt;"",0)),"")</f>
        <v/>
      </c>
      <c r="M86" s="58">
        <f>IFERROR(LOOKUP(2,1/(U86:AY86&lt;&gt;""),U$2:AY$2),"")</f>
        <v/>
      </c>
      <c r="N86" s="59">
        <f>IF(OR(G86="",M86=""),"",G86-M86)</f>
        <v/>
      </c>
      <c r="O86" s="60" t="n"/>
      <c r="P86" s="61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  <c r="AG86" s="62" t="n"/>
      <c r="AH86" s="62" t="n"/>
      <c r="AI86" s="62" t="n"/>
      <c r="AJ86" s="62" t="n"/>
      <c r="AK86" s="62" t="n"/>
      <c r="AL86" s="62" t="n"/>
      <c r="AM86" s="62" t="n"/>
      <c r="AN86" s="62" t="n"/>
      <c r="AO86" s="62" t="n"/>
      <c r="AP86" s="62" t="n"/>
      <c r="AQ86" s="62" t="n"/>
      <c r="AR86" s="62" t="n"/>
      <c r="AS86" s="62" t="n"/>
      <c r="AT86" s="62" t="n"/>
      <c r="AU86" s="62" t="n"/>
      <c r="AV86" s="62" t="n"/>
      <c r="AW86" s="62" t="n"/>
      <c r="AX86" s="62" t="n"/>
      <c r="AY86" s="62" t="n"/>
    </row>
    <row r="87">
      <c r="A87" s="38">
        <f>IF(D87="","",COUNTA($D$71:D87))</f>
        <v/>
      </c>
      <c r="B87" s="52" t="n"/>
      <c r="C87" s="68" t="inlineStr">
        <is>
          <t>마케팅3팀</t>
        </is>
      </c>
      <c r="D87" s="52" t="n"/>
      <c r="E87" s="54" t="n"/>
      <c r="F87" s="52" t="n"/>
      <c r="G87" s="55" t="n"/>
      <c r="H87" s="54" t="n"/>
      <c r="I87" s="54" t="n"/>
      <c r="J87" s="54" t="n"/>
      <c r="K87" s="56">
        <f>IF(SUM(U87:AY87)=0,"",SUM(U87:AY87))</f>
        <v/>
      </c>
      <c r="L87" s="57">
        <f>IFERROR(INDEX(U$2:AY$2,MATCH(TRUE,U87:AY87&lt;&gt;"",0)),"")</f>
        <v/>
      </c>
      <c r="M87" s="58">
        <f>IFERROR(LOOKUP(2,1/(U87:AY87&lt;&gt;""),U$2:AY$2),"")</f>
        <v/>
      </c>
      <c r="N87" s="59">
        <f>IF(OR(G87="",M87=""),"",G87-M87)</f>
        <v/>
      </c>
      <c r="O87" s="60" t="n"/>
      <c r="P87" s="61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  <c r="AG87" s="62" t="n"/>
      <c r="AH87" s="62" t="n"/>
      <c r="AI87" s="62" t="n"/>
      <c r="AJ87" s="62" t="n"/>
      <c r="AK87" s="62" t="n"/>
      <c r="AL87" s="62" t="n"/>
      <c r="AM87" s="62" t="n"/>
      <c r="AN87" s="62" t="n"/>
      <c r="AO87" s="62" t="n"/>
      <c r="AP87" s="62" t="n"/>
      <c r="AQ87" s="62" t="n"/>
      <c r="AR87" s="62" t="n"/>
      <c r="AS87" s="62" t="n"/>
      <c r="AT87" s="62" t="n"/>
      <c r="AU87" s="62" t="n"/>
      <c r="AV87" s="62" t="n"/>
      <c r="AW87" s="62" t="n"/>
      <c r="AX87" s="62" t="n"/>
      <c r="AY87" s="62" t="n"/>
    </row>
    <row r="88">
      <c r="A88" s="38">
        <f>IF(D88="","",COUNTA($D$71:D88))</f>
        <v/>
      </c>
      <c r="B88" s="52" t="n"/>
      <c r="C88" s="68" t="inlineStr">
        <is>
          <t>마케팅3팀</t>
        </is>
      </c>
      <c r="D88" s="52" t="n"/>
      <c r="E88" s="54" t="n"/>
      <c r="F88" s="52" t="n"/>
      <c r="G88" s="55" t="n"/>
      <c r="H88" s="54" t="n"/>
      <c r="I88" s="54" t="n"/>
      <c r="J88" s="54" t="n"/>
      <c r="K88" s="56">
        <f>IF(SUM(U88:AY88)=0,"",SUM(U88:AY88))</f>
        <v/>
      </c>
      <c r="L88" s="57">
        <f>IFERROR(INDEX(U$2:AY$2,MATCH(TRUE,U88:AY88&lt;&gt;"",0)),"")</f>
        <v/>
      </c>
      <c r="M88" s="58">
        <f>IFERROR(LOOKUP(2,1/(U88:AY88&lt;&gt;""),U$2:AY$2),"")</f>
        <v/>
      </c>
      <c r="N88" s="59">
        <f>IF(OR(G88="",M88=""),"",G88-M88)</f>
        <v/>
      </c>
      <c r="O88" s="60" t="n"/>
      <c r="P88" s="61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  <c r="AG88" s="62" t="n"/>
      <c r="AH88" s="62" t="n"/>
      <c r="AI88" s="62" t="n"/>
      <c r="AJ88" s="62" t="n"/>
      <c r="AK88" s="62" t="n"/>
      <c r="AL88" s="62" t="n"/>
      <c r="AM88" s="62" t="n"/>
      <c r="AN88" s="62" t="n"/>
      <c r="AO88" s="62" t="n"/>
      <c r="AP88" s="62" t="n"/>
      <c r="AQ88" s="62" t="n"/>
      <c r="AR88" s="62" t="n"/>
      <c r="AS88" s="62" t="n"/>
      <c r="AT88" s="62" t="n"/>
      <c r="AU88" s="62" t="n"/>
      <c r="AV88" s="62" t="n"/>
      <c r="AW88" s="62" t="n"/>
      <c r="AX88" s="62" t="n"/>
      <c r="AY88" s="62" t="n"/>
    </row>
    <row r="89">
      <c r="A89" s="38">
        <f>IF(D89="","",COUNTA($D$71:D89))</f>
        <v/>
      </c>
      <c r="B89" s="52" t="n"/>
      <c r="C89" s="68" t="inlineStr">
        <is>
          <t>마케팅3팀</t>
        </is>
      </c>
      <c r="D89" s="52" t="n"/>
      <c r="E89" s="54" t="n"/>
      <c r="F89" s="52" t="n"/>
      <c r="G89" s="55" t="n"/>
      <c r="H89" s="54" t="n"/>
      <c r="I89" s="54" t="n"/>
      <c r="J89" s="54" t="n"/>
      <c r="K89" s="56">
        <f>IF(SUM(U89:AY89)=0,"",SUM(U89:AY89))</f>
        <v/>
      </c>
      <c r="L89" s="57">
        <f>IFERROR(INDEX(U$2:AY$2,MATCH(TRUE,U89:AY89&lt;&gt;"",0)),"")</f>
        <v/>
      </c>
      <c r="M89" s="58">
        <f>IFERROR(LOOKUP(2,1/(U89:AY89&lt;&gt;""),U$2:AY$2),"")</f>
        <v/>
      </c>
      <c r="N89" s="59">
        <f>IF(OR(G89="",M89=""),"",G89-M89)</f>
        <v/>
      </c>
      <c r="O89" s="60" t="n"/>
      <c r="P89" s="61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  <c r="AG89" s="62" t="n"/>
      <c r="AH89" s="62" t="n"/>
      <c r="AI89" s="62" t="n"/>
      <c r="AJ89" s="62" t="n"/>
      <c r="AK89" s="62" t="n"/>
      <c r="AL89" s="62" t="n"/>
      <c r="AM89" s="62" t="n"/>
      <c r="AN89" s="62" t="n"/>
      <c r="AO89" s="62" t="n"/>
      <c r="AP89" s="62" t="n"/>
      <c r="AQ89" s="62" t="n"/>
      <c r="AR89" s="62" t="n"/>
      <c r="AS89" s="62" t="n"/>
      <c r="AT89" s="62" t="n"/>
      <c r="AU89" s="62" t="n"/>
      <c r="AV89" s="62" t="n"/>
      <c r="AW89" s="62" t="n"/>
      <c r="AX89" s="62" t="n"/>
      <c r="AY89" s="62" t="n"/>
    </row>
    <row r="90">
      <c r="A90" s="38">
        <f>IF(D90="","",COUNTA($D$71:D90))</f>
        <v/>
      </c>
      <c r="B90" s="52" t="n"/>
      <c r="C90" s="68" t="inlineStr">
        <is>
          <t>마케팅3팀</t>
        </is>
      </c>
      <c r="D90" s="52" t="n"/>
      <c r="E90" s="54" t="n"/>
      <c r="F90" s="52" t="n"/>
      <c r="G90" s="55" t="n"/>
      <c r="H90" s="54" t="n"/>
      <c r="I90" s="54" t="n"/>
      <c r="J90" s="54" t="n"/>
      <c r="K90" s="56">
        <f>IF(SUM(U90:AY90)=0,"",SUM(U90:AY90))</f>
        <v/>
      </c>
      <c r="L90" s="57">
        <f>IFERROR(INDEX(U$2:AY$2,MATCH(TRUE,U90:AY90&lt;&gt;"",0)),"")</f>
        <v/>
      </c>
      <c r="M90" s="58">
        <f>IFERROR(LOOKUP(2,1/(U90:AY90&lt;&gt;""),U$2:AY$2),"")</f>
        <v/>
      </c>
      <c r="N90" s="59">
        <f>IF(OR(G90="",M90=""),"",G90-M90)</f>
        <v/>
      </c>
      <c r="O90" s="60" t="n"/>
      <c r="P90" s="61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  <c r="AG90" s="62" t="n"/>
      <c r="AH90" s="62" t="n"/>
      <c r="AI90" s="62" t="n"/>
      <c r="AJ90" s="62" t="n"/>
      <c r="AK90" s="62" t="n"/>
      <c r="AL90" s="62" t="n"/>
      <c r="AM90" s="62" t="n"/>
      <c r="AN90" s="62" t="n"/>
      <c r="AO90" s="62" t="n"/>
      <c r="AP90" s="62" t="n"/>
      <c r="AQ90" s="62" t="n"/>
      <c r="AR90" s="62" t="n"/>
      <c r="AS90" s="62" t="n"/>
      <c r="AT90" s="62" t="n"/>
      <c r="AU90" s="62" t="n"/>
      <c r="AV90" s="62" t="n"/>
      <c r="AW90" s="62" t="n"/>
      <c r="AX90" s="62" t="n"/>
      <c r="AY90" s="62" t="n"/>
    </row>
    <row r="91">
      <c r="A91" s="38">
        <f>IF(D91="","",COUNTA($D$71:D91))</f>
        <v/>
      </c>
      <c r="B91" s="52" t="n"/>
      <c r="C91" s="68" t="inlineStr">
        <is>
          <t>마케팅3팀</t>
        </is>
      </c>
      <c r="D91" s="52" t="n"/>
      <c r="E91" s="54" t="n"/>
      <c r="F91" s="52" t="n"/>
      <c r="G91" s="55" t="n"/>
      <c r="H91" s="54" t="n"/>
      <c r="I91" s="54" t="n"/>
      <c r="J91" s="54" t="n"/>
      <c r="K91" s="56">
        <f>IF(SUM(U91:AY91)=0,"",SUM(U91:AY91))</f>
        <v/>
      </c>
      <c r="L91" s="57">
        <f>IFERROR(INDEX(U$2:AY$2,MATCH(TRUE,U91:AY91&lt;&gt;"",0)),"")</f>
        <v/>
      </c>
      <c r="M91" s="58">
        <f>IFERROR(LOOKUP(2,1/(U91:AY91&lt;&gt;""),U$2:AY$2),"")</f>
        <v/>
      </c>
      <c r="N91" s="59">
        <f>IF(OR(G91="",M91=""),"",G91-M91)</f>
        <v/>
      </c>
      <c r="O91" s="60" t="n"/>
      <c r="P91" s="61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  <c r="AG91" s="62" t="n"/>
      <c r="AH91" s="62" t="n"/>
      <c r="AI91" s="62" t="n"/>
      <c r="AJ91" s="62" t="n"/>
      <c r="AK91" s="62" t="n"/>
      <c r="AL91" s="62" t="n"/>
      <c r="AM91" s="62" t="n"/>
      <c r="AN91" s="62" t="n"/>
      <c r="AO91" s="62" t="n"/>
      <c r="AP91" s="62" t="n"/>
      <c r="AQ91" s="62" t="n"/>
      <c r="AR91" s="62" t="n"/>
      <c r="AS91" s="62" t="n"/>
      <c r="AT91" s="62" t="n"/>
      <c r="AU91" s="62" t="n"/>
      <c r="AV91" s="62" t="n"/>
      <c r="AW91" s="62" t="n"/>
      <c r="AX91" s="62" t="n"/>
      <c r="AY91" s="62" t="n"/>
    </row>
    <row r="92">
      <c r="A92" s="38">
        <f>IF(D92="","",COUNTA($D$71:D92))</f>
        <v/>
      </c>
      <c r="B92" s="52" t="n"/>
      <c r="C92" s="68" t="inlineStr">
        <is>
          <t>마케팅3팀</t>
        </is>
      </c>
      <c r="D92" s="52" t="n"/>
      <c r="E92" s="54" t="n"/>
      <c r="F92" s="52" t="n"/>
      <c r="G92" s="55" t="n"/>
      <c r="H92" s="54" t="n"/>
      <c r="I92" s="54" t="n"/>
      <c r="J92" s="54" t="n"/>
      <c r="K92" s="56">
        <f>IF(SUM(U92:AY92)=0,"",SUM(U92:AY92))</f>
        <v/>
      </c>
      <c r="L92" s="57">
        <f>IFERROR(INDEX(U$2:AY$2,MATCH(TRUE,U92:AY92&lt;&gt;"",0)),"")</f>
        <v/>
      </c>
      <c r="M92" s="58">
        <f>IFERROR(LOOKUP(2,1/(U92:AY92&lt;&gt;""),U$2:AY$2),"")</f>
        <v/>
      </c>
      <c r="N92" s="59">
        <f>IF(OR(G92="",M92=""),"",G92-M92)</f>
        <v/>
      </c>
      <c r="O92" s="60" t="n"/>
      <c r="P92" s="61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  <c r="AG92" s="62" t="n"/>
      <c r="AH92" s="62" t="n"/>
      <c r="AI92" s="62" t="n"/>
      <c r="AJ92" s="62" t="n"/>
      <c r="AK92" s="62" t="n"/>
      <c r="AL92" s="62" t="n"/>
      <c r="AM92" s="62" t="n"/>
      <c r="AN92" s="62" t="n"/>
      <c r="AO92" s="62" t="n"/>
      <c r="AP92" s="62" t="n"/>
      <c r="AQ92" s="62" t="n"/>
      <c r="AR92" s="62" t="n"/>
      <c r="AS92" s="62" t="n"/>
      <c r="AT92" s="62" t="n"/>
      <c r="AU92" s="62" t="n"/>
      <c r="AV92" s="62" t="n"/>
      <c r="AW92" s="62" t="n"/>
      <c r="AX92" s="62" t="n"/>
      <c r="AY92" s="62" t="n"/>
    </row>
    <row r="93">
      <c r="A93" s="38">
        <f>IF(D93="","",COUNTA($D$71:D93))</f>
        <v/>
      </c>
      <c r="B93" s="52" t="n"/>
      <c r="C93" s="68" t="inlineStr">
        <is>
          <t>마케팅3팀</t>
        </is>
      </c>
      <c r="D93" s="52" t="n"/>
      <c r="E93" s="54" t="n"/>
      <c r="F93" s="52" t="n"/>
      <c r="G93" s="55" t="n"/>
      <c r="H93" s="54" t="n"/>
      <c r="I93" s="54" t="n"/>
      <c r="J93" s="54" t="n"/>
      <c r="K93" s="56">
        <f>IF(SUM(U93:AY93)=0,"",SUM(U93:AY93))</f>
        <v/>
      </c>
      <c r="L93" s="57">
        <f>IFERROR(INDEX(U$2:AY$2,MATCH(TRUE,U93:AY93&lt;&gt;"",0)),"")</f>
        <v/>
      </c>
      <c r="M93" s="58">
        <f>IFERROR(LOOKUP(2,1/(U93:AY93&lt;&gt;""),U$2:AY$2),"")</f>
        <v/>
      </c>
      <c r="N93" s="59">
        <f>IF(OR(G93="",M93=""),"",G93-M93)</f>
        <v/>
      </c>
      <c r="O93" s="60" t="n"/>
      <c r="P93" s="61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  <c r="AG93" s="62" t="n"/>
      <c r="AH93" s="62" t="n"/>
      <c r="AI93" s="62" t="n"/>
      <c r="AJ93" s="62" t="n"/>
      <c r="AK93" s="62" t="n"/>
      <c r="AL93" s="62" t="n"/>
      <c r="AM93" s="62" t="n"/>
      <c r="AN93" s="62" t="n"/>
      <c r="AO93" s="62" t="n"/>
      <c r="AP93" s="62" t="n"/>
      <c r="AQ93" s="62" t="n"/>
      <c r="AR93" s="62" t="n"/>
      <c r="AS93" s="62" t="n"/>
      <c r="AT93" s="62" t="n"/>
      <c r="AU93" s="62" t="n"/>
      <c r="AV93" s="62" t="n"/>
      <c r="AW93" s="62" t="n"/>
      <c r="AX93" s="62" t="n"/>
      <c r="AY93" s="62" t="n"/>
    </row>
    <row r="94">
      <c r="A94" s="38">
        <f>IF(D94="","",COUNTA($D$71:D94))</f>
        <v/>
      </c>
      <c r="B94" s="52" t="n"/>
      <c r="C94" s="68" t="inlineStr">
        <is>
          <t>마케팅3팀</t>
        </is>
      </c>
      <c r="D94" s="52" t="n"/>
      <c r="E94" s="54" t="n"/>
      <c r="F94" s="52" t="n"/>
      <c r="G94" s="55" t="n"/>
      <c r="H94" s="54" t="n"/>
      <c r="I94" s="54" t="n"/>
      <c r="J94" s="54" t="n"/>
      <c r="K94" s="56">
        <f>IF(SUM(U94:AY94)=0,"",SUM(U94:AY94))</f>
        <v/>
      </c>
      <c r="L94" s="57">
        <f>IFERROR(INDEX(U$2:AY$2,MATCH(TRUE,U94:AY94&lt;&gt;"",0)),"")</f>
        <v/>
      </c>
      <c r="M94" s="58">
        <f>IFERROR(LOOKUP(2,1/(U94:AY94&lt;&gt;""),U$2:AY$2),"")</f>
        <v/>
      </c>
      <c r="N94" s="59">
        <f>IF(OR(G94="",M94=""),"",G94-M94)</f>
        <v/>
      </c>
      <c r="O94" s="60" t="n"/>
      <c r="P94" s="61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  <c r="AG94" s="62" t="n"/>
      <c r="AH94" s="62" t="n"/>
      <c r="AI94" s="62" t="n"/>
      <c r="AJ94" s="62" t="n"/>
      <c r="AK94" s="62" t="n"/>
      <c r="AL94" s="62" t="n"/>
      <c r="AM94" s="62" t="n"/>
      <c r="AN94" s="62" t="n"/>
      <c r="AO94" s="62" t="n"/>
      <c r="AP94" s="62" t="n"/>
      <c r="AQ94" s="62" t="n"/>
      <c r="AR94" s="62" t="n"/>
      <c r="AS94" s="62" t="n"/>
      <c r="AT94" s="62" t="n"/>
      <c r="AU94" s="62" t="n"/>
      <c r="AV94" s="62" t="n"/>
      <c r="AW94" s="62" t="n"/>
      <c r="AX94" s="62" t="n"/>
      <c r="AY94" s="62" t="n"/>
    </row>
    <row r="95">
      <c r="A95" s="38">
        <f>IF(D95="","",COUNTA($D$71:D95))</f>
        <v/>
      </c>
      <c r="B95" s="52" t="n"/>
      <c r="C95" s="68" t="inlineStr">
        <is>
          <t>마케팅3팀</t>
        </is>
      </c>
      <c r="D95" s="52" t="n"/>
      <c r="E95" s="54" t="n"/>
      <c r="F95" s="52" t="n"/>
      <c r="G95" s="55" t="n"/>
      <c r="H95" s="54" t="n"/>
      <c r="I95" s="54" t="n"/>
      <c r="J95" s="54" t="n"/>
      <c r="K95" s="56">
        <f>IF(SUM(U95:AY95)=0,"",SUM(U95:AY95))</f>
        <v/>
      </c>
      <c r="L95" s="57">
        <f>IFERROR(INDEX(U$2:AY$2,MATCH(TRUE,U95:AY95&lt;&gt;"",0)),"")</f>
        <v/>
      </c>
      <c r="M95" s="58">
        <f>IFERROR(LOOKUP(2,1/(U95:AY95&lt;&gt;""),U$2:AY$2),"")</f>
        <v/>
      </c>
      <c r="N95" s="59">
        <f>IF(OR(G95="",M95=""),"",G95-M95)</f>
        <v/>
      </c>
      <c r="O95" s="60" t="n"/>
      <c r="P95" s="61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  <c r="AG95" s="62" t="n"/>
      <c r="AH95" s="62" t="n"/>
      <c r="AI95" s="62" t="n"/>
      <c r="AJ95" s="62" t="n"/>
      <c r="AK95" s="62" t="n"/>
      <c r="AL95" s="62" t="n"/>
      <c r="AM95" s="62" t="n"/>
      <c r="AN95" s="62" t="n"/>
      <c r="AO95" s="62" t="n"/>
      <c r="AP95" s="62" t="n"/>
      <c r="AQ95" s="62" t="n"/>
      <c r="AR95" s="62" t="n"/>
      <c r="AS95" s="62" t="n"/>
      <c r="AT95" s="62" t="n"/>
      <c r="AU95" s="62" t="n"/>
      <c r="AV95" s="62" t="n"/>
      <c r="AW95" s="62" t="n"/>
      <c r="AX95" s="62" t="n"/>
      <c r="AY95" s="62" t="n"/>
    </row>
    <row r="96">
      <c r="A96" s="38">
        <f>IF(D96="","",COUNTA($D$71:D96))</f>
        <v/>
      </c>
      <c r="B96" s="52" t="n"/>
      <c r="C96" s="68" t="inlineStr">
        <is>
          <t>마케팅3팀</t>
        </is>
      </c>
      <c r="D96" s="52" t="n"/>
      <c r="E96" s="54" t="n"/>
      <c r="F96" s="52" t="n"/>
      <c r="G96" s="55" t="n"/>
      <c r="H96" s="54" t="n"/>
      <c r="I96" s="54" t="n"/>
      <c r="J96" s="54" t="n"/>
      <c r="K96" s="56">
        <f>IF(SUM(U96:AY96)=0,"",SUM(U96:AY96))</f>
        <v/>
      </c>
      <c r="L96" s="57">
        <f>IFERROR(INDEX(U$2:AY$2,MATCH(TRUE,U96:AY96&lt;&gt;"",0)),"")</f>
        <v/>
      </c>
      <c r="M96" s="58">
        <f>IFERROR(LOOKUP(2,1/(U96:AY96&lt;&gt;""),U$2:AY$2),"")</f>
        <v/>
      </c>
      <c r="N96" s="59">
        <f>IF(OR(G96="",M96=""),"",G96-M96)</f>
        <v/>
      </c>
      <c r="O96" s="60" t="n"/>
      <c r="P96" s="61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  <c r="AG96" s="62" t="n"/>
      <c r="AH96" s="62" t="n"/>
      <c r="AI96" s="62" t="n"/>
      <c r="AJ96" s="62" t="n"/>
      <c r="AK96" s="62" t="n"/>
      <c r="AL96" s="62" t="n"/>
      <c r="AM96" s="62" t="n"/>
      <c r="AN96" s="62" t="n"/>
      <c r="AO96" s="62" t="n"/>
      <c r="AP96" s="62" t="n"/>
      <c r="AQ96" s="62" t="n"/>
      <c r="AR96" s="62" t="n"/>
      <c r="AS96" s="62" t="n"/>
      <c r="AT96" s="62" t="n"/>
      <c r="AU96" s="62" t="n"/>
      <c r="AV96" s="62" t="n"/>
      <c r="AW96" s="62" t="n"/>
      <c r="AX96" s="62" t="n"/>
      <c r="AY96" s="62" t="n"/>
    </row>
    <row r="97">
      <c r="A97" s="38">
        <f>IF(D97="","",COUNTA($D$71:D97))</f>
        <v/>
      </c>
      <c r="B97" s="52" t="n"/>
      <c r="C97" s="68" t="inlineStr">
        <is>
          <t>마케팅3팀</t>
        </is>
      </c>
      <c r="D97" s="52" t="n"/>
      <c r="E97" s="54" t="n"/>
      <c r="F97" s="52" t="n"/>
      <c r="G97" s="55" t="n"/>
      <c r="H97" s="54" t="n"/>
      <c r="I97" s="54" t="n"/>
      <c r="J97" s="54" t="n"/>
      <c r="K97" s="56">
        <f>IF(SUM(U97:AY97)=0,"",SUM(U97:AY97))</f>
        <v/>
      </c>
      <c r="L97" s="57">
        <f>IFERROR(INDEX(U$2:AY$2,MATCH(TRUE,U97:AY97&lt;&gt;"",0)),"")</f>
        <v/>
      </c>
      <c r="M97" s="58">
        <f>IFERROR(LOOKUP(2,1/(U97:AY97&lt;&gt;""),U$2:AY$2),"")</f>
        <v/>
      </c>
      <c r="N97" s="59">
        <f>IF(OR(G97="",M97=""),"",G97-M97)</f>
        <v/>
      </c>
      <c r="O97" s="60" t="n"/>
      <c r="P97" s="61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  <c r="AG97" s="62" t="n"/>
      <c r="AH97" s="62" t="n"/>
      <c r="AI97" s="62" t="n"/>
      <c r="AJ97" s="62" t="n"/>
      <c r="AK97" s="62" t="n"/>
      <c r="AL97" s="62" t="n"/>
      <c r="AM97" s="62" t="n"/>
      <c r="AN97" s="62" t="n"/>
      <c r="AO97" s="62" t="n"/>
      <c r="AP97" s="62" t="n"/>
      <c r="AQ97" s="62" t="n"/>
      <c r="AR97" s="62" t="n"/>
      <c r="AS97" s="62" t="n"/>
      <c r="AT97" s="62" t="n"/>
      <c r="AU97" s="62" t="n"/>
      <c r="AV97" s="62" t="n"/>
      <c r="AW97" s="62" t="n"/>
      <c r="AX97" s="62" t="n"/>
      <c r="AY97" s="62" t="n"/>
    </row>
    <row r="98">
      <c r="A98" s="38">
        <f>IF(D98="","",COUNTA($D$71:D98))</f>
        <v/>
      </c>
      <c r="B98" s="52" t="n"/>
      <c r="C98" s="68" t="inlineStr">
        <is>
          <t>마케팅3팀</t>
        </is>
      </c>
      <c r="D98" s="52" t="n"/>
      <c r="E98" s="54" t="n"/>
      <c r="F98" s="52" t="n"/>
      <c r="G98" s="55" t="n"/>
      <c r="H98" s="54" t="n"/>
      <c r="I98" s="54" t="n"/>
      <c r="J98" s="54" t="n"/>
      <c r="K98" s="56">
        <f>IF(SUM(U98:AY98)=0,"",SUM(U98:AY98))</f>
        <v/>
      </c>
      <c r="L98" s="57">
        <f>IFERROR(INDEX(U$2:AY$2,MATCH(TRUE,U98:AY98&lt;&gt;"",0)),"")</f>
        <v/>
      </c>
      <c r="M98" s="58">
        <f>IFERROR(LOOKUP(2,1/(U98:AY98&lt;&gt;""),U$2:AY$2),"")</f>
        <v/>
      </c>
      <c r="N98" s="59">
        <f>IF(OR(G98="",M98=""),"",G98-M98)</f>
        <v/>
      </c>
      <c r="O98" s="60" t="n"/>
      <c r="P98" s="61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  <c r="AG98" s="62" t="n"/>
      <c r="AH98" s="62" t="n"/>
      <c r="AI98" s="62" t="n"/>
      <c r="AJ98" s="62" t="n"/>
      <c r="AK98" s="62" t="n"/>
      <c r="AL98" s="62" t="n"/>
      <c r="AM98" s="62" t="n"/>
      <c r="AN98" s="62" t="n"/>
      <c r="AO98" s="62" t="n"/>
      <c r="AP98" s="62" t="n"/>
      <c r="AQ98" s="62" t="n"/>
      <c r="AR98" s="62" t="n"/>
      <c r="AS98" s="62" t="n"/>
      <c r="AT98" s="62" t="n"/>
      <c r="AU98" s="62" t="n"/>
      <c r="AV98" s="62" t="n"/>
      <c r="AW98" s="62" t="n"/>
      <c r="AX98" s="62" t="n"/>
      <c r="AY98" s="62" t="n"/>
    </row>
    <row r="99">
      <c r="A99" s="38">
        <f>IF(D99="","",COUNTA($D$71:D99))</f>
        <v/>
      </c>
      <c r="B99" s="52" t="n"/>
      <c r="C99" s="68" t="inlineStr">
        <is>
          <t>마케팅3팀</t>
        </is>
      </c>
      <c r="D99" s="52" t="n"/>
      <c r="E99" s="54" t="n"/>
      <c r="F99" s="52" t="n"/>
      <c r="G99" s="55" t="n"/>
      <c r="H99" s="54" t="n"/>
      <c r="I99" s="54" t="n"/>
      <c r="J99" s="54" t="n"/>
      <c r="K99" s="56">
        <f>IF(SUM(U99:AY99)=0,"",SUM(U99:AY99))</f>
        <v/>
      </c>
      <c r="L99" s="57">
        <f>IFERROR(INDEX(U$2:AY$2,MATCH(TRUE,U99:AY99&lt;&gt;"",0)),"")</f>
        <v/>
      </c>
      <c r="M99" s="58">
        <f>IFERROR(LOOKUP(2,1/(U99:AY99&lt;&gt;""),U$2:AY$2),"")</f>
        <v/>
      </c>
      <c r="N99" s="59">
        <f>IF(OR(G99="",M99=""),"",G99-M99)</f>
        <v/>
      </c>
      <c r="O99" s="60" t="n"/>
      <c r="P99" s="61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  <c r="AG99" s="62" t="n"/>
      <c r="AH99" s="62" t="n"/>
      <c r="AI99" s="62" t="n"/>
      <c r="AJ99" s="62" t="n"/>
      <c r="AK99" s="62" t="n"/>
      <c r="AL99" s="62" t="n"/>
      <c r="AM99" s="62" t="n"/>
      <c r="AN99" s="62" t="n"/>
      <c r="AO99" s="62" t="n"/>
      <c r="AP99" s="62" t="n"/>
      <c r="AQ99" s="62" t="n"/>
      <c r="AR99" s="62" t="n"/>
      <c r="AS99" s="62" t="n"/>
      <c r="AT99" s="62" t="n"/>
      <c r="AU99" s="62" t="n"/>
      <c r="AV99" s="62" t="n"/>
      <c r="AW99" s="62" t="n"/>
      <c r="AX99" s="62" t="n"/>
      <c r="AY99" s="62" t="n"/>
    </row>
    <row r="100">
      <c r="A100" s="38">
        <f>IF(D100="","",COUNTA($D$71:D100))</f>
        <v/>
      </c>
      <c r="B100" s="52" t="n"/>
      <c r="C100" s="68" t="inlineStr">
        <is>
          <t>마케팅3팀</t>
        </is>
      </c>
      <c r="D100" s="52" t="n"/>
      <c r="E100" s="54" t="n"/>
      <c r="F100" s="52" t="n"/>
      <c r="G100" s="55" t="n"/>
      <c r="H100" s="54" t="n"/>
      <c r="I100" s="54" t="n"/>
      <c r="J100" s="54" t="n"/>
      <c r="K100" s="56">
        <f>IF(SUM(U100:AY100)=0,"",SUM(U100:AY100))</f>
        <v/>
      </c>
      <c r="L100" s="57">
        <f>IFERROR(INDEX(U$2:AY$2,MATCH(TRUE,U100:AY100&lt;&gt;"",0)),"")</f>
        <v/>
      </c>
      <c r="M100" s="58">
        <f>IFERROR(LOOKUP(2,1/(U100:AY100&lt;&gt;""),U$2:AY$2),"")</f>
        <v/>
      </c>
      <c r="N100" s="59">
        <f>IF(OR(G100="",M100=""),"",G100-M100)</f>
        <v/>
      </c>
      <c r="O100" s="60" t="n"/>
      <c r="P100" s="61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  <c r="AG100" s="62" t="n"/>
      <c r="AH100" s="62" t="n"/>
      <c r="AI100" s="62" t="n"/>
      <c r="AJ100" s="62" t="n"/>
      <c r="AK100" s="62" t="n"/>
      <c r="AL100" s="62" t="n"/>
      <c r="AM100" s="62" t="n"/>
      <c r="AN100" s="62" t="n"/>
      <c r="AO100" s="62" t="n"/>
      <c r="AP100" s="62" t="n"/>
      <c r="AQ100" s="62" t="n"/>
      <c r="AR100" s="62" t="n"/>
      <c r="AS100" s="62" t="n"/>
      <c r="AT100" s="62" t="n"/>
      <c r="AU100" s="62" t="n"/>
      <c r="AV100" s="62" t="n"/>
      <c r="AW100" s="62" t="n"/>
      <c r="AX100" s="62" t="n"/>
      <c r="AY100" s="62" t="n"/>
    </row>
    <row r="101">
      <c r="A101" s="69" t="inlineStr">
        <is>
          <t>마케팅4팀  (102~131행)</t>
        </is>
      </c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  <c r="AJ101" s="70" t="n"/>
      <c r="AK101" s="70" t="n"/>
      <c r="AL101" s="70" t="n"/>
      <c r="AM101" s="70" t="n"/>
      <c r="AN101" s="70" t="n"/>
      <c r="AO101" s="70" t="n"/>
      <c r="AP101" s="70" t="n"/>
      <c r="AQ101" s="70" t="n"/>
      <c r="AR101" s="70" t="n"/>
      <c r="AS101" s="70" t="n"/>
      <c r="AT101" s="70" t="n"/>
      <c r="AU101" s="70" t="n"/>
      <c r="AV101" s="70" t="n"/>
      <c r="AW101" s="70" t="n"/>
      <c r="AX101" s="70" t="n"/>
      <c r="AY101" s="70" t="n"/>
    </row>
    <row r="102">
      <c r="A102" s="38">
        <f>IF(D102="","",COUNTA($D$102:D102))</f>
        <v/>
      </c>
      <c r="B102" s="52" t="n"/>
      <c r="C102" s="71" t="inlineStr">
        <is>
          <t>마케팅4팀</t>
        </is>
      </c>
      <c r="D102" s="52" t="n"/>
      <c r="E102" s="54" t="n"/>
      <c r="F102" s="52" t="n"/>
      <c r="G102" s="55" t="n"/>
      <c r="H102" s="54" t="n"/>
      <c r="I102" s="54" t="n"/>
      <c r="J102" s="54" t="n"/>
      <c r="K102" s="56">
        <f>IF(SUM(U102:AY102)=0,"",SUM(U102:AY102))</f>
        <v/>
      </c>
      <c r="L102" s="57">
        <f>IFERROR(INDEX(U$2:AY$2,MATCH(TRUE,U102:AY102&lt;&gt;"",0)),"")</f>
        <v/>
      </c>
      <c r="M102" s="58">
        <f>IFERROR(LOOKUP(2,1/(U102:AY102&lt;&gt;""),U$2:AY$2),"")</f>
        <v/>
      </c>
      <c r="N102" s="59">
        <f>IF(OR(G102="",M102=""),"",G102-M102)</f>
        <v/>
      </c>
      <c r="O102" s="60" t="n"/>
      <c r="P102" s="61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  <c r="AG102" s="62" t="n"/>
      <c r="AH102" s="62" t="n"/>
      <c r="AI102" s="62" t="n"/>
      <c r="AJ102" s="62" t="n"/>
      <c r="AK102" s="62" t="n"/>
      <c r="AL102" s="62" t="n"/>
      <c r="AM102" s="62" t="n"/>
      <c r="AN102" s="62" t="n"/>
      <c r="AO102" s="62" t="n"/>
      <c r="AP102" s="62" t="n"/>
      <c r="AQ102" s="62" t="n"/>
      <c r="AR102" s="62" t="n"/>
      <c r="AS102" s="62" t="n"/>
      <c r="AT102" s="62" t="n"/>
      <c r="AU102" s="62" t="n"/>
      <c r="AV102" s="62" t="n"/>
      <c r="AW102" s="62" t="n"/>
      <c r="AX102" s="62" t="n"/>
      <c r="AY102" s="62" t="n"/>
    </row>
    <row r="103">
      <c r="A103" s="38">
        <f>IF(D103="","",COUNTA($D$102:D103))</f>
        <v/>
      </c>
      <c r="B103" s="52" t="n"/>
      <c r="C103" s="71" t="inlineStr">
        <is>
          <t>마케팅4팀</t>
        </is>
      </c>
      <c r="D103" s="52" t="n"/>
      <c r="E103" s="54" t="n"/>
      <c r="F103" s="52" t="n"/>
      <c r="G103" s="55" t="n"/>
      <c r="H103" s="54" t="n"/>
      <c r="I103" s="54" t="n"/>
      <c r="J103" s="54" t="n"/>
      <c r="K103" s="56">
        <f>IF(SUM(U103:AY103)=0,"",SUM(U103:AY103))</f>
        <v/>
      </c>
      <c r="L103" s="57">
        <f>IFERROR(INDEX(U$2:AY$2,MATCH(TRUE,U103:AY103&lt;&gt;"",0)),"")</f>
        <v/>
      </c>
      <c r="M103" s="58">
        <f>IFERROR(LOOKUP(2,1/(U103:AY103&lt;&gt;""),U$2:AY$2),"")</f>
        <v/>
      </c>
      <c r="N103" s="59">
        <f>IF(OR(G103="",M103=""),"",G103-M103)</f>
        <v/>
      </c>
      <c r="O103" s="60" t="n"/>
      <c r="P103" s="61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  <c r="AG103" s="62" t="n"/>
      <c r="AH103" s="62" t="n"/>
      <c r="AI103" s="62" t="n"/>
      <c r="AJ103" s="62" t="n"/>
      <c r="AK103" s="62" t="n"/>
      <c r="AL103" s="62" t="n"/>
      <c r="AM103" s="62" t="n"/>
      <c r="AN103" s="62" t="n"/>
      <c r="AO103" s="62" t="n"/>
      <c r="AP103" s="62" t="n"/>
      <c r="AQ103" s="62" t="n"/>
      <c r="AR103" s="62" t="n"/>
      <c r="AS103" s="62" t="n"/>
      <c r="AT103" s="62" t="n"/>
      <c r="AU103" s="62" t="n"/>
      <c r="AV103" s="62" t="n"/>
      <c r="AW103" s="62" t="n"/>
      <c r="AX103" s="62" t="n"/>
      <c r="AY103" s="62" t="n"/>
    </row>
    <row r="104">
      <c r="A104" s="38">
        <f>IF(D104="","",COUNTA($D$102:D104))</f>
        <v/>
      </c>
      <c r="B104" s="52" t="n"/>
      <c r="C104" s="71" t="inlineStr">
        <is>
          <t>마케팅4팀</t>
        </is>
      </c>
      <c r="D104" s="52" t="n"/>
      <c r="E104" s="54" t="n"/>
      <c r="F104" s="52" t="n"/>
      <c r="G104" s="55" t="n"/>
      <c r="H104" s="54" t="n"/>
      <c r="I104" s="54" t="n"/>
      <c r="J104" s="54" t="n"/>
      <c r="K104" s="56">
        <f>IF(SUM(U104:AY104)=0,"",SUM(U104:AY104))</f>
        <v/>
      </c>
      <c r="L104" s="57">
        <f>IFERROR(INDEX(U$2:AY$2,MATCH(TRUE,U104:AY104&lt;&gt;"",0)),"")</f>
        <v/>
      </c>
      <c r="M104" s="58">
        <f>IFERROR(LOOKUP(2,1/(U104:AY104&lt;&gt;""),U$2:AY$2),"")</f>
        <v/>
      </c>
      <c r="N104" s="59">
        <f>IF(OR(G104="",M104=""),"",G104-M104)</f>
        <v/>
      </c>
      <c r="O104" s="60" t="n"/>
      <c r="P104" s="61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  <c r="AG104" s="62" t="n"/>
      <c r="AH104" s="62" t="n"/>
      <c r="AI104" s="62" t="n"/>
      <c r="AJ104" s="62" t="n"/>
      <c r="AK104" s="62" t="n"/>
      <c r="AL104" s="62" t="n"/>
      <c r="AM104" s="62" t="n"/>
      <c r="AN104" s="62" t="n"/>
      <c r="AO104" s="62" t="n"/>
      <c r="AP104" s="62" t="n"/>
      <c r="AQ104" s="62" t="n"/>
      <c r="AR104" s="62" t="n"/>
      <c r="AS104" s="62" t="n"/>
      <c r="AT104" s="62" t="n"/>
      <c r="AU104" s="62" t="n"/>
      <c r="AV104" s="62" t="n"/>
      <c r="AW104" s="62" t="n"/>
      <c r="AX104" s="62" t="n"/>
      <c r="AY104" s="62" t="n"/>
    </row>
    <row r="105">
      <c r="A105" s="38">
        <f>IF(D105="","",COUNTA($D$102:D105))</f>
        <v/>
      </c>
      <c r="B105" s="52" t="n"/>
      <c r="C105" s="71" t="inlineStr">
        <is>
          <t>마케팅4팀</t>
        </is>
      </c>
      <c r="D105" s="52" t="n"/>
      <c r="E105" s="54" t="n"/>
      <c r="F105" s="52" t="n"/>
      <c r="G105" s="55" t="n"/>
      <c r="H105" s="54" t="n"/>
      <c r="I105" s="54" t="n"/>
      <c r="J105" s="54" t="n"/>
      <c r="K105" s="56">
        <f>IF(SUM(U105:AY105)=0,"",SUM(U105:AY105))</f>
        <v/>
      </c>
      <c r="L105" s="57">
        <f>IFERROR(INDEX(U$2:AY$2,MATCH(TRUE,U105:AY105&lt;&gt;"",0)),"")</f>
        <v/>
      </c>
      <c r="M105" s="58">
        <f>IFERROR(LOOKUP(2,1/(U105:AY105&lt;&gt;""),U$2:AY$2),"")</f>
        <v/>
      </c>
      <c r="N105" s="59">
        <f>IF(OR(G105="",M105=""),"",G105-M105)</f>
        <v/>
      </c>
      <c r="O105" s="60" t="n"/>
      <c r="P105" s="61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  <c r="AG105" s="62" t="n"/>
      <c r="AH105" s="62" t="n"/>
      <c r="AI105" s="62" t="n"/>
      <c r="AJ105" s="62" t="n"/>
      <c r="AK105" s="62" t="n"/>
      <c r="AL105" s="62" t="n"/>
      <c r="AM105" s="62" t="n"/>
      <c r="AN105" s="62" t="n"/>
      <c r="AO105" s="62" t="n"/>
      <c r="AP105" s="62" t="n"/>
      <c r="AQ105" s="62" t="n"/>
      <c r="AR105" s="62" t="n"/>
      <c r="AS105" s="62" t="n"/>
      <c r="AT105" s="62" t="n"/>
      <c r="AU105" s="62" t="n"/>
      <c r="AV105" s="62" t="n"/>
      <c r="AW105" s="62" t="n"/>
      <c r="AX105" s="62" t="n"/>
      <c r="AY105" s="62" t="n"/>
    </row>
    <row r="106">
      <c r="A106" s="38">
        <f>IF(D106="","",COUNTA($D$102:D106))</f>
        <v/>
      </c>
      <c r="B106" s="52" t="n"/>
      <c r="C106" s="71" t="inlineStr">
        <is>
          <t>마케팅4팀</t>
        </is>
      </c>
      <c r="D106" s="52" t="n"/>
      <c r="E106" s="54" t="n"/>
      <c r="F106" s="52" t="n"/>
      <c r="G106" s="55" t="n"/>
      <c r="H106" s="54" t="n"/>
      <c r="I106" s="54" t="n"/>
      <c r="J106" s="54" t="n"/>
      <c r="K106" s="56">
        <f>IF(SUM(U106:AY106)=0,"",SUM(U106:AY106))</f>
        <v/>
      </c>
      <c r="L106" s="57">
        <f>IFERROR(INDEX(U$2:AY$2,MATCH(TRUE,U106:AY106&lt;&gt;"",0)),"")</f>
        <v/>
      </c>
      <c r="M106" s="58">
        <f>IFERROR(LOOKUP(2,1/(U106:AY106&lt;&gt;""),U$2:AY$2),"")</f>
        <v/>
      </c>
      <c r="N106" s="59">
        <f>IF(OR(G106="",M106=""),"",G106-M106)</f>
        <v/>
      </c>
      <c r="O106" s="60" t="n"/>
      <c r="P106" s="61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  <c r="AG106" s="62" t="n"/>
      <c r="AH106" s="62" t="n"/>
      <c r="AI106" s="62" t="n"/>
      <c r="AJ106" s="62" t="n"/>
      <c r="AK106" s="62" t="n"/>
      <c r="AL106" s="62" t="n"/>
      <c r="AM106" s="62" t="n"/>
      <c r="AN106" s="62" t="n"/>
      <c r="AO106" s="62" t="n"/>
      <c r="AP106" s="62" t="n"/>
      <c r="AQ106" s="62" t="n"/>
      <c r="AR106" s="62" t="n"/>
      <c r="AS106" s="62" t="n"/>
      <c r="AT106" s="62" t="n"/>
      <c r="AU106" s="62" t="n"/>
      <c r="AV106" s="62" t="n"/>
      <c r="AW106" s="62" t="n"/>
      <c r="AX106" s="62" t="n"/>
      <c r="AY106" s="62" t="n"/>
    </row>
    <row r="107">
      <c r="A107" s="38">
        <f>IF(D107="","",COUNTA($D$102:D107))</f>
        <v/>
      </c>
      <c r="B107" s="52" t="n"/>
      <c r="C107" s="71" t="inlineStr">
        <is>
          <t>마케팅4팀</t>
        </is>
      </c>
      <c r="D107" s="52" t="n"/>
      <c r="E107" s="54" t="n"/>
      <c r="F107" s="52" t="n"/>
      <c r="G107" s="55" t="n"/>
      <c r="H107" s="54" t="n"/>
      <c r="I107" s="54" t="n"/>
      <c r="J107" s="54" t="n"/>
      <c r="K107" s="56">
        <f>IF(SUM(U107:AY107)=0,"",SUM(U107:AY107))</f>
        <v/>
      </c>
      <c r="L107" s="57">
        <f>IFERROR(INDEX(U$2:AY$2,MATCH(TRUE,U107:AY107&lt;&gt;"",0)),"")</f>
        <v/>
      </c>
      <c r="M107" s="58">
        <f>IFERROR(LOOKUP(2,1/(U107:AY107&lt;&gt;""),U$2:AY$2),"")</f>
        <v/>
      </c>
      <c r="N107" s="59">
        <f>IF(OR(G107="",M107=""),"",G107-M107)</f>
        <v/>
      </c>
      <c r="O107" s="60" t="n"/>
      <c r="P107" s="61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  <c r="AG107" s="62" t="n"/>
      <c r="AH107" s="62" t="n"/>
      <c r="AI107" s="62" t="n"/>
      <c r="AJ107" s="62" t="n"/>
      <c r="AK107" s="62" t="n"/>
      <c r="AL107" s="62" t="n"/>
      <c r="AM107" s="62" t="n"/>
      <c r="AN107" s="62" t="n"/>
      <c r="AO107" s="62" t="n"/>
      <c r="AP107" s="62" t="n"/>
      <c r="AQ107" s="62" t="n"/>
      <c r="AR107" s="62" t="n"/>
      <c r="AS107" s="62" t="n"/>
      <c r="AT107" s="62" t="n"/>
      <c r="AU107" s="62" t="n"/>
      <c r="AV107" s="62" t="n"/>
      <c r="AW107" s="62" t="n"/>
      <c r="AX107" s="62" t="n"/>
      <c r="AY107" s="62" t="n"/>
    </row>
    <row r="108">
      <c r="A108" s="38">
        <f>IF(D108="","",COUNTA($D$102:D108))</f>
        <v/>
      </c>
      <c r="B108" s="52" t="n"/>
      <c r="C108" s="71" t="inlineStr">
        <is>
          <t>마케팅4팀</t>
        </is>
      </c>
      <c r="D108" s="52" t="n"/>
      <c r="E108" s="54" t="n"/>
      <c r="F108" s="52" t="n"/>
      <c r="G108" s="55" t="n"/>
      <c r="H108" s="54" t="n"/>
      <c r="I108" s="54" t="n"/>
      <c r="J108" s="54" t="n"/>
      <c r="K108" s="56">
        <f>IF(SUM(U108:AY108)=0,"",SUM(U108:AY108))</f>
        <v/>
      </c>
      <c r="L108" s="57">
        <f>IFERROR(INDEX(U$2:AY$2,MATCH(TRUE,U108:AY108&lt;&gt;"",0)),"")</f>
        <v/>
      </c>
      <c r="M108" s="58">
        <f>IFERROR(LOOKUP(2,1/(U108:AY108&lt;&gt;""),U$2:AY$2),"")</f>
        <v/>
      </c>
      <c r="N108" s="59">
        <f>IF(OR(G108="",M108=""),"",G108-M108)</f>
        <v/>
      </c>
      <c r="O108" s="60" t="n"/>
      <c r="P108" s="61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  <c r="AG108" s="62" t="n"/>
      <c r="AH108" s="62" t="n"/>
      <c r="AI108" s="62" t="n"/>
      <c r="AJ108" s="62" t="n"/>
      <c r="AK108" s="62" t="n"/>
      <c r="AL108" s="62" t="n"/>
      <c r="AM108" s="62" t="n"/>
      <c r="AN108" s="62" t="n"/>
      <c r="AO108" s="62" t="n"/>
      <c r="AP108" s="62" t="n"/>
      <c r="AQ108" s="62" t="n"/>
      <c r="AR108" s="62" t="n"/>
      <c r="AS108" s="62" t="n"/>
      <c r="AT108" s="62" t="n"/>
      <c r="AU108" s="62" t="n"/>
      <c r="AV108" s="62" t="n"/>
      <c r="AW108" s="62" t="n"/>
      <c r="AX108" s="62" t="n"/>
      <c r="AY108" s="62" t="n"/>
    </row>
    <row r="109">
      <c r="A109" s="38">
        <f>IF(D109="","",COUNTA($D$102:D109))</f>
        <v/>
      </c>
      <c r="B109" s="52" t="n"/>
      <c r="C109" s="71" t="inlineStr">
        <is>
          <t>마케팅4팀</t>
        </is>
      </c>
      <c r="D109" s="52" t="n"/>
      <c r="E109" s="54" t="n"/>
      <c r="F109" s="52" t="n"/>
      <c r="G109" s="55" t="n"/>
      <c r="H109" s="54" t="n"/>
      <c r="I109" s="54" t="n"/>
      <c r="J109" s="54" t="n"/>
      <c r="K109" s="56">
        <f>IF(SUM(U109:AY109)=0,"",SUM(U109:AY109))</f>
        <v/>
      </c>
      <c r="L109" s="57">
        <f>IFERROR(INDEX(U$2:AY$2,MATCH(TRUE,U109:AY109&lt;&gt;"",0)),"")</f>
        <v/>
      </c>
      <c r="M109" s="58">
        <f>IFERROR(LOOKUP(2,1/(U109:AY109&lt;&gt;""),U$2:AY$2),"")</f>
        <v/>
      </c>
      <c r="N109" s="59">
        <f>IF(OR(G109="",M109=""),"",G109-M109)</f>
        <v/>
      </c>
      <c r="O109" s="60" t="n"/>
      <c r="P109" s="61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  <c r="AG109" s="62" t="n"/>
      <c r="AH109" s="62" t="n"/>
      <c r="AI109" s="62" t="n"/>
      <c r="AJ109" s="62" t="n"/>
      <c r="AK109" s="62" t="n"/>
      <c r="AL109" s="62" t="n"/>
      <c r="AM109" s="62" t="n"/>
      <c r="AN109" s="62" t="n"/>
      <c r="AO109" s="62" t="n"/>
      <c r="AP109" s="62" t="n"/>
      <c r="AQ109" s="62" t="n"/>
      <c r="AR109" s="62" t="n"/>
      <c r="AS109" s="62" t="n"/>
      <c r="AT109" s="62" t="n"/>
      <c r="AU109" s="62" t="n"/>
      <c r="AV109" s="62" t="n"/>
      <c r="AW109" s="62" t="n"/>
      <c r="AX109" s="62" t="n"/>
      <c r="AY109" s="62" t="n"/>
    </row>
    <row r="110">
      <c r="A110" s="38">
        <f>IF(D110="","",COUNTA($D$102:D110))</f>
        <v/>
      </c>
      <c r="B110" s="52" t="n"/>
      <c r="C110" s="71" t="inlineStr">
        <is>
          <t>마케팅4팀</t>
        </is>
      </c>
      <c r="D110" s="52" t="n"/>
      <c r="E110" s="54" t="n"/>
      <c r="F110" s="52" t="n"/>
      <c r="G110" s="55" t="n"/>
      <c r="H110" s="54" t="n"/>
      <c r="I110" s="54" t="n"/>
      <c r="J110" s="54" t="n"/>
      <c r="K110" s="56">
        <f>IF(SUM(U110:AY110)=0,"",SUM(U110:AY110))</f>
        <v/>
      </c>
      <c r="L110" s="57">
        <f>IFERROR(INDEX(U$2:AY$2,MATCH(TRUE,U110:AY110&lt;&gt;"",0)),"")</f>
        <v/>
      </c>
      <c r="M110" s="58">
        <f>IFERROR(LOOKUP(2,1/(U110:AY110&lt;&gt;""),U$2:AY$2),"")</f>
        <v/>
      </c>
      <c r="N110" s="59">
        <f>IF(OR(G110="",M110=""),"",G110-M110)</f>
        <v/>
      </c>
      <c r="O110" s="60" t="n"/>
      <c r="P110" s="61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  <c r="AG110" s="62" t="n"/>
      <c r="AH110" s="62" t="n"/>
      <c r="AI110" s="62" t="n"/>
      <c r="AJ110" s="62" t="n"/>
      <c r="AK110" s="62" t="n"/>
      <c r="AL110" s="62" t="n"/>
      <c r="AM110" s="62" t="n"/>
      <c r="AN110" s="62" t="n"/>
      <c r="AO110" s="62" t="n"/>
      <c r="AP110" s="62" t="n"/>
      <c r="AQ110" s="62" t="n"/>
      <c r="AR110" s="62" t="n"/>
      <c r="AS110" s="62" t="n"/>
      <c r="AT110" s="62" t="n"/>
      <c r="AU110" s="62" t="n"/>
      <c r="AV110" s="62" t="n"/>
      <c r="AW110" s="62" t="n"/>
      <c r="AX110" s="62" t="n"/>
      <c r="AY110" s="62" t="n"/>
    </row>
    <row r="111">
      <c r="A111" s="38">
        <f>IF(D111="","",COUNTA($D$102:D111))</f>
        <v/>
      </c>
      <c r="B111" s="52" t="n"/>
      <c r="C111" s="71" t="inlineStr">
        <is>
          <t>마케팅4팀</t>
        </is>
      </c>
      <c r="D111" s="52" t="n"/>
      <c r="E111" s="54" t="n"/>
      <c r="F111" s="52" t="n"/>
      <c r="G111" s="55" t="n"/>
      <c r="H111" s="54" t="n"/>
      <c r="I111" s="54" t="n"/>
      <c r="J111" s="54" t="n"/>
      <c r="K111" s="56">
        <f>IF(SUM(U111:AY111)=0,"",SUM(U111:AY111))</f>
        <v/>
      </c>
      <c r="L111" s="57">
        <f>IFERROR(INDEX(U$2:AY$2,MATCH(TRUE,U111:AY111&lt;&gt;"",0)),"")</f>
        <v/>
      </c>
      <c r="M111" s="58">
        <f>IFERROR(LOOKUP(2,1/(U111:AY111&lt;&gt;""),U$2:AY$2),"")</f>
        <v/>
      </c>
      <c r="N111" s="59">
        <f>IF(OR(G111="",M111=""),"",G111-M111)</f>
        <v/>
      </c>
      <c r="O111" s="60" t="n"/>
      <c r="P111" s="61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  <c r="AG111" s="62" t="n"/>
      <c r="AH111" s="62" t="n"/>
      <c r="AI111" s="62" t="n"/>
      <c r="AJ111" s="62" t="n"/>
      <c r="AK111" s="62" t="n"/>
      <c r="AL111" s="62" t="n"/>
      <c r="AM111" s="62" t="n"/>
      <c r="AN111" s="62" t="n"/>
      <c r="AO111" s="62" t="n"/>
      <c r="AP111" s="62" t="n"/>
      <c r="AQ111" s="62" t="n"/>
      <c r="AR111" s="62" t="n"/>
      <c r="AS111" s="62" t="n"/>
      <c r="AT111" s="62" t="n"/>
      <c r="AU111" s="62" t="n"/>
      <c r="AV111" s="62" t="n"/>
      <c r="AW111" s="62" t="n"/>
      <c r="AX111" s="62" t="n"/>
      <c r="AY111" s="62" t="n"/>
    </row>
    <row r="112">
      <c r="A112" s="38">
        <f>IF(D112="","",COUNTA($D$102:D112))</f>
        <v/>
      </c>
      <c r="B112" s="52" t="n"/>
      <c r="C112" s="71" t="inlineStr">
        <is>
          <t>마케팅4팀</t>
        </is>
      </c>
      <c r="D112" s="52" t="n"/>
      <c r="E112" s="54" t="n"/>
      <c r="F112" s="52" t="n"/>
      <c r="G112" s="55" t="n"/>
      <c r="H112" s="54" t="n"/>
      <c r="I112" s="54" t="n"/>
      <c r="J112" s="54" t="n"/>
      <c r="K112" s="56">
        <f>IF(SUM(U112:AY112)=0,"",SUM(U112:AY112))</f>
        <v/>
      </c>
      <c r="L112" s="57">
        <f>IFERROR(INDEX(U$2:AY$2,MATCH(TRUE,U112:AY112&lt;&gt;"",0)),"")</f>
        <v/>
      </c>
      <c r="M112" s="58">
        <f>IFERROR(LOOKUP(2,1/(U112:AY112&lt;&gt;""),U$2:AY$2),"")</f>
        <v/>
      </c>
      <c r="N112" s="59">
        <f>IF(OR(G112="",M112=""),"",G112-M112)</f>
        <v/>
      </c>
      <c r="O112" s="60" t="n"/>
      <c r="P112" s="61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  <c r="AG112" s="62" t="n"/>
      <c r="AH112" s="62" t="n"/>
      <c r="AI112" s="62" t="n"/>
      <c r="AJ112" s="62" t="n"/>
      <c r="AK112" s="62" t="n"/>
      <c r="AL112" s="62" t="n"/>
      <c r="AM112" s="62" t="n"/>
      <c r="AN112" s="62" t="n"/>
      <c r="AO112" s="62" t="n"/>
      <c r="AP112" s="62" t="n"/>
      <c r="AQ112" s="62" t="n"/>
      <c r="AR112" s="62" t="n"/>
      <c r="AS112" s="62" t="n"/>
      <c r="AT112" s="62" t="n"/>
      <c r="AU112" s="62" t="n"/>
      <c r="AV112" s="62" t="n"/>
      <c r="AW112" s="62" t="n"/>
      <c r="AX112" s="62" t="n"/>
      <c r="AY112" s="62" t="n"/>
    </row>
    <row r="113">
      <c r="A113" s="38">
        <f>IF(D113="","",COUNTA($D$102:D113))</f>
        <v/>
      </c>
      <c r="B113" s="52" t="n"/>
      <c r="C113" s="71" t="inlineStr">
        <is>
          <t>마케팅4팀</t>
        </is>
      </c>
      <c r="D113" s="52" t="n"/>
      <c r="E113" s="54" t="n"/>
      <c r="F113" s="52" t="n"/>
      <c r="G113" s="55" t="n"/>
      <c r="H113" s="54" t="n"/>
      <c r="I113" s="54" t="n"/>
      <c r="J113" s="54" t="n"/>
      <c r="K113" s="56">
        <f>IF(SUM(U113:AY113)=0,"",SUM(U113:AY113))</f>
        <v/>
      </c>
      <c r="L113" s="57">
        <f>IFERROR(INDEX(U$2:AY$2,MATCH(TRUE,U113:AY113&lt;&gt;"",0)),"")</f>
        <v/>
      </c>
      <c r="M113" s="58">
        <f>IFERROR(LOOKUP(2,1/(U113:AY113&lt;&gt;""),U$2:AY$2),"")</f>
        <v/>
      </c>
      <c r="N113" s="59">
        <f>IF(OR(G113="",M113=""),"",G113-M113)</f>
        <v/>
      </c>
      <c r="O113" s="60" t="n"/>
      <c r="P113" s="61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  <c r="AG113" s="62" t="n"/>
      <c r="AH113" s="62" t="n"/>
      <c r="AI113" s="62" t="n"/>
      <c r="AJ113" s="62" t="n"/>
      <c r="AK113" s="62" t="n"/>
      <c r="AL113" s="62" t="n"/>
      <c r="AM113" s="62" t="n"/>
      <c r="AN113" s="62" t="n"/>
      <c r="AO113" s="62" t="n"/>
      <c r="AP113" s="62" t="n"/>
      <c r="AQ113" s="62" t="n"/>
      <c r="AR113" s="62" t="n"/>
      <c r="AS113" s="62" t="n"/>
      <c r="AT113" s="62" t="n"/>
      <c r="AU113" s="62" t="n"/>
      <c r="AV113" s="62" t="n"/>
      <c r="AW113" s="62" t="n"/>
      <c r="AX113" s="62" t="n"/>
      <c r="AY113" s="62" t="n"/>
    </row>
    <row r="114">
      <c r="A114" s="38">
        <f>IF(D114="","",COUNTA($D$102:D114))</f>
        <v/>
      </c>
      <c r="B114" s="52" t="n"/>
      <c r="C114" s="71" t="inlineStr">
        <is>
          <t>마케팅4팀</t>
        </is>
      </c>
      <c r="D114" s="52" t="n"/>
      <c r="E114" s="54" t="n"/>
      <c r="F114" s="52" t="n"/>
      <c r="G114" s="55" t="n"/>
      <c r="H114" s="54" t="n"/>
      <c r="I114" s="54" t="n"/>
      <c r="J114" s="54" t="n"/>
      <c r="K114" s="56">
        <f>IF(SUM(U114:AY114)=0,"",SUM(U114:AY114))</f>
        <v/>
      </c>
      <c r="L114" s="57">
        <f>IFERROR(INDEX(U$2:AY$2,MATCH(TRUE,U114:AY114&lt;&gt;"",0)),"")</f>
        <v/>
      </c>
      <c r="M114" s="58">
        <f>IFERROR(LOOKUP(2,1/(U114:AY114&lt;&gt;""),U$2:AY$2),"")</f>
        <v/>
      </c>
      <c r="N114" s="59">
        <f>IF(OR(G114="",M114=""),"",G114-M114)</f>
        <v/>
      </c>
      <c r="O114" s="60" t="n"/>
      <c r="P114" s="61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  <c r="AG114" s="62" t="n"/>
      <c r="AH114" s="62" t="n"/>
      <c r="AI114" s="62" t="n"/>
      <c r="AJ114" s="62" t="n"/>
      <c r="AK114" s="62" t="n"/>
      <c r="AL114" s="62" t="n"/>
      <c r="AM114" s="62" t="n"/>
      <c r="AN114" s="62" t="n"/>
      <c r="AO114" s="62" t="n"/>
      <c r="AP114" s="62" t="n"/>
      <c r="AQ114" s="62" t="n"/>
      <c r="AR114" s="62" t="n"/>
      <c r="AS114" s="62" t="n"/>
      <c r="AT114" s="62" t="n"/>
      <c r="AU114" s="62" t="n"/>
      <c r="AV114" s="62" t="n"/>
      <c r="AW114" s="62" t="n"/>
      <c r="AX114" s="62" t="n"/>
      <c r="AY114" s="62" t="n"/>
    </row>
    <row r="115">
      <c r="A115" s="38">
        <f>IF(D115="","",COUNTA($D$102:D115))</f>
        <v/>
      </c>
      <c r="B115" s="52" t="n"/>
      <c r="C115" s="71" t="inlineStr">
        <is>
          <t>마케팅4팀</t>
        </is>
      </c>
      <c r="D115" s="52" t="n"/>
      <c r="E115" s="54" t="n"/>
      <c r="F115" s="52" t="n"/>
      <c r="G115" s="55" t="n"/>
      <c r="H115" s="54" t="n"/>
      <c r="I115" s="54" t="n"/>
      <c r="J115" s="54" t="n"/>
      <c r="K115" s="56">
        <f>IF(SUM(U115:AY115)=0,"",SUM(U115:AY115))</f>
        <v/>
      </c>
      <c r="L115" s="57">
        <f>IFERROR(INDEX(U$2:AY$2,MATCH(TRUE,U115:AY115&lt;&gt;"",0)),"")</f>
        <v/>
      </c>
      <c r="M115" s="58">
        <f>IFERROR(LOOKUP(2,1/(U115:AY115&lt;&gt;""),U$2:AY$2),"")</f>
        <v/>
      </c>
      <c r="N115" s="59">
        <f>IF(OR(G115="",M115=""),"",G115-M115)</f>
        <v/>
      </c>
      <c r="O115" s="60" t="n"/>
      <c r="P115" s="61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  <c r="AG115" s="62" t="n"/>
      <c r="AH115" s="62" t="n"/>
      <c r="AI115" s="62" t="n"/>
      <c r="AJ115" s="62" t="n"/>
      <c r="AK115" s="62" t="n"/>
      <c r="AL115" s="62" t="n"/>
      <c r="AM115" s="62" t="n"/>
      <c r="AN115" s="62" t="n"/>
      <c r="AO115" s="62" t="n"/>
      <c r="AP115" s="62" t="n"/>
      <c r="AQ115" s="62" t="n"/>
      <c r="AR115" s="62" t="n"/>
      <c r="AS115" s="62" t="n"/>
      <c r="AT115" s="62" t="n"/>
      <c r="AU115" s="62" t="n"/>
      <c r="AV115" s="62" t="n"/>
      <c r="AW115" s="62" t="n"/>
      <c r="AX115" s="62" t="n"/>
      <c r="AY115" s="62" t="n"/>
    </row>
    <row r="116">
      <c r="A116" s="38">
        <f>IF(D116="","",COUNTA($D$102:D116))</f>
        <v/>
      </c>
      <c r="B116" s="52" t="n"/>
      <c r="C116" s="71" t="inlineStr">
        <is>
          <t>마케팅4팀</t>
        </is>
      </c>
      <c r="D116" s="52" t="n"/>
      <c r="E116" s="54" t="n"/>
      <c r="F116" s="52" t="n"/>
      <c r="G116" s="55" t="n"/>
      <c r="H116" s="54" t="n"/>
      <c r="I116" s="54" t="n"/>
      <c r="J116" s="54" t="n"/>
      <c r="K116" s="56">
        <f>IF(SUM(U116:AY116)=0,"",SUM(U116:AY116))</f>
        <v/>
      </c>
      <c r="L116" s="57">
        <f>IFERROR(INDEX(U$2:AY$2,MATCH(TRUE,U116:AY116&lt;&gt;"",0)),"")</f>
        <v/>
      </c>
      <c r="M116" s="58">
        <f>IFERROR(LOOKUP(2,1/(U116:AY116&lt;&gt;""),U$2:AY$2),"")</f>
        <v/>
      </c>
      <c r="N116" s="59">
        <f>IF(OR(G116="",M116=""),"",G116-M116)</f>
        <v/>
      </c>
      <c r="O116" s="60" t="n"/>
      <c r="P116" s="61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  <c r="AG116" s="62" t="n"/>
      <c r="AH116" s="62" t="n"/>
      <c r="AI116" s="62" t="n"/>
      <c r="AJ116" s="62" t="n"/>
      <c r="AK116" s="62" t="n"/>
      <c r="AL116" s="62" t="n"/>
      <c r="AM116" s="62" t="n"/>
      <c r="AN116" s="62" t="n"/>
      <c r="AO116" s="62" t="n"/>
      <c r="AP116" s="62" t="n"/>
      <c r="AQ116" s="62" t="n"/>
      <c r="AR116" s="62" t="n"/>
      <c r="AS116" s="62" t="n"/>
      <c r="AT116" s="62" t="n"/>
      <c r="AU116" s="62" t="n"/>
      <c r="AV116" s="62" t="n"/>
      <c r="AW116" s="62" t="n"/>
      <c r="AX116" s="62" t="n"/>
      <c r="AY116" s="62" t="n"/>
    </row>
    <row r="117">
      <c r="A117" s="38">
        <f>IF(D117="","",COUNTA($D$102:D117))</f>
        <v/>
      </c>
      <c r="B117" s="52" t="n"/>
      <c r="C117" s="71" t="inlineStr">
        <is>
          <t>마케팅4팀</t>
        </is>
      </c>
      <c r="D117" s="52" t="n"/>
      <c r="E117" s="54" t="n"/>
      <c r="F117" s="52" t="n"/>
      <c r="G117" s="55" t="n"/>
      <c r="H117" s="54" t="n"/>
      <c r="I117" s="54" t="n"/>
      <c r="J117" s="54" t="n"/>
      <c r="K117" s="56">
        <f>IF(SUM(U117:AY117)=0,"",SUM(U117:AY117))</f>
        <v/>
      </c>
      <c r="L117" s="57">
        <f>IFERROR(INDEX(U$2:AY$2,MATCH(TRUE,U117:AY117&lt;&gt;"",0)),"")</f>
        <v/>
      </c>
      <c r="M117" s="58">
        <f>IFERROR(LOOKUP(2,1/(U117:AY117&lt;&gt;""),U$2:AY$2),"")</f>
        <v/>
      </c>
      <c r="N117" s="59">
        <f>IF(OR(G117="",M117=""),"",G117-M117)</f>
        <v/>
      </c>
      <c r="O117" s="60" t="n"/>
      <c r="P117" s="61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  <c r="AG117" s="62" t="n"/>
      <c r="AH117" s="62" t="n"/>
      <c r="AI117" s="62" t="n"/>
      <c r="AJ117" s="62" t="n"/>
      <c r="AK117" s="62" t="n"/>
      <c r="AL117" s="62" t="n"/>
      <c r="AM117" s="62" t="n"/>
      <c r="AN117" s="62" t="n"/>
      <c r="AO117" s="62" t="n"/>
      <c r="AP117" s="62" t="n"/>
      <c r="AQ117" s="62" t="n"/>
      <c r="AR117" s="62" t="n"/>
      <c r="AS117" s="62" t="n"/>
      <c r="AT117" s="62" t="n"/>
      <c r="AU117" s="62" t="n"/>
      <c r="AV117" s="62" t="n"/>
      <c r="AW117" s="62" t="n"/>
      <c r="AX117" s="62" t="n"/>
      <c r="AY117" s="62" t="n"/>
    </row>
    <row r="118">
      <c r="A118" s="38">
        <f>IF(D118="","",COUNTA($D$102:D118))</f>
        <v/>
      </c>
      <c r="B118" s="52" t="n"/>
      <c r="C118" s="71" t="inlineStr">
        <is>
          <t>마케팅4팀</t>
        </is>
      </c>
      <c r="D118" s="52" t="n"/>
      <c r="E118" s="54" t="n"/>
      <c r="F118" s="52" t="n"/>
      <c r="G118" s="55" t="n"/>
      <c r="H118" s="54" t="n"/>
      <c r="I118" s="54" t="n"/>
      <c r="J118" s="54" t="n"/>
      <c r="K118" s="56">
        <f>IF(SUM(U118:AY118)=0,"",SUM(U118:AY118))</f>
        <v/>
      </c>
      <c r="L118" s="57">
        <f>IFERROR(INDEX(U$2:AY$2,MATCH(TRUE,U118:AY118&lt;&gt;"",0)),"")</f>
        <v/>
      </c>
      <c r="M118" s="58">
        <f>IFERROR(LOOKUP(2,1/(U118:AY118&lt;&gt;""),U$2:AY$2),"")</f>
        <v/>
      </c>
      <c r="N118" s="59">
        <f>IF(OR(G118="",M118=""),"",G118-M118)</f>
        <v/>
      </c>
      <c r="O118" s="60" t="n"/>
      <c r="P118" s="61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  <c r="AG118" s="62" t="n"/>
      <c r="AH118" s="62" t="n"/>
      <c r="AI118" s="62" t="n"/>
      <c r="AJ118" s="62" t="n"/>
      <c r="AK118" s="62" t="n"/>
      <c r="AL118" s="62" t="n"/>
      <c r="AM118" s="62" t="n"/>
      <c r="AN118" s="62" t="n"/>
      <c r="AO118" s="62" t="n"/>
      <c r="AP118" s="62" t="n"/>
      <c r="AQ118" s="62" t="n"/>
      <c r="AR118" s="62" t="n"/>
      <c r="AS118" s="62" t="n"/>
      <c r="AT118" s="62" t="n"/>
      <c r="AU118" s="62" t="n"/>
      <c r="AV118" s="62" t="n"/>
      <c r="AW118" s="62" t="n"/>
      <c r="AX118" s="62" t="n"/>
      <c r="AY118" s="62" t="n"/>
    </row>
    <row r="119">
      <c r="A119" s="38">
        <f>IF(D119="","",COUNTA($D$102:D119))</f>
        <v/>
      </c>
      <c r="B119" s="52" t="n"/>
      <c r="C119" s="71" t="inlineStr">
        <is>
          <t>마케팅4팀</t>
        </is>
      </c>
      <c r="D119" s="52" t="n"/>
      <c r="E119" s="54" t="n"/>
      <c r="F119" s="52" t="n"/>
      <c r="G119" s="55" t="n"/>
      <c r="H119" s="54" t="n"/>
      <c r="I119" s="54" t="n"/>
      <c r="J119" s="54" t="n"/>
      <c r="K119" s="56">
        <f>IF(SUM(U119:AY119)=0,"",SUM(U119:AY119))</f>
        <v/>
      </c>
      <c r="L119" s="57">
        <f>IFERROR(INDEX(U$2:AY$2,MATCH(TRUE,U119:AY119&lt;&gt;"",0)),"")</f>
        <v/>
      </c>
      <c r="M119" s="58">
        <f>IFERROR(LOOKUP(2,1/(U119:AY119&lt;&gt;""),U$2:AY$2),"")</f>
        <v/>
      </c>
      <c r="N119" s="59">
        <f>IF(OR(G119="",M119=""),"",G119-M119)</f>
        <v/>
      </c>
      <c r="O119" s="60" t="n"/>
      <c r="P119" s="61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  <c r="AG119" s="62" t="n"/>
      <c r="AH119" s="62" t="n"/>
      <c r="AI119" s="62" t="n"/>
      <c r="AJ119" s="62" t="n"/>
      <c r="AK119" s="62" t="n"/>
      <c r="AL119" s="62" t="n"/>
      <c r="AM119" s="62" t="n"/>
      <c r="AN119" s="62" t="n"/>
      <c r="AO119" s="62" t="n"/>
      <c r="AP119" s="62" t="n"/>
      <c r="AQ119" s="62" t="n"/>
      <c r="AR119" s="62" t="n"/>
      <c r="AS119" s="62" t="n"/>
      <c r="AT119" s="62" t="n"/>
      <c r="AU119" s="62" t="n"/>
      <c r="AV119" s="62" t="n"/>
      <c r="AW119" s="62" t="n"/>
      <c r="AX119" s="62" t="n"/>
      <c r="AY119" s="62" t="n"/>
    </row>
    <row r="120">
      <c r="A120" s="38">
        <f>IF(D120="","",COUNTA($D$102:D120))</f>
        <v/>
      </c>
      <c r="B120" s="52" t="n"/>
      <c r="C120" s="71" t="inlineStr">
        <is>
          <t>마케팅4팀</t>
        </is>
      </c>
      <c r="D120" s="52" t="n"/>
      <c r="E120" s="54" t="n"/>
      <c r="F120" s="52" t="n"/>
      <c r="G120" s="55" t="n"/>
      <c r="H120" s="54" t="n"/>
      <c r="I120" s="54" t="n"/>
      <c r="J120" s="54" t="n"/>
      <c r="K120" s="56">
        <f>IF(SUM(U120:AY120)=0,"",SUM(U120:AY120))</f>
        <v/>
      </c>
      <c r="L120" s="57">
        <f>IFERROR(INDEX(U$2:AY$2,MATCH(TRUE,U120:AY120&lt;&gt;"",0)),"")</f>
        <v/>
      </c>
      <c r="M120" s="58">
        <f>IFERROR(LOOKUP(2,1/(U120:AY120&lt;&gt;""),U$2:AY$2),"")</f>
        <v/>
      </c>
      <c r="N120" s="59">
        <f>IF(OR(G120="",M120=""),"",G120-M120)</f>
        <v/>
      </c>
      <c r="O120" s="60" t="n"/>
      <c r="P120" s="61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  <c r="AG120" s="62" t="n"/>
      <c r="AH120" s="62" t="n"/>
      <c r="AI120" s="62" t="n"/>
      <c r="AJ120" s="62" t="n"/>
      <c r="AK120" s="62" t="n"/>
      <c r="AL120" s="62" t="n"/>
      <c r="AM120" s="62" t="n"/>
      <c r="AN120" s="62" t="n"/>
      <c r="AO120" s="62" t="n"/>
      <c r="AP120" s="62" t="n"/>
      <c r="AQ120" s="62" t="n"/>
      <c r="AR120" s="62" t="n"/>
      <c r="AS120" s="62" t="n"/>
      <c r="AT120" s="62" t="n"/>
      <c r="AU120" s="62" t="n"/>
      <c r="AV120" s="62" t="n"/>
      <c r="AW120" s="62" t="n"/>
      <c r="AX120" s="62" t="n"/>
      <c r="AY120" s="62" t="n"/>
    </row>
    <row r="121">
      <c r="A121" s="38">
        <f>IF(D121="","",COUNTA($D$102:D121))</f>
        <v/>
      </c>
      <c r="B121" s="52" t="n"/>
      <c r="C121" s="71" t="inlineStr">
        <is>
          <t>마케팅4팀</t>
        </is>
      </c>
      <c r="D121" s="52" t="n"/>
      <c r="E121" s="54" t="n"/>
      <c r="F121" s="52" t="n"/>
      <c r="G121" s="55" t="n"/>
      <c r="H121" s="54" t="n"/>
      <c r="I121" s="54" t="n"/>
      <c r="J121" s="54" t="n"/>
      <c r="K121" s="56">
        <f>IF(SUM(U121:AY121)=0,"",SUM(U121:AY121))</f>
        <v/>
      </c>
      <c r="L121" s="57">
        <f>IFERROR(INDEX(U$2:AY$2,MATCH(TRUE,U121:AY121&lt;&gt;"",0)),"")</f>
        <v/>
      </c>
      <c r="M121" s="58">
        <f>IFERROR(LOOKUP(2,1/(U121:AY121&lt;&gt;""),U$2:AY$2),"")</f>
        <v/>
      </c>
      <c r="N121" s="59">
        <f>IF(OR(G121="",M121=""),"",G121-M121)</f>
        <v/>
      </c>
      <c r="O121" s="60" t="n"/>
      <c r="P121" s="61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  <c r="AG121" s="62" t="n"/>
      <c r="AH121" s="62" t="n"/>
      <c r="AI121" s="62" t="n"/>
      <c r="AJ121" s="62" t="n"/>
      <c r="AK121" s="62" t="n"/>
      <c r="AL121" s="62" t="n"/>
      <c r="AM121" s="62" t="n"/>
      <c r="AN121" s="62" t="n"/>
      <c r="AO121" s="62" t="n"/>
      <c r="AP121" s="62" t="n"/>
      <c r="AQ121" s="62" t="n"/>
      <c r="AR121" s="62" t="n"/>
      <c r="AS121" s="62" t="n"/>
      <c r="AT121" s="62" t="n"/>
      <c r="AU121" s="62" t="n"/>
      <c r="AV121" s="62" t="n"/>
      <c r="AW121" s="62" t="n"/>
      <c r="AX121" s="62" t="n"/>
      <c r="AY121" s="62" t="n"/>
    </row>
    <row r="122">
      <c r="A122" s="38">
        <f>IF(D122="","",COUNTA($D$102:D122))</f>
        <v/>
      </c>
      <c r="B122" s="52" t="n"/>
      <c r="C122" s="71" t="inlineStr">
        <is>
          <t>마케팅4팀</t>
        </is>
      </c>
      <c r="D122" s="52" t="n"/>
      <c r="E122" s="54" t="n"/>
      <c r="F122" s="52" t="n"/>
      <c r="G122" s="55" t="n"/>
      <c r="H122" s="54" t="n"/>
      <c r="I122" s="54" t="n"/>
      <c r="J122" s="54" t="n"/>
      <c r="K122" s="56">
        <f>IF(SUM(U122:AY122)=0,"",SUM(U122:AY122))</f>
        <v/>
      </c>
      <c r="L122" s="57">
        <f>IFERROR(INDEX(U$2:AY$2,MATCH(TRUE,U122:AY122&lt;&gt;"",0)),"")</f>
        <v/>
      </c>
      <c r="M122" s="58">
        <f>IFERROR(LOOKUP(2,1/(U122:AY122&lt;&gt;""),U$2:AY$2),"")</f>
        <v/>
      </c>
      <c r="N122" s="59">
        <f>IF(OR(G122="",M122=""),"",G122-M122)</f>
        <v/>
      </c>
      <c r="O122" s="60" t="n"/>
      <c r="P122" s="61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  <c r="AG122" s="62" t="n"/>
      <c r="AH122" s="62" t="n"/>
      <c r="AI122" s="62" t="n"/>
      <c r="AJ122" s="62" t="n"/>
      <c r="AK122" s="62" t="n"/>
      <c r="AL122" s="62" t="n"/>
      <c r="AM122" s="62" t="n"/>
      <c r="AN122" s="62" t="n"/>
      <c r="AO122" s="62" t="n"/>
      <c r="AP122" s="62" t="n"/>
      <c r="AQ122" s="62" t="n"/>
      <c r="AR122" s="62" t="n"/>
      <c r="AS122" s="62" t="n"/>
      <c r="AT122" s="62" t="n"/>
      <c r="AU122" s="62" t="n"/>
      <c r="AV122" s="62" t="n"/>
      <c r="AW122" s="62" t="n"/>
      <c r="AX122" s="62" t="n"/>
      <c r="AY122" s="62" t="n"/>
    </row>
    <row r="123">
      <c r="A123" s="38">
        <f>IF(D123="","",COUNTA($D$102:D123))</f>
        <v/>
      </c>
      <c r="B123" s="52" t="n"/>
      <c r="C123" s="71" t="inlineStr">
        <is>
          <t>마케팅4팀</t>
        </is>
      </c>
      <c r="D123" s="52" t="n"/>
      <c r="E123" s="54" t="n"/>
      <c r="F123" s="52" t="n"/>
      <c r="G123" s="55" t="n"/>
      <c r="H123" s="54" t="n"/>
      <c r="I123" s="54" t="n"/>
      <c r="J123" s="54" t="n"/>
      <c r="K123" s="56">
        <f>IF(SUM(U123:AY123)=0,"",SUM(U123:AY123))</f>
        <v/>
      </c>
      <c r="L123" s="57">
        <f>IFERROR(INDEX(U$2:AY$2,MATCH(TRUE,U123:AY123&lt;&gt;"",0)),"")</f>
        <v/>
      </c>
      <c r="M123" s="58">
        <f>IFERROR(LOOKUP(2,1/(U123:AY123&lt;&gt;""),U$2:AY$2),"")</f>
        <v/>
      </c>
      <c r="N123" s="59">
        <f>IF(OR(G123="",M123=""),"",G123-M123)</f>
        <v/>
      </c>
      <c r="O123" s="60" t="n"/>
      <c r="P123" s="61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  <c r="AG123" s="62" t="n"/>
      <c r="AH123" s="62" t="n"/>
      <c r="AI123" s="62" t="n"/>
      <c r="AJ123" s="62" t="n"/>
      <c r="AK123" s="62" t="n"/>
      <c r="AL123" s="62" t="n"/>
      <c r="AM123" s="62" t="n"/>
      <c r="AN123" s="62" t="n"/>
      <c r="AO123" s="62" t="n"/>
      <c r="AP123" s="62" t="n"/>
      <c r="AQ123" s="62" t="n"/>
      <c r="AR123" s="62" t="n"/>
      <c r="AS123" s="62" t="n"/>
      <c r="AT123" s="62" t="n"/>
      <c r="AU123" s="62" t="n"/>
      <c r="AV123" s="62" t="n"/>
      <c r="AW123" s="62" t="n"/>
      <c r="AX123" s="62" t="n"/>
      <c r="AY123" s="62" t="n"/>
    </row>
    <row r="124">
      <c r="A124" s="38">
        <f>IF(D124="","",COUNTA($D$102:D124))</f>
        <v/>
      </c>
      <c r="B124" s="52" t="n"/>
      <c r="C124" s="71" t="inlineStr">
        <is>
          <t>마케팅4팀</t>
        </is>
      </c>
      <c r="D124" s="52" t="n"/>
      <c r="E124" s="54" t="n"/>
      <c r="F124" s="52" t="n"/>
      <c r="G124" s="55" t="n"/>
      <c r="H124" s="54" t="n"/>
      <c r="I124" s="54" t="n"/>
      <c r="J124" s="54" t="n"/>
      <c r="K124" s="56">
        <f>IF(SUM(U124:AY124)=0,"",SUM(U124:AY124))</f>
        <v/>
      </c>
      <c r="L124" s="57">
        <f>IFERROR(INDEX(U$2:AY$2,MATCH(TRUE,U124:AY124&lt;&gt;"",0)),"")</f>
        <v/>
      </c>
      <c r="M124" s="58">
        <f>IFERROR(LOOKUP(2,1/(U124:AY124&lt;&gt;""),U$2:AY$2),"")</f>
        <v/>
      </c>
      <c r="N124" s="59">
        <f>IF(OR(G124="",M124=""),"",G124-M124)</f>
        <v/>
      </c>
      <c r="O124" s="60" t="n"/>
      <c r="P124" s="61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  <c r="AG124" s="62" t="n"/>
      <c r="AH124" s="62" t="n"/>
      <c r="AI124" s="62" t="n"/>
      <c r="AJ124" s="62" t="n"/>
      <c r="AK124" s="62" t="n"/>
      <c r="AL124" s="62" t="n"/>
      <c r="AM124" s="62" t="n"/>
      <c r="AN124" s="62" t="n"/>
      <c r="AO124" s="62" t="n"/>
      <c r="AP124" s="62" t="n"/>
      <c r="AQ124" s="62" t="n"/>
      <c r="AR124" s="62" t="n"/>
      <c r="AS124" s="62" t="n"/>
      <c r="AT124" s="62" t="n"/>
      <c r="AU124" s="62" t="n"/>
      <c r="AV124" s="62" t="n"/>
      <c r="AW124" s="62" t="n"/>
      <c r="AX124" s="62" t="n"/>
      <c r="AY124" s="62" t="n"/>
    </row>
    <row r="125">
      <c r="A125" s="38">
        <f>IF(D125="","",COUNTA($D$102:D125))</f>
        <v/>
      </c>
      <c r="B125" s="52" t="n"/>
      <c r="C125" s="71" t="inlineStr">
        <is>
          <t>마케팅4팀</t>
        </is>
      </c>
      <c r="D125" s="52" t="n"/>
      <c r="E125" s="54" t="n"/>
      <c r="F125" s="52" t="n"/>
      <c r="G125" s="55" t="n"/>
      <c r="H125" s="54" t="n"/>
      <c r="I125" s="54" t="n"/>
      <c r="J125" s="54" t="n"/>
      <c r="K125" s="56">
        <f>IF(SUM(U125:AY125)=0,"",SUM(U125:AY125))</f>
        <v/>
      </c>
      <c r="L125" s="57">
        <f>IFERROR(INDEX(U$2:AY$2,MATCH(TRUE,U125:AY125&lt;&gt;"",0)),"")</f>
        <v/>
      </c>
      <c r="M125" s="58">
        <f>IFERROR(LOOKUP(2,1/(U125:AY125&lt;&gt;""),U$2:AY$2),"")</f>
        <v/>
      </c>
      <c r="N125" s="59">
        <f>IF(OR(G125="",M125=""),"",G125-M125)</f>
        <v/>
      </c>
      <c r="O125" s="60" t="n"/>
      <c r="P125" s="61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  <c r="AG125" s="62" t="n"/>
      <c r="AH125" s="62" t="n"/>
      <c r="AI125" s="62" t="n"/>
      <c r="AJ125" s="62" t="n"/>
      <c r="AK125" s="62" t="n"/>
      <c r="AL125" s="62" t="n"/>
      <c r="AM125" s="62" t="n"/>
      <c r="AN125" s="62" t="n"/>
      <c r="AO125" s="62" t="n"/>
      <c r="AP125" s="62" t="n"/>
      <c r="AQ125" s="62" t="n"/>
      <c r="AR125" s="62" t="n"/>
      <c r="AS125" s="62" t="n"/>
      <c r="AT125" s="62" t="n"/>
      <c r="AU125" s="62" t="n"/>
      <c r="AV125" s="62" t="n"/>
      <c r="AW125" s="62" t="n"/>
      <c r="AX125" s="62" t="n"/>
      <c r="AY125" s="62" t="n"/>
    </row>
    <row r="126">
      <c r="A126" s="38">
        <f>IF(D126="","",COUNTA($D$102:D126))</f>
        <v/>
      </c>
      <c r="B126" s="52" t="n"/>
      <c r="C126" s="71" t="inlineStr">
        <is>
          <t>마케팅4팀</t>
        </is>
      </c>
      <c r="D126" s="52" t="n"/>
      <c r="E126" s="54" t="n"/>
      <c r="F126" s="52" t="n"/>
      <c r="G126" s="55" t="n"/>
      <c r="H126" s="54" t="n"/>
      <c r="I126" s="54" t="n"/>
      <c r="J126" s="54" t="n"/>
      <c r="K126" s="56">
        <f>IF(SUM(U126:AY126)=0,"",SUM(U126:AY126))</f>
        <v/>
      </c>
      <c r="L126" s="57">
        <f>IFERROR(INDEX(U$2:AY$2,MATCH(TRUE,U126:AY126&lt;&gt;"",0)),"")</f>
        <v/>
      </c>
      <c r="M126" s="58">
        <f>IFERROR(LOOKUP(2,1/(U126:AY126&lt;&gt;""),U$2:AY$2),"")</f>
        <v/>
      </c>
      <c r="N126" s="59">
        <f>IF(OR(G126="",M126=""),"",G126-M126)</f>
        <v/>
      </c>
      <c r="O126" s="60" t="n"/>
      <c r="P126" s="61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  <c r="AG126" s="62" t="n"/>
      <c r="AH126" s="62" t="n"/>
      <c r="AI126" s="62" t="n"/>
      <c r="AJ126" s="62" t="n"/>
      <c r="AK126" s="62" t="n"/>
      <c r="AL126" s="62" t="n"/>
      <c r="AM126" s="62" t="n"/>
      <c r="AN126" s="62" t="n"/>
      <c r="AO126" s="62" t="n"/>
      <c r="AP126" s="62" t="n"/>
      <c r="AQ126" s="62" t="n"/>
      <c r="AR126" s="62" t="n"/>
      <c r="AS126" s="62" t="n"/>
      <c r="AT126" s="62" t="n"/>
      <c r="AU126" s="62" t="n"/>
      <c r="AV126" s="62" t="n"/>
      <c r="AW126" s="62" t="n"/>
      <c r="AX126" s="62" t="n"/>
      <c r="AY126" s="62" t="n"/>
    </row>
    <row r="127">
      <c r="A127" s="38">
        <f>IF(D127="","",COUNTA($D$102:D127))</f>
        <v/>
      </c>
      <c r="B127" s="52" t="n"/>
      <c r="C127" s="71" t="inlineStr">
        <is>
          <t>마케팅4팀</t>
        </is>
      </c>
      <c r="D127" s="52" t="n"/>
      <c r="E127" s="54" t="n"/>
      <c r="F127" s="52" t="n"/>
      <c r="G127" s="55" t="n"/>
      <c r="H127" s="54" t="n"/>
      <c r="I127" s="54" t="n"/>
      <c r="J127" s="54" t="n"/>
      <c r="K127" s="56">
        <f>IF(SUM(U127:AY127)=0,"",SUM(U127:AY127))</f>
        <v/>
      </c>
      <c r="L127" s="57">
        <f>IFERROR(INDEX(U$2:AY$2,MATCH(TRUE,U127:AY127&lt;&gt;"",0)),"")</f>
        <v/>
      </c>
      <c r="M127" s="58">
        <f>IFERROR(LOOKUP(2,1/(U127:AY127&lt;&gt;""),U$2:AY$2),"")</f>
        <v/>
      </c>
      <c r="N127" s="59">
        <f>IF(OR(G127="",M127=""),"",G127-M127)</f>
        <v/>
      </c>
      <c r="O127" s="60" t="n"/>
      <c r="P127" s="61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  <c r="AG127" s="62" t="n"/>
      <c r="AH127" s="62" t="n"/>
      <c r="AI127" s="62" t="n"/>
      <c r="AJ127" s="62" t="n"/>
      <c r="AK127" s="62" t="n"/>
      <c r="AL127" s="62" t="n"/>
      <c r="AM127" s="62" t="n"/>
      <c r="AN127" s="62" t="n"/>
      <c r="AO127" s="62" t="n"/>
      <c r="AP127" s="62" t="n"/>
      <c r="AQ127" s="62" t="n"/>
      <c r="AR127" s="62" t="n"/>
      <c r="AS127" s="62" t="n"/>
      <c r="AT127" s="62" t="n"/>
      <c r="AU127" s="62" t="n"/>
      <c r="AV127" s="62" t="n"/>
      <c r="AW127" s="62" t="n"/>
      <c r="AX127" s="62" t="n"/>
      <c r="AY127" s="62" t="n"/>
    </row>
    <row r="128">
      <c r="A128" s="38">
        <f>IF(D128="","",COUNTA($D$102:D128))</f>
        <v/>
      </c>
      <c r="B128" s="52" t="n"/>
      <c r="C128" s="71" t="inlineStr">
        <is>
          <t>마케팅4팀</t>
        </is>
      </c>
      <c r="D128" s="52" t="n"/>
      <c r="E128" s="54" t="n"/>
      <c r="F128" s="52" t="n"/>
      <c r="G128" s="55" t="n"/>
      <c r="H128" s="54" t="n"/>
      <c r="I128" s="54" t="n"/>
      <c r="J128" s="54" t="n"/>
      <c r="K128" s="56">
        <f>IF(SUM(U128:AY128)=0,"",SUM(U128:AY128))</f>
        <v/>
      </c>
      <c r="L128" s="57">
        <f>IFERROR(INDEX(U$2:AY$2,MATCH(TRUE,U128:AY128&lt;&gt;"",0)),"")</f>
        <v/>
      </c>
      <c r="M128" s="58">
        <f>IFERROR(LOOKUP(2,1/(U128:AY128&lt;&gt;""),U$2:AY$2),"")</f>
        <v/>
      </c>
      <c r="N128" s="59">
        <f>IF(OR(G128="",M128=""),"",G128-M128)</f>
        <v/>
      </c>
      <c r="O128" s="60" t="n"/>
      <c r="P128" s="61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  <c r="AG128" s="62" t="n"/>
      <c r="AH128" s="62" t="n"/>
      <c r="AI128" s="62" t="n"/>
      <c r="AJ128" s="62" t="n"/>
      <c r="AK128" s="62" t="n"/>
      <c r="AL128" s="62" t="n"/>
      <c r="AM128" s="62" t="n"/>
      <c r="AN128" s="62" t="n"/>
      <c r="AO128" s="62" t="n"/>
      <c r="AP128" s="62" t="n"/>
      <c r="AQ128" s="62" t="n"/>
      <c r="AR128" s="62" t="n"/>
      <c r="AS128" s="62" t="n"/>
      <c r="AT128" s="62" t="n"/>
      <c r="AU128" s="62" t="n"/>
      <c r="AV128" s="62" t="n"/>
      <c r="AW128" s="62" t="n"/>
      <c r="AX128" s="62" t="n"/>
      <c r="AY128" s="62" t="n"/>
    </row>
    <row r="129">
      <c r="A129" s="38">
        <f>IF(D129="","",COUNTA($D$102:D129))</f>
        <v/>
      </c>
      <c r="B129" s="52" t="n"/>
      <c r="C129" s="71" t="inlineStr">
        <is>
          <t>마케팅4팀</t>
        </is>
      </c>
      <c r="D129" s="52" t="n"/>
      <c r="E129" s="54" t="n"/>
      <c r="F129" s="52" t="n"/>
      <c r="G129" s="55" t="n"/>
      <c r="H129" s="54" t="n"/>
      <c r="I129" s="54" t="n"/>
      <c r="J129" s="54" t="n"/>
      <c r="K129" s="56">
        <f>IF(SUM(U129:AY129)=0,"",SUM(U129:AY129))</f>
        <v/>
      </c>
      <c r="L129" s="57">
        <f>IFERROR(INDEX(U$2:AY$2,MATCH(TRUE,U129:AY129&lt;&gt;"",0)),"")</f>
        <v/>
      </c>
      <c r="M129" s="58">
        <f>IFERROR(LOOKUP(2,1/(U129:AY129&lt;&gt;""),U$2:AY$2),"")</f>
        <v/>
      </c>
      <c r="N129" s="59">
        <f>IF(OR(G129="",M129=""),"",G129-M129)</f>
        <v/>
      </c>
      <c r="O129" s="60" t="n"/>
      <c r="P129" s="61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  <c r="AG129" s="62" t="n"/>
      <c r="AH129" s="62" t="n"/>
      <c r="AI129" s="62" t="n"/>
      <c r="AJ129" s="62" t="n"/>
      <c r="AK129" s="62" t="n"/>
      <c r="AL129" s="62" t="n"/>
      <c r="AM129" s="62" t="n"/>
      <c r="AN129" s="62" t="n"/>
      <c r="AO129" s="62" t="n"/>
      <c r="AP129" s="62" t="n"/>
      <c r="AQ129" s="62" t="n"/>
      <c r="AR129" s="62" t="n"/>
      <c r="AS129" s="62" t="n"/>
      <c r="AT129" s="62" t="n"/>
      <c r="AU129" s="62" t="n"/>
      <c r="AV129" s="62" t="n"/>
      <c r="AW129" s="62" t="n"/>
      <c r="AX129" s="62" t="n"/>
      <c r="AY129" s="62" t="n"/>
    </row>
    <row r="130">
      <c r="A130" s="38">
        <f>IF(D130="","",COUNTA($D$102:D130))</f>
        <v/>
      </c>
      <c r="B130" s="52" t="n"/>
      <c r="C130" s="71" t="inlineStr">
        <is>
          <t>마케팅4팀</t>
        </is>
      </c>
      <c r="D130" s="52" t="n"/>
      <c r="E130" s="54" t="n"/>
      <c r="F130" s="52" t="n"/>
      <c r="G130" s="55" t="n"/>
      <c r="H130" s="54" t="n"/>
      <c r="I130" s="54" t="n"/>
      <c r="J130" s="54" t="n"/>
      <c r="K130" s="56">
        <f>IF(SUM(U130:AY130)=0,"",SUM(U130:AY130))</f>
        <v/>
      </c>
      <c r="L130" s="57">
        <f>IFERROR(INDEX(U$2:AY$2,MATCH(TRUE,U130:AY130&lt;&gt;"",0)),"")</f>
        <v/>
      </c>
      <c r="M130" s="58">
        <f>IFERROR(LOOKUP(2,1/(U130:AY130&lt;&gt;""),U$2:AY$2),"")</f>
        <v/>
      </c>
      <c r="N130" s="59">
        <f>IF(OR(G130="",M130=""),"",G130-M130)</f>
        <v/>
      </c>
      <c r="O130" s="60" t="n"/>
      <c r="P130" s="61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  <c r="AG130" s="62" t="n"/>
      <c r="AH130" s="62" t="n"/>
      <c r="AI130" s="62" t="n"/>
      <c r="AJ130" s="62" t="n"/>
      <c r="AK130" s="62" t="n"/>
      <c r="AL130" s="62" t="n"/>
      <c r="AM130" s="62" t="n"/>
      <c r="AN130" s="62" t="n"/>
      <c r="AO130" s="62" t="n"/>
      <c r="AP130" s="62" t="n"/>
      <c r="AQ130" s="62" t="n"/>
      <c r="AR130" s="62" t="n"/>
      <c r="AS130" s="62" t="n"/>
      <c r="AT130" s="62" t="n"/>
      <c r="AU130" s="62" t="n"/>
      <c r="AV130" s="62" t="n"/>
      <c r="AW130" s="62" t="n"/>
      <c r="AX130" s="62" t="n"/>
      <c r="AY130" s="62" t="n"/>
    </row>
    <row r="131">
      <c r="A131" s="38">
        <f>IF(D131="","",COUNTA($D$102:D131))</f>
        <v/>
      </c>
      <c r="B131" s="52" t="n"/>
      <c r="C131" s="71" t="inlineStr">
        <is>
          <t>마케팅4팀</t>
        </is>
      </c>
      <c r="D131" s="52" t="n"/>
      <c r="E131" s="54" t="n"/>
      <c r="F131" s="52" t="n"/>
      <c r="G131" s="55" t="n"/>
      <c r="H131" s="54" t="n"/>
      <c r="I131" s="54" t="n"/>
      <c r="J131" s="54" t="n"/>
      <c r="K131" s="56">
        <f>IF(SUM(U131:AY131)=0,"",SUM(U131:AY131))</f>
        <v/>
      </c>
      <c r="L131" s="57">
        <f>IFERROR(INDEX(U$2:AY$2,MATCH(TRUE,U131:AY131&lt;&gt;"",0)),"")</f>
        <v/>
      </c>
      <c r="M131" s="58">
        <f>IFERROR(LOOKUP(2,1/(U131:AY131&lt;&gt;""),U$2:AY$2),"")</f>
        <v/>
      </c>
      <c r="N131" s="59">
        <f>IF(OR(G131="",M131=""),"",G131-M131)</f>
        <v/>
      </c>
      <c r="O131" s="60" t="n"/>
      <c r="P131" s="61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  <c r="AG131" s="62" t="n"/>
      <c r="AH131" s="62" t="n"/>
      <c r="AI131" s="62" t="n"/>
      <c r="AJ131" s="62" t="n"/>
      <c r="AK131" s="62" t="n"/>
      <c r="AL131" s="62" t="n"/>
      <c r="AM131" s="62" t="n"/>
      <c r="AN131" s="62" t="n"/>
      <c r="AO131" s="62" t="n"/>
      <c r="AP131" s="62" t="n"/>
      <c r="AQ131" s="62" t="n"/>
      <c r="AR131" s="62" t="n"/>
      <c r="AS131" s="62" t="n"/>
      <c r="AT131" s="62" t="n"/>
      <c r="AU131" s="62" t="n"/>
      <c r="AV131" s="62" t="n"/>
      <c r="AW131" s="62" t="n"/>
      <c r="AX131" s="62" t="n"/>
      <c r="AY131" s="62" t="n"/>
    </row>
    <row r="132">
      <c r="A132" s="72" t="inlineStr">
        <is>
          <t>기타  (133~162행)</t>
        </is>
      </c>
      <c r="U132" s="34" t="n"/>
      <c r="V132" s="34" t="n"/>
      <c r="W132" s="34" t="n"/>
      <c r="X132" s="34" t="n"/>
      <c r="Y132" s="34" t="n"/>
      <c r="Z132" s="34" t="n"/>
      <c r="AA132" s="34" t="n"/>
      <c r="AB132" s="34" t="n"/>
      <c r="AC132" s="34" t="n"/>
      <c r="AD132" s="34" t="n"/>
      <c r="AE132" s="34" t="n"/>
      <c r="AF132" s="34" t="n"/>
      <c r="AG132" s="34" t="n"/>
      <c r="AH132" s="34" t="n"/>
      <c r="AI132" s="34" t="n"/>
      <c r="AJ132" s="34" t="n"/>
      <c r="AK132" s="34" t="n"/>
      <c r="AL132" s="34" t="n"/>
      <c r="AM132" s="34" t="n"/>
      <c r="AN132" s="34" t="n"/>
      <c r="AO132" s="34" t="n"/>
      <c r="AP132" s="34" t="n"/>
      <c r="AQ132" s="34" t="n"/>
      <c r="AR132" s="34" t="n"/>
      <c r="AS132" s="34" t="n"/>
      <c r="AT132" s="34" t="n"/>
      <c r="AU132" s="34" t="n"/>
      <c r="AV132" s="34" t="n"/>
      <c r="AW132" s="34" t="n"/>
      <c r="AX132" s="34" t="n"/>
      <c r="AY132" s="34" t="n"/>
    </row>
    <row r="133">
      <c r="A133" s="38">
        <f>IF(D133="","",COUNTA($D$133:D133))</f>
        <v/>
      </c>
      <c r="B133" s="52" t="n"/>
      <c r="C133" s="73" t="inlineStr">
        <is>
          <t>기타</t>
        </is>
      </c>
      <c r="D133" s="52" t="n"/>
      <c r="E133" s="54" t="n"/>
      <c r="F133" s="52" t="n"/>
      <c r="G133" s="55" t="n"/>
      <c r="H133" s="54" t="n"/>
      <c r="I133" s="54" t="n"/>
      <c r="J133" s="54" t="n"/>
      <c r="K133" s="56">
        <f>IF(SUM(U133:AY133)=0,"",SUM(U133:AY133))</f>
        <v/>
      </c>
      <c r="L133" s="57">
        <f>IFERROR(INDEX(U$2:AY$2,MATCH(TRUE,U133:AY133&lt;&gt;"",0)),"")</f>
        <v/>
      </c>
      <c r="M133" s="58">
        <f>IFERROR(LOOKUP(2,1/(U133:AY133&lt;&gt;""),U$2:AY$2),"")</f>
        <v/>
      </c>
      <c r="N133" s="59">
        <f>IF(OR(G133="",M133=""),"",G133-M133)</f>
        <v/>
      </c>
      <c r="O133" s="60" t="n"/>
      <c r="P133" s="61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  <c r="AG133" s="62" t="n"/>
      <c r="AH133" s="62" t="n"/>
      <c r="AI133" s="62" t="n"/>
      <c r="AJ133" s="62" t="n"/>
      <c r="AK133" s="62" t="n"/>
      <c r="AL133" s="62" t="n"/>
      <c r="AM133" s="62" t="n"/>
      <c r="AN133" s="62" t="n"/>
      <c r="AO133" s="62" t="n"/>
      <c r="AP133" s="62" t="n"/>
      <c r="AQ133" s="62" t="n"/>
      <c r="AR133" s="62" t="n"/>
      <c r="AS133" s="62" t="n"/>
      <c r="AT133" s="62" t="n"/>
      <c r="AU133" s="62" t="n"/>
      <c r="AV133" s="62" t="n"/>
      <c r="AW133" s="62" t="n"/>
      <c r="AX133" s="62" t="n"/>
      <c r="AY133" s="62" t="n"/>
    </row>
    <row r="134">
      <c r="A134" s="38">
        <f>IF(D134="","",COUNTA($D$133:D134))</f>
        <v/>
      </c>
      <c r="B134" s="52" t="n"/>
      <c r="C134" s="73" t="inlineStr">
        <is>
          <t>기타</t>
        </is>
      </c>
      <c r="D134" s="52" t="n"/>
      <c r="E134" s="54" t="n"/>
      <c r="F134" s="52" t="n"/>
      <c r="G134" s="55" t="n"/>
      <c r="H134" s="54" t="n"/>
      <c r="I134" s="54" t="n"/>
      <c r="J134" s="54" t="n"/>
      <c r="K134" s="56">
        <f>IF(SUM(U134:AY134)=0,"",SUM(U134:AY134))</f>
        <v/>
      </c>
      <c r="L134" s="57">
        <f>IFERROR(INDEX(U$2:AY$2,MATCH(TRUE,U134:AY134&lt;&gt;"",0)),"")</f>
        <v/>
      </c>
      <c r="M134" s="58">
        <f>IFERROR(LOOKUP(2,1/(U134:AY134&lt;&gt;""),U$2:AY$2),"")</f>
        <v/>
      </c>
      <c r="N134" s="59">
        <f>IF(OR(G134="",M134=""),"",G134-M134)</f>
        <v/>
      </c>
      <c r="O134" s="60" t="n"/>
      <c r="P134" s="61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  <c r="AG134" s="62" t="n"/>
      <c r="AH134" s="62" t="n"/>
      <c r="AI134" s="62" t="n"/>
      <c r="AJ134" s="62" t="n"/>
      <c r="AK134" s="62" t="n"/>
      <c r="AL134" s="62" t="n"/>
      <c r="AM134" s="62" t="n"/>
      <c r="AN134" s="62" t="n"/>
      <c r="AO134" s="62" t="n"/>
      <c r="AP134" s="62" t="n"/>
      <c r="AQ134" s="62" t="n"/>
      <c r="AR134" s="62" t="n"/>
      <c r="AS134" s="62" t="n"/>
      <c r="AT134" s="62" t="n"/>
      <c r="AU134" s="62" t="n"/>
      <c r="AV134" s="62" t="n"/>
      <c r="AW134" s="62" t="n"/>
      <c r="AX134" s="62" t="n"/>
      <c r="AY134" s="62" t="n"/>
    </row>
    <row r="135">
      <c r="A135" s="38">
        <f>IF(D135="","",COUNTA($D$133:D135))</f>
        <v/>
      </c>
      <c r="B135" s="52" t="n"/>
      <c r="C135" s="73" t="inlineStr">
        <is>
          <t>기타</t>
        </is>
      </c>
      <c r="D135" s="52" t="n"/>
      <c r="E135" s="54" t="n"/>
      <c r="F135" s="52" t="n"/>
      <c r="G135" s="55" t="n"/>
      <c r="H135" s="54" t="n"/>
      <c r="I135" s="54" t="n"/>
      <c r="J135" s="54" t="n"/>
      <c r="K135" s="56">
        <f>IF(SUM(U135:AY135)=0,"",SUM(U135:AY135))</f>
        <v/>
      </c>
      <c r="L135" s="57">
        <f>IFERROR(INDEX(U$2:AY$2,MATCH(TRUE,U135:AY135&lt;&gt;"",0)),"")</f>
        <v/>
      </c>
      <c r="M135" s="58">
        <f>IFERROR(LOOKUP(2,1/(U135:AY135&lt;&gt;""),U$2:AY$2),"")</f>
        <v/>
      </c>
      <c r="N135" s="59">
        <f>IF(OR(G135="",M135=""),"",G135-M135)</f>
        <v/>
      </c>
      <c r="O135" s="60" t="n"/>
      <c r="P135" s="61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  <c r="AG135" s="62" t="n"/>
      <c r="AH135" s="62" t="n"/>
      <c r="AI135" s="62" t="n"/>
      <c r="AJ135" s="62" t="n"/>
      <c r="AK135" s="62" t="n"/>
      <c r="AL135" s="62" t="n"/>
      <c r="AM135" s="62" t="n"/>
      <c r="AN135" s="62" t="n"/>
      <c r="AO135" s="62" t="n"/>
      <c r="AP135" s="62" t="n"/>
      <c r="AQ135" s="62" t="n"/>
      <c r="AR135" s="62" t="n"/>
      <c r="AS135" s="62" t="n"/>
      <c r="AT135" s="62" t="n"/>
      <c r="AU135" s="62" t="n"/>
      <c r="AV135" s="62" t="n"/>
      <c r="AW135" s="62" t="n"/>
      <c r="AX135" s="62" t="n"/>
      <c r="AY135" s="62" t="n"/>
    </row>
    <row r="136">
      <c r="A136" s="38">
        <f>IF(D136="","",COUNTA($D$133:D136))</f>
        <v/>
      </c>
      <c r="B136" s="52" t="n"/>
      <c r="C136" s="73" t="inlineStr">
        <is>
          <t>기타</t>
        </is>
      </c>
      <c r="D136" s="52" t="n"/>
      <c r="E136" s="54" t="n"/>
      <c r="F136" s="52" t="n"/>
      <c r="G136" s="55" t="n"/>
      <c r="H136" s="54" t="n"/>
      <c r="I136" s="54" t="n"/>
      <c r="J136" s="54" t="n"/>
      <c r="K136" s="56">
        <f>IF(SUM(U136:AY136)=0,"",SUM(U136:AY136))</f>
        <v/>
      </c>
      <c r="L136" s="57">
        <f>IFERROR(INDEX(U$2:AY$2,MATCH(TRUE,U136:AY136&lt;&gt;"",0)),"")</f>
        <v/>
      </c>
      <c r="M136" s="58">
        <f>IFERROR(LOOKUP(2,1/(U136:AY136&lt;&gt;""),U$2:AY$2),"")</f>
        <v/>
      </c>
      <c r="N136" s="59">
        <f>IF(OR(G136="",M136=""),"",G136-M136)</f>
        <v/>
      </c>
      <c r="O136" s="60" t="n"/>
      <c r="P136" s="61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  <c r="AG136" s="62" t="n"/>
      <c r="AH136" s="62" t="n"/>
      <c r="AI136" s="62" t="n"/>
      <c r="AJ136" s="62" t="n"/>
      <c r="AK136" s="62" t="n"/>
      <c r="AL136" s="62" t="n"/>
      <c r="AM136" s="62" t="n"/>
      <c r="AN136" s="62" t="n"/>
      <c r="AO136" s="62" t="n"/>
      <c r="AP136" s="62" t="n"/>
      <c r="AQ136" s="62" t="n"/>
      <c r="AR136" s="62" t="n"/>
      <c r="AS136" s="62" t="n"/>
      <c r="AT136" s="62" t="n"/>
      <c r="AU136" s="62" t="n"/>
      <c r="AV136" s="62" t="n"/>
      <c r="AW136" s="62" t="n"/>
      <c r="AX136" s="62" t="n"/>
      <c r="AY136" s="62" t="n"/>
    </row>
    <row r="137">
      <c r="A137" s="38">
        <f>IF(D137="","",COUNTA($D$133:D137))</f>
        <v/>
      </c>
      <c r="B137" s="52" t="n"/>
      <c r="C137" s="73" t="inlineStr">
        <is>
          <t>기타</t>
        </is>
      </c>
      <c r="D137" s="52" t="n"/>
      <c r="E137" s="54" t="n"/>
      <c r="F137" s="52" t="n"/>
      <c r="G137" s="55" t="n"/>
      <c r="H137" s="54" t="n"/>
      <c r="I137" s="54" t="n"/>
      <c r="J137" s="54" t="n"/>
      <c r="K137" s="56">
        <f>IF(SUM(U137:AY137)=0,"",SUM(U137:AY137))</f>
        <v/>
      </c>
      <c r="L137" s="57">
        <f>IFERROR(INDEX(U$2:AY$2,MATCH(TRUE,U137:AY137&lt;&gt;"",0)),"")</f>
        <v/>
      </c>
      <c r="M137" s="58">
        <f>IFERROR(LOOKUP(2,1/(U137:AY137&lt;&gt;""),U$2:AY$2),"")</f>
        <v/>
      </c>
      <c r="N137" s="59">
        <f>IF(OR(G137="",M137=""),"",G137-M137)</f>
        <v/>
      </c>
      <c r="O137" s="60" t="n"/>
      <c r="P137" s="61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  <c r="AG137" s="62" t="n"/>
      <c r="AH137" s="62" t="n"/>
      <c r="AI137" s="62" t="n"/>
      <c r="AJ137" s="62" t="n"/>
      <c r="AK137" s="62" t="n"/>
      <c r="AL137" s="62" t="n"/>
      <c r="AM137" s="62" t="n"/>
      <c r="AN137" s="62" t="n"/>
      <c r="AO137" s="62" t="n"/>
      <c r="AP137" s="62" t="n"/>
      <c r="AQ137" s="62" t="n"/>
      <c r="AR137" s="62" t="n"/>
      <c r="AS137" s="62" t="n"/>
      <c r="AT137" s="62" t="n"/>
      <c r="AU137" s="62" t="n"/>
      <c r="AV137" s="62" t="n"/>
      <c r="AW137" s="62" t="n"/>
      <c r="AX137" s="62" t="n"/>
      <c r="AY137" s="62" t="n"/>
    </row>
    <row r="138">
      <c r="A138" s="38">
        <f>IF(D138="","",COUNTA($D$133:D138))</f>
        <v/>
      </c>
      <c r="B138" s="52" t="n"/>
      <c r="C138" s="73" t="inlineStr">
        <is>
          <t>기타</t>
        </is>
      </c>
      <c r="D138" s="52" t="n"/>
      <c r="E138" s="54" t="n"/>
      <c r="F138" s="52" t="n"/>
      <c r="G138" s="55" t="n"/>
      <c r="H138" s="54" t="n"/>
      <c r="I138" s="54" t="n"/>
      <c r="J138" s="54" t="n"/>
      <c r="K138" s="56">
        <f>IF(SUM(U138:AY138)=0,"",SUM(U138:AY138))</f>
        <v/>
      </c>
      <c r="L138" s="57">
        <f>IFERROR(INDEX(U$2:AY$2,MATCH(TRUE,U138:AY138&lt;&gt;"",0)),"")</f>
        <v/>
      </c>
      <c r="M138" s="58">
        <f>IFERROR(LOOKUP(2,1/(U138:AY138&lt;&gt;""),U$2:AY$2),"")</f>
        <v/>
      </c>
      <c r="N138" s="59">
        <f>IF(OR(G138="",M138=""),"",G138-M138)</f>
        <v/>
      </c>
      <c r="O138" s="60" t="n"/>
      <c r="P138" s="61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  <c r="AG138" s="62" t="n"/>
      <c r="AH138" s="62" t="n"/>
      <c r="AI138" s="62" t="n"/>
      <c r="AJ138" s="62" t="n"/>
      <c r="AK138" s="62" t="n"/>
      <c r="AL138" s="62" t="n"/>
      <c r="AM138" s="62" t="n"/>
      <c r="AN138" s="62" t="n"/>
      <c r="AO138" s="62" t="n"/>
      <c r="AP138" s="62" t="n"/>
      <c r="AQ138" s="62" t="n"/>
      <c r="AR138" s="62" t="n"/>
      <c r="AS138" s="62" t="n"/>
      <c r="AT138" s="62" t="n"/>
      <c r="AU138" s="62" t="n"/>
      <c r="AV138" s="62" t="n"/>
      <c r="AW138" s="62" t="n"/>
      <c r="AX138" s="62" t="n"/>
      <c r="AY138" s="62" t="n"/>
    </row>
    <row r="139">
      <c r="A139" s="38">
        <f>IF(D139="","",COUNTA($D$133:D139))</f>
        <v/>
      </c>
      <c r="B139" s="52" t="n"/>
      <c r="C139" s="73" t="inlineStr">
        <is>
          <t>기타</t>
        </is>
      </c>
      <c r="D139" s="52" t="n"/>
      <c r="E139" s="54" t="n"/>
      <c r="F139" s="52" t="n"/>
      <c r="G139" s="55" t="n"/>
      <c r="H139" s="54" t="n"/>
      <c r="I139" s="54" t="n"/>
      <c r="J139" s="54" t="n"/>
      <c r="K139" s="56">
        <f>IF(SUM(U139:AY139)=0,"",SUM(U139:AY139))</f>
        <v/>
      </c>
      <c r="L139" s="57">
        <f>IFERROR(INDEX(U$2:AY$2,MATCH(TRUE,U139:AY139&lt;&gt;"",0)),"")</f>
        <v/>
      </c>
      <c r="M139" s="58">
        <f>IFERROR(LOOKUP(2,1/(U139:AY139&lt;&gt;""),U$2:AY$2),"")</f>
        <v/>
      </c>
      <c r="N139" s="59">
        <f>IF(OR(G139="",M139=""),"",G139-M139)</f>
        <v/>
      </c>
      <c r="O139" s="60" t="n"/>
      <c r="P139" s="61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  <c r="AG139" s="62" t="n"/>
      <c r="AH139" s="62" t="n"/>
      <c r="AI139" s="62" t="n"/>
      <c r="AJ139" s="62" t="n"/>
      <c r="AK139" s="62" t="n"/>
      <c r="AL139" s="62" t="n"/>
      <c r="AM139" s="62" t="n"/>
      <c r="AN139" s="62" t="n"/>
      <c r="AO139" s="62" t="n"/>
      <c r="AP139" s="62" t="n"/>
      <c r="AQ139" s="62" t="n"/>
      <c r="AR139" s="62" t="n"/>
      <c r="AS139" s="62" t="n"/>
      <c r="AT139" s="62" t="n"/>
      <c r="AU139" s="62" t="n"/>
      <c r="AV139" s="62" t="n"/>
      <c r="AW139" s="62" t="n"/>
      <c r="AX139" s="62" t="n"/>
      <c r="AY139" s="62" t="n"/>
    </row>
    <row r="140">
      <c r="A140" s="38">
        <f>IF(D140="","",COUNTA($D$133:D140))</f>
        <v/>
      </c>
      <c r="B140" s="52" t="n"/>
      <c r="C140" s="73" t="inlineStr">
        <is>
          <t>기타</t>
        </is>
      </c>
      <c r="D140" s="52" t="n"/>
      <c r="E140" s="54" t="n"/>
      <c r="F140" s="52" t="n"/>
      <c r="G140" s="55" t="n"/>
      <c r="H140" s="54" t="n"/>
      <c r="I140" s="54" t="n"/>
      <c r="J140" s="54" t="n"/>
      <c r="K140" s="56">
        <f>IF(SUM(U140:AY140)=0,"",SUM(U140:AY140))</f>
        <v/>
      </c>
      <c r="L140" s="57">
        <f>IFERROR(INDEX(U$2:AY$2,MATCH(TRUE,U140:AY140&lt;&gt;"",0)),"")</f>
        <v/>
      </c>
      <c r="M140" s="58">
        <f>IFERROR(LOOKUP(2,1/(U140:AY140&lt;&gt;""),U$2:AY$2),"")</f>
        <v/>
      </c>
      <c r="N140" s="59">
        <f>IF(OR(G140="",M140=""),"",G140-M140)</f>
        <v/>
      </c>
      <c r="O140" s="60" t="n"/>
      <c r="P140" s="61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  <c r="AG140" s="62" t="n"/>
      <c r="AH140" s="62" t="n"/>
      <c r="AI140" s="62" t="n"/>
      <c r="AJ140" s="62" t="n"/>
      <c r="AK140" s="62" t="n"/>
      <c r="AL140" s="62" t="n"/>
      <c r="AM140" s="62" t="n"/>
      <c r="AN140" s="62" t="n"/>
      <c r="AO140" s="62" t="n"/>
      <c r="AP140" s="62" t="n"/>
      <c r="AQ140" s="62" t="n"/>
      <c r="AR140" s="62" t="n"/>
      <c r="AS140" s="62" t="n"/>
      <c r="AT140" s="62" t="n"/>
      <c r="AU140" s="62" t="n"/>
      <c r="AV140" s="62" t="n"/>
      <c r="AW140" s="62" t="n"/>
      <c r="AX140" s="62" t="n"/>
      <c r="AY140" s="62" t="n"/>
    </row>
    <row r="141">
      <c r="A141" s="38">
        <f>IF(D141="","",COUNTA($D$133:D141))</f>
        <v/>
      </c>
      <c r="B141" s="52" t="n"/>
      <c r="C141" s="73" t="inlineStr">
        <is>
          <t>기타</t>
        </is>
      </c>
      <c r="D141" s="52" t="n"/>
      <c r="E141" s="54" t="n"/>
      <c r="F141" s="52" t="n"/>
      <c r="G141" s="55" t="n"/>
      <c r="H141" s="54" t="n"/>
      <c r="I141" s="54" t="n"/>
      <c r="J141" s="54" t="n"/>
      <c r="K141" s="56">
        <f>IF(SUM(U141:AY141)=0,"",SUM(U141:AY141))</f>
        <v/>
      </c>
      <c r="L141" s="57">
        <f>IFERROR(INDEX(U$2:AY$2,MATCH(TRUE,U141:AY141&lt;&gt;"",0)),"")</f>
        <v/>
      </c>
      <c r="M141" s="58">
        <f>IFERROR(LOOKUP(2,1/(U141:AY141&lt;&gt;""),U$2:AY$2),"")</f>
        <v/>
      </c>
      <c r="N141" s="59">
        <f>IF(OR(G141="",M141=""),"",G141-M141)</f>
        <v/>
      </c>
      <c r="O141" s="60" t="n"/>
      <c r="P141" s="61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  <c r="AG141" s="62" t="n"/>
      <c r="AH141" s="62" t="n"/>
      <c r="AI141" s="62" t="n"/>
      <c r="AJ141" s="62" t="n"/>
      <c r="AK141" s="62" t="n"/>
      <c r="AL141" s="62" t="n"/>
      <c r="AM141" s="62" t="n"/>
      <c r="AN141" s="62" t="n"/>
      <c r="AO141" s="62" t="n"/>
      <c r="AP141" s="62" t="n"/>
      <c r="AQ141" s="62" t="n"/>
      <c r="AR141" s="62" t="n"/>
      <c r="AS141" s="62" t="n"/>
      <c r="AT141" s="62" t="n"/>
      <c r="AU141" s="62" t="n"/>
      <c r="AV141" s="62" t="n"/>
      <c r="AW141" s="62" t="n"/>
      <c r="AX141" s="62" t="n"/>
      <c r="AY141" s="62" t="n"/>
    </row>
    <row r="142">
      <c r="A142" s="38">
        <f>IF(D142="","",COUNTA($D$133:D142))</f>
        <v/>
      </c>
      <c r="B142" s="52" t="n"/>
      <c r="C142" s="73" t="inlineStr">
        <is>
          <t>기타</t>
        </is>
      </c>
      <c r="D142" s="52" t="n"/>
      <c r="E142" s="54" t="n"/>
      <c r="F142" s="52" t="n"/>
      <c r="G142" s="55" t="n"/>
      <c r="H142" s="54" t="n"/>
      <c r="I142" s="54" t="n"/>
      <c r="J142" s="54" t="n"/>
      <c r="K142" s="56">
        <f>IF(SUM(U142:AY142)=0,"",SUM(U142:AY142))</f>
        <v/>
      </c>
      <c r="L142" s="57">
        <f>IFERROR(INDEX(U$2:AY$2,MATCH(TRUE,U142:AY142&lt;&gt;"",0)),"")</f>
        <v/>
      </c>
      <c r="M142" s="58">
        <f>IFERROR(LOOKUP(2,1/(U142:AY142&lt;&gt;""),U$2:AY$2),"")</f>
        <v/>
      </c>
      <c r="N142" s="59">
        <f>IF(OR(G142="",M142=""),"",G142-M142)</f>
        <v/>
      </c>
      <c r="O142" s="60" t="n"/>
      <c r="P142" s="61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  <c r="AG142" s="62" t="n"/>
      <c r="AH142" s="62" t="n"/>
      <c r="AI142" s="62" t="n"/>
      <c r="AJ142" s="62" t="n"/>
      <c r="AK142" s="62" t="n"/>
      <c r="AL142" s="62" t="n"/>
      <c r="AM142" s="62" t="n"/>
      <c r="AN142" s="62" t="n"/>
      <c r="AO142" s="62" t="n"/>
      <c r="AP142" s="62" t="n"/>
      <c r="AQ142" s="62" t="n"/>
      <c r="AR142" s="62" t="n"/>
      <c r="AS142" s="62" t="n"/>
      <c r="AT142" s="62" t="n"/>
      <c r="AU142" s="62" t="n"/>
      <c r="AV142" s="62" t="n"/>
      <c r="AW142" s="62" t="n"/>
      <c r="AX142" s="62" t="n"/>
      <c r="AY142" s="62" t="n"/>
    </row>
    <row r="143">
      <c r="A143" s="38">
        <f>IF(D143="","",COUNTA($D$133:D143))</f>
        <v/>
      </c>
      <c r="B143" s="52" t="n"/>
      <c r="C143" s="73" t="inlineStr">
        <is>
          <t>기타</t>
        </is>
      </c>
      <c r="D143" s="52" t="n"/>
      <c r="E143" s="54" t="n"/>
      <c r="F143" s="52" t="n"/>
      <c r="G143" s="55" t="n"/>
      <c r="H143" s="54" t="n"/>
      <c r="I143" s="54" t="n"/>
      <c r="J143" s="54" t="n"/>
      <c r="K143" s="56">
        <f>IF(SUM(U143:AY143)=0,"",SUM(U143:AY143))</f>
        <v/>
      </c>
      <c r="L143" s="57">
        <f>IFERROR(INDEX(U$2:AY$2,MATCH(TRUE,U143:AY143&lt;&gt;"",0)),"")</f>
        <v/>
      </c>
      <c r="M143" s="58">
        <f>IFERROR(LOOKUP(2,1/(U143:AY143&lt;&gt;""),U$2:AY$2),"")</f>
        <v/>
      </c>
      <c r="N143" s="59">
        <f>IF(OR(G143="",M143=""),"",G143-M143)</f>
        <v/>
      </c>
      <c r="O143" s="60" t="n"/>
      <c r="P143" s="61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  <c r="AG143" s="62" t="n"/>
      <c r="AH143" s="62" t="n"/>
      <c r="AI143" s="62" t="n"/>
      <c r="AJ143" s="62" t="n"/>
      <c r="AK143" s="62" t="n"/>
      <c r="AL143" s="62" t="n"/>
      <c r="AM143" s="62" t="n"/>
      <c r="AN143" s="62" t="n"/>
      <c r="AO143" s="62" t="n"/>
      <c r="AP143" s="62" t="n"/>
      <c r="AQ143" s="62" t="n"/>
      <c r="AR143" s="62" t="n"/>
      <c r="AS143" s="62" t="n"/>
      <c r="AT143" s="62" t="n"/>
      <c r="AU143" s="62" t="n"/>
      <c r="AV143" s="62" t="n"/>
      <c r="AW143" s="62" t="n"/>
      <c r="AX143" s="62" t="n"/>
      <c r="AY143" s="62" t="n"/>
    </row>
    <row r="144">
      <c r="A144" s="38">
        <f>IF(D144="","",COUNTA($D$133:D144))</f>
        <v/>
      </c>
      <c r="B144" s="52" t="n"/>
      <c r="C144" s="73" t="inlineStr">
        <is>
          <t>기타</t>
        </is>
      </c>
      <c r="D144" s="52" t="n"/>
      <c r="E144" s="54" t="n"/>
      <c r="F144" s="52" t="n"/>
      <c r="G144" s="55" t="n"/>
      <c r="H144" s="54" t="n"/>
      <c r="I144" s="54" t="n"/>
      <c r="J144" s="54" t="n"/>
      <c r="K144" s="56">
        <f>IF(SUM(U144:AY144)=0,"",SUM(U144:AY144))</f>
        <v/>
      </c>
      <c r="L144" s="57">
        <f>IFERROR(INDEX(U$2:AY$2,MATCH(TRUE,U144:AY144&lt;&gt;"",0)),"")</f>
        <v/>
      </c>
      <c r="M144" s="58">
        <f>IFERROR(LOOKUP(2,1/(U144:AY144&lt;&gt;""),U$2:AY$2),"")</f>
        <v/>
      </c>
      <c r="N144" s="59">
        <f>IF(OR(G144="",M144=""),"",G144-M144)</f>
        <v/>
      </c>
      <c r="O144" s="60" t="n"/>
      <c r="P144" s="61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  <c r="AG144" s="62" t="n"/>
      <c r="AH144" s="62" t="n"/>
      <c r="AI144" s="62" t="n"/>
      <c r="AJ144" s="62" t="n"/>
      <c r="AK144" s="62" t="n"/>
      <c r="AL144" s="62" t="n"/>
      <c r="AM144" s="62" t="n"/>
      <c r="AN144" s="62" t="n"/>
      <c r="AO144" s="62" t="n"/>
      <c r="AP144" s="62" t="n"/>
      <c r="AQ144" s="62" t="n"/>
      <c r="AR144" s="62" t="n"/>
      <c r="AS144" s="62" t="n"/>
      <c r="AT144" s="62" t="n"/>
      <c r="AU144" s="62" t="n"/>
      <c r="AV144" s="62" t="n"/>
      <c r="AW144" s="62" t="n"/>
      <c r="AX144" s="62" t="n"/>
      <c r="AY144" s="62" t="n"/>
    </row>
    <row r="145">
      <c r="A145" s="38">
        <f>IF(D145="","",COUNTA($D$133:D145))</f>
        <v/>
      </c>
      <c r="B145" s="52" t="n"/>
      <c r="C145" s="73" t="inlineStr">
        <is>
          <t>기타</t>
        </is>
      </c>
      <c r="D145" s="52" t="n"/>
      <c r="E145" s="54" t="n"/>
      <c r="F145" s="52" t="n"/>
      <c r="G145" s="55" t="n"/>
      <c r="H145" s="54" t="n"/>
      <c r="I145" s="54" t="n"/>
      <c r="J145" s="54" t="n"/>
      <c r="K145" s="56">
        <f>IF(SUM(U145:AY145)=0,"",SUM(U145:AY145))</f>
        <v/>
      </c>
      <c r="L145" s="57">
        <f>IFERROR(INDEX(U$2:AY$2,MATCH(TRUE,U145:AY145&lt;&gt;"",0)),"")</f>
        <v/>
      </c>
      <c r="M145" s="58">
        <f>IFERROR(LOOKUP(2,1/(U145:AY145&lt;&gt;""),U$2:AY$2),"")</f>
        <v/>
      </c>
      <c r="N145" s="59">
        <f>IF(OR(G145="",M145=""),"",G145-M145)</f>
        <v/>
      </c>
      <c r="O145" s="60" t="n"/>
      <c r="P145" s="61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  <c r="AG145" s="62" t="n"/>
      <c r="AH145" s="62" t="n"/>
      <c r="AI145" s="62" t="n"/>
      <c r="AJ145" s="62" t="n"/>
      <c r="AK145" s="62" t="n"/>
      <c r="AL145" s="62" t="n"/>
      <c r="AM145" s="62" t="n"/>
      <c r="AN145" s="62" t="n"/>
      <c r="AO145" s="62" t="n"/>
      <c r="AP145" s="62" t="n"/>
      <c r="AQ145" s="62" t="n"/>
      <c r="AR145" s="62" t="n"/>
      <c r="AS145" s="62" t="n"/>
      <c r="AT145" s="62" t="n"/>
      <c r="AU145" s="62" t="n"/>
      <c r="AV145" s="62" t="n"/>
      <c r="AW145" s="62" t="n"/>
      <c r="AX145" s="62" t="n"/>
      <c r="AY145" s="62" t="n"/>
    </row>
    <row r="146">
      <c r="A146" s="38">
        <f>IF(D146="","",COUNTA($D$133:D146))</f>
        <v/>
      </c>
      <c r="B146" s="52" t="n"/>
      <c r="C146" s="73" t="inlineStr">
        <is>
          <t>기타</t>
        </is>
      </c>
      <c r="D146" s="52" t="n"/>
      <c r="E146" s="54" t="n"/>
      <c r="F146" s="52" t="n"/>
      <c r="G146" s="55" t="n"/>
      <c r="H146" s="54" t="n"/>
      <c r="I146" s="54" t="n"/>
      <c r="J146" s="54" t="n"/>
      <c r="K146" s="56">
        <f>IF(SUM(U146:AY146)=0,"",SUM(U146:AY146))</f>
        <v/>
      </c>
      <c r="L146" s="57">
        <f>IFERROR(INDEX(U$2:AY$2,MATCH(TRUE,U146:AY146&lt;&gt;"",0)),"")</f>
        <v/>
      </c>
      <c r="M146" s="58">
        <f>IFERROR(LOOKUP(2,1/(U146:AY146&lt;&gt;""),U$2:AY$2),"")</f>
        <v/>
      </c>
      <c r="N146" s="59">
        <f>IF(OR(G146="",M146=""),"",G146-M146)</f>
        <v/>
      </c>
      <c r="O146" s="60" t="n"/>
      <c r="P146" s="61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  <c r="AG146" s="62" t="n"/>
      <c r="AH146" s="62" t="n"/>
      <c r="AI146" s="62" t="n"/>
      <c r="AJ146" s="62" t="n"/>
      <c r="AK146" s="62" t="n"/>
      <c r="AL146" s="62" t="n"/>
      <c r="AM146" s="62" t="n"/>
      <c r="AN146" s="62" t="n"/>
      <c r="AO146" s="62" t="n"/>
      <c r="AP146" s="62" t="n"/>
      <c r="AQ146" s="62" t="n"/>
      <c r="AR146" s="62" t="n"/>
      <c r="AS146" s="62" t="n"/>
      <c r="AT146" s="62" t="n"/>
      <c r="AU146" s="62" t="n"/>
      <c r="AV146" s="62" t="n"/>
      <c r="AW146" s="62" t="n"/>
      <c r="AX146" s="62" t="n"/>
      <c r="AY146" s="62" t="n"/>
    </row>
    <row r="147">
      <c r="A147" s="38">
        <f>IF(D147="","",COUNTA($D$133:D147))</f>
        <v/>
      </c>
      <c r="B147" s="52" t="n"/>
      <c r="C147" s="73" t="inlineStr">
        <is>
          <t>기타</t>
        </is>
      </c>
      <c r="D147" s="52" t="n"/>
      <c r="E147" s="54" t="n"/>
      <c r="F147" s="52" t="n"/>
      <c r="G147" s="55" t="n"/>
      <c r="H147" s="54" t="n"/>
      <c r="I147" s="54" t="n"/>
      <c r="J147" s="54" t="n"/>
      <c r="K147" s="56">
        <f>IF(SUM(U147:AY147)=0,"",SUM(U147:AY147))</f>
        <v/>
      </c>
      <c r="L147" s="57">
        <f>IFERROR(INDEX(U$2:AY$2,MATCH(TRUE,U147:AY147&lt;&gt;"",0)),"")</f>
        <v/>
      </c>
      <c r="M147" s="58">
        <f>IFERROR(LOOKUP(2,1/(U147:AY147&lt;&gt;""),U$2:AY$2),"")</f>
        <v/>
      </c>
      <c r="N147" s="59">
        <f>IF(OR(G147="",M147=""),"",G147-M147)</f>
        <v/>
      </c>
      <c r="O147" s="60" t="n"/>
      <c r="P147" s="61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  <c r="AG147" s="62" t="n"/>
      <c r="AH147" s="62" t="n"/>
      <c r="AI147" s="62" t="n"/>
      <c r="AJ147" s="62" t="n"/>
      <c r="AK147" s="62" t="n"/>
      <c r="AL147" s="62" t="n"/>
      <c r="AM147" s="62" t="n"/>
      <c r="AN147" s="62" t="n"/>
      <c r="AO147" s="62" t="n"/>
      <c r="AP147" s="62" t="n"/>
      <c r="AQ147" s="62" t="n"/>
      <c r="AR147" s="62" t="n"/>
      <c r="AS147" s="62" t="n"/>
      <c r="AT147" s="62" t="n"/>
      <c r="AU147" s="62" t="n"/>
      <c r="AV147" s="62" t="n"/>
      <c r="AW147" s="62" t="n"/>
      <c r="AX147" s="62" t="n"/>
      <c r="AY147" s="62" t="n"/>
    </row>
    <row r="148">
      <c r="A148" s="38">
        <f>IF(D148="","",COUNTA($D$133:D148))</f>
        <v/>
      </c>
      <c r="B148" s="52" t="n"/>
      <c r="C148" s="73" t="inlineStr">
        <is>
          <t>기타</t>
        </is>
      </c>
      <c r="D148" s="52" t="n"/>
      <c r="E148" s="54" t="n"/>
      <c r="F148" s="52" t="n"/>
      <c r="G148" s="55" t="n"/>
      <c r="H148" s="54" t="n"/>
      <c r="I148" s="54" t="n"/>
      <c r="J148" s="54" t="n"/>
      <c r="K148" s="56">
        <f>IF(SUM(U148:AY148)=0,"",SUM(U148:AY148))</f>
        <v/>
      </c>
      <c r="L148" s="57">
        <f>IFERROR(INDEX(U$2:AY$2,MATCH(TRUE,U148:AY148&lt;&gt;"",0)),"")</f>
        <v/>
      </c>
      <c r="M148" s="58">
        <f>IFERROR(LOOKUP(2,1/(U148:AY148&lt;&gt;""),U$2:AY$2),"")</f>
        <v/>
      </c>
      <c r="N148" s="59">
        <f>IF(OR(G148="",M148=""),"",G148-M148)</f>
        <v/>
      </c>
      <c r="O148" s="60" t="n"/>
      <c r="P148" s="61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  <c r="AG148" s="62" t="n"/>
      <c r="AH148" s="62" t="n"/>
      <c r="AI148" s="62" t="n"/>
      <c r="AJ148" s="62" t="n"/>
      <c r="AK148" s="62" t="n"/>
      <c r="AL148" s="62" t="n"/>
      <c r="AM148" s="62" t="n"/>
      <c r="AN148" s="62" t="n"/>
      <c r="AO148" s="62" t="n"/>
      <c r="AP148" s="62" t="n"/>
      <c r="AQ148" s="62" t="n"/>
      <c r="AR148" s="62" t="n"/>
      <c r="AS148" s="62" t="n"/>
      <c r="AT148" s="62" t="n"/>
      <c r="AU148" s="62" t="n"/>
      <c r="AV148" s="62" t="n"/>
      <c r="AW148" s="62" t="n"/>
      <c r="AX148" s="62" t="n"/>
      <c r="AY148" s="62" t="n"/>
    </row>
    <row r="149">
      <c r="A149" s="38">
        <f>IF(D149="","",COUNTA($D$133:D149))</f>
        <v/>
      </c>
      <c r="B149" s="52" t="n"/>
      <c r="C149" s="73" t="inlineStr">
        <is>
          <t>기타</t>
        </is>
      </c>
      <c r="D149" s="52" t="n"/>
      <c r="E149" s="54" t="n"/>
      <c r="F149" s="52" t="n"/>
      <c r="G149" s="55" t="n"/>
      <c r="H149" s="54" t="n"/>
      <c r="I149" s="54" t="n"/>
      <c r="J149" s="54" t="n"/>
      <c r="K149" s="56">
        <f>IF(SUM(U149:AY149)=0,"",SUM(U149:AY149))</f>
        <v/>
      </c>
      <c r="L149" s="57">
        <f>IFERROR(INDEX(U$2:AY$2,MATCH(TRUE,U149:AY149&lt;&gt;"",0)),"")</f>
        <v/>
      </c>
      <c r="M149" s="58">
        <f>IFERROR(LOOKUP(2,1/(U149:AY149&lt;&gt;""),U$2:AY$2),"")</f>
        <v/>
      </c>
      <c r="N149" s="59">
        <f>IF(OR(G149="",M149=""),"",G149-M149)</f>
        <v/>
      </c>
      <c r="O149" s="60" t="n"/>
      <c r="P149" s="61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  <c r="AG149" s="62" t="n"/>
      <c r="AH149" s="62" t="n"/>
      <c r="AI149" s="62" t="n"/>
      <c r="AJ149" s="62" t="n"/>
      <c r="AK149" s="62" t="n"/>
      <c r="AL149" s="62" t="n"/>
      <c r="AM149" s="62" t="n"/>
      <c r="AN149" s="62" t="n"/>
      <c r="AO149" s="62" t="n"/>
      <c r="AP149" s="62" t="n"/>
      <c r="AQ149" s="62" t="n"/>
      <c r="AR149" s="62" t="n"/>
      <c r="AS149" s="62" t="n"/>
      <c r="AT149" s="62" t="n"/>
      <c r="AU149" s="62" t="n"/>
      <c r="AV149" s="62" t="n"/>
      <c r="AW149" s="62" t="n"/>
      <c r="AX149" s="62" t="n"/>
      <c r="AY149" s="62" t="n"/>
    </row>
    <row r="150">
      <c r="A150" s="38">
        <f>IF(D150="","",COUNTA($D$133:D150))</f>
        <v/>
      </c>
      <c r="B150" s="52" t="n"/>
      <c r="C150" s="73" t="inlineStr">
        <is>
          <t>기타</t>
        </is>
      </c>
      <c r="D150" s="52" t="n"/>
      <c r="E150" s="54" t="n"/>
      <c r="F150" s="52" t="n"/>
      <c r="G150" s="55" t="n"/>
      <c r="H150" s="54" t="n"/>
      <c r="I150" s="54" t="n"/>
      <c r="J150" s="54" t="n"/>
      <c r="K150" s="56">
        <f>IF(SUM(U150:AY150)=0,"",SUM(U150:AY150))</f>
        <v/>
      </c>
      <c r="L150" s="57">
        <f>IFERROR(INDEX(U$2:AY$2,MATCH(TRUE,U150:AY150&lt;&gt;"",0)),"")</f>
        <v/>
      </c>
      <c r="M150" s="58">
        <f>IFERROR(LOOKUP(2,1/(U150:AY150&lt;&gt;""),U$2:AY$2),"")</f>
        <v/>
      </c>
      <c r="N150" s="59">
        <f>IF(OR(G150="",M150=""),"",G150-M150)</f>
        <v/>
      </c>
      <c r="O150" s="60" t="n"/>
      <c r="P150" s="61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  <c r="AG150" s="62" t="n"/>
      <c r="AH150" s="62" t="n"/>
      <c r="AI150" s="62" t="n"/>
      <c r="AJ150" s="62" t="n"/>
      <c r="AK150" s="62" t="n"/>
      <c r="AL150" s="62" t="n"/>
      <c r="AM150" s="62" t="n"/>
      <c r="AN150" s="62" t="n"/>
      <c r="AO150" s="62" t="n"/>
      <c r="AP150" s="62" t="n"/>
      <c r="AQ150" s="62" t="n"/>
      <c r="AR150" s="62" t="n"/>
      <c r="AS150" s="62" t="n"/>
      <c r="AT150" s="62" t="n"/>
      <c r="AU150" s="62" t="n"/>
      <c r="AV150" s="62" t="n"/>
      <c r="AW150" s="62" t="n"/>
      <c r="AX150" s="62" t="n"/>
      <c r="AY150" s="62" t="n"/>
    </row>
    <row r="151">
      <c r="A151" s="38">
        <f>IF(D151="","",COUNTA($D$133:D151))</f>
        <v/>
      </c>
      <c r="B151" s="52" t="n"/>
      <c r="C151" s="73" t="inlineStr">
        <is>
          <t>기타</t>
        </is>
      </c>
      <c r="D151" s="52" t="n"/>
      <c r="E151" s="54" t="n"/>
      <c r="F151" s="52" t="n"/>
      <c r="G151" s="55" t="n"/>
      <c r="H151" s="54" t="n"/>
      <c r="I151" s="54" t="n"/>
      <c r="J151" s="54" t="n"/>
      <c r="K151" s="56">
        <f>IF(SUM(U151:AY151)=0,"",SUM(U151:AY151))</f>
        <v/>
      </c>
      <c r="L151" s="57">
        <f>IFERROR(INDEX(U$2:AY$2,MATCH(TRUE,U151:AY151&lt;&gt;"",0)),"")</f>
        <v/>
      </c>
      <c r="M151" s="58">
        <f>IFERROR(LOOKUP(2,1/(U151:AY151&lt;&gt;""),U$2:AY$2),"")</f>
        <v/>
      </c>
      <c r="N151" s="59">
        <f>IF(OR(G151="",M151=""),"",G151-M151)</f>
        <v/>
      </c>
      <c r="O151" s="60" t="n"/>
      <c r="P151" s="61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  <c r="AG151" s="62" t="n"/>
      <c r="AH151" s="62" t="n"/>
      <c r="AI151" s="62" t="n"/>
      <c r="AJ151" s="62" t="n"/>
      <c r="AK151" s="62" t="n"/>
      <c r="AL151" s="62" t="n"/>
      <c r="AM151" s="62" t="n"/>
      <c r="AN151" s="62" t="n"/>
      <c r="AO151" s="62" t="n"/>
      <c r="AP151" s="62" t="n"/>
      <c r="AQ151" s="62" t="n"/>
      <c r="AR151" s="62" t="n"/>
      <c r="AS151" s="62" t="n"/>
      <c r="AT151" s="62" t="n"/>
      <c r="AU151" s="62" t="n"/>
      <c r="AV151" s="62" t="n"/>
      <c r="AW151" s="62" t="n"/>
      <c r="AX151" s="62" t="n"/>
      <c r="AY151" s="62" t="n"/>
    </row>
    <row r="152">
      <c r="A152" s="38">
        <f>IF(D152="","",COUNTA($D$133:D152))</f>
        <v/>
      </c>
      <c r="B152" s="52" t="n"/>
      <c r="C152" s="73" t="inlineStr">
        <is>
          <t>기타</t>
        </is>
      </c>
      <c r="D152" s="52" t="n"/>
      <c r="E152" s="54" t="n"/>
      <c r="F152" s="52" t="n"/>
      <c r="G152" s="55" t="n"/>
      <c r="H152" s="54" t="n"/>
      <c r="I152" s="54" t="n"/>
      <c r="J152" s="54" t="n"/>
      <c r="K152" s="56">
        <f>IF(SUM(U152:AY152)=0,"",SUM(U152:AY152))</f>
        <v/>
      </c>
      <c r="L152" s="57">
        <f>IFERROR(INDEX(U$2:AY$2,MATCH(TRUE,U152:AY152&lt;&gt;"",0)),"")</f>
        <v/>
      </c>
      <c r="M152" s="58">
        <f>IFERROR(LOOKUP(2,1/(U152:AY152&lt;&gt;""),U$2:AY$2),"")</f>
        <v/>
      </c>
      <c r="N152" s="59">
        <f>IF(OR(G152="",M152=""),"",G152-M152)</f>
        <v/>
      </c>
      <c r="O152" s="60" t="n"/>
      <c r="P152" s="61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  <c r="AG152" s="62" t="n"/>
      <c r="AH152" s="62" t="n"/>
      <c r="AI152" s="62" t="n"/>
      <c r="AJ152" s="62" t="n"/>
      <c r="AK152" s="62" t="n"/>
      <c r="AL152" s="62" t="n"/>
      <c r="AM152" s="62" t="n"/>
      <c r="AN152" s="62" t="n"/>
      <c r="AO152" s="62" t="n"/>
      <c r="AP152" s="62" t="n"/>
      <c r="AQ152" s="62" t="n"/>
      <c r="AR152" s="62" t="n"/>
      <c r="AS152" s="62" t="n"/>
      <c r="AT152" s="62" t="n"/>
      <c r="AU152" s="62" t="n"/>
      <c r="AV152" s="62" t="n"/>
      <c r="AW152" s="62" t="n"/>
      <c r="AX152" s="62" t="n"/>
      <c r="AY152" s="62" t="n"/>
    </row>
    <row r="153">
      <c r="A153" s="38">
        <f>IF(D153="","",COUNTA($D$133:D153))</f>
        <v/>
      </c>
      <c r="B153" s="52" t="n"/>
      <c r="C153" s="73" t="inlineStr">
        <is>
          <t>기타</t>
        </is>
      </c>
      <c r="D153" s="52" t="n"/>
      <c r="E153" s="54" t="n"/>
      <c r="F153" s="52" t="n"/>
      <c r="G153" s="55" t="n"/>
      <c r="H153" s="54" t="n"/>
      <c r="I153" s="54" t="n"/>
      <c r="J153" s="54" t="n"/>
      <c r="K153" s="56">
        <f>IF(SUM(U153:AY153)=0,"",SUM(U153:AY153))</f>
        <v/>
      </c>
      <c r="L153" s="57">
        <f>IFERROR(INDEX(U$2:AY$2,MATCH(TRUE,U153:AY153&lt;&gt;"",0)),"")</f>
        <v/>
      </c>
      <c r="M153" s="58">
        <f>IFERROR(LOOKUP(2,1/(U153:AY153&lt;&gt;""),U$2:AY$2),"")</f>
        <v/>
      </c>
      <c r="N153" s="59">
        <f>IF(OR(G153="",M153=""),"",G153-M153)</f>
        <v/>
      </c>
      <c r="O153" s="60" t="n"/>
      <c r="P153" s="61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  <c r="AG153" s="62" t="n"/>
      <c r="AH153" s="62" t="n"/>
      <c r="AI153" s="62" t="n"/>
      <c r="AJ153" s="62" t="n"/>
      <c r="AK153" s="62" t="n"/>
      <c r="AL153" s="62" t="n"/>
      <c r="AM153" s="62" t="n"/>
      <c r="AN153" s="62" t="n"/>
      <c r="AO153" s="62" t="n"/>
      <c r="AP153" s="62" t="n"/>
      <c r="AQ153" s="62" t="n"/>
      <c r="AR153" s="62" t="n"/>
      <c r="AS153" s="62" t="n"/>
      <c r="AT153" s="62" t="n"/>
      <c r="AU153" s="62" t="n"/>
      <c r="AV153" s="62" t="n"/>
      <c r="AW153" s="62" t="n"/>
      <c r="AX153" s="62" t="n"/>
      <c r="AY153" s="62" t="n"/>
    </row>
    <row r="154">
      <c r="A154" s="38">
        <f>IF(D154="","",COUNTA($D$133:D154))</f>
        <v/>
      </c>
      <c r="B154" s="52" t="n"/>
      <c r="C154" s="73" t="inlineStr">
        <is>
          <t>기타</t>
        </is>
      </c>
      <c r="D154" s="52" t="n"/>
      <c r="E154" s="54" t="n"/>
      <c r="F154" s="52" t="n"/>
      <c r="G154" s="55" t="n"/>
      <c r="H154" s="54" t="n"/>
      <c r="I154" s="54" t="n"/>
      <c r="J154" s="54" t="n"/>
      <c r="K154" s="56">
        <f>IF(SUM(U154:AY154)=0,"",SUM(U154:AY154))</f>
        <v/>
      </c>
      <c r="L154" s="57">
        <f>IFERROR(INDEX(U$2:AY$2,MATCH(TRUE,U154:AY154&lt;&gt;"",0)),"")</f>
        <v/>
      </c>
      <c r="M154" s="58">
        <f>IFERROR(LOOKUP(2,1/(U154:AY154&lt;&gt;""),U$2:AY$2),"")</f>
        <v/>
      </c>
      <c r="N154" s="59">
        <f>IF(OR(G154="",M154=""),"",G154-M154)</f>
        <v/>
      </c>
      <c r="O154" s="60" t="n"/>
      <c r="P154" s="61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  <c r="AG154" s="62" t="n"/>
      <c r="AH154" s="62" t="n"/>
      <c r="AI154" s="62" t="n"/>
      <c r="AJ154" s="62" t="n"/>
      <c r="AK154" s="62" t="n"/>
      <c r="AL154" s="62" t="n"/>
      <c r="AM154" s="62" t="n"/>
      <c r="AN154" s="62" t="n"/>
      <c r="AO154" s="62" t="n"/>
      <c r="AP154" s="62" t="n"/>
      <c r="AQ154" s="62" t="n"/>
      <c r="AR154" s="62" t="n"/>
      <c r="AS154" s="62" t="n"/>
      <c r="AT154" s="62" t="n"/>
      <c r="AU154" s="62" t="n"/>
      <c r="AV154" s="62" t="n"/>
      <c r="AW154" s="62" t="n"/>
      <c r="AX154" s="62" t="n"/>
      <c r="AY154" s="62" t="n"/>
    </row>
    <row r="155">
      <c r="A155" s="38">
        <f>IF(D155="","",COUNTA($D$133:D155))</f>
        <v/>
      </c>
      <c r="B155" s="52" t="n"/>
      <c r="C155" s="73" t="inlineStr">
        <is>
          <t>기타</t>
        </is>
      </c>
      <c r="D155" s="52" t="n"/>
      <c r="E155" s="54" t="n"/>
      <c r="F155" s="52" t="n"/>
      <c r="G155" s="55" t="n"/>
      <c r="H155" s="54" t="n"/>
      <c r="I155" s="54" t="n"/>
      <c r="J155" s="54" t="n"/>
      <c r="K155" s="56">
        <f>IF(SUM(U155:AY155)=0,"",SUM(U155:AY155))</f>
        <v/>
      </c>
      <c r="L155" s="57">
        <f>IFERROR(INDEX(U$2:AY$2,MATCH(TRUE,U155:AY155&lt;&gt;"",0)),"")</f>
        <v/>
      </c>
      <c r="M155" s="58">
        <f>IFERROR(LOOKUP(2,1/(U155:AY155&lt;&gt;""),U$2:AY$2),"")</f>
        <v/>
      </c>
      <c r="N155" s="59">
        <f>IF(OR(G155="",M155=""),"",G155-M155)</f>
        <v/>
      </c>
      <c r="O155" s="60" t="n"/>
      <c r="P155" s="61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  <c r="AG155" s="62" t="n"/>
      <c r="AH155" s="62" t="n"/>
      <c r="AI155" s="62" t="n"/>
      <c r="AJ155" s="62" t="n"/>
      <c r="AK155" s="62" t="n"/>
      <c r="AL155" s="62" t="n"/>
      <c r="AM155" s="62" t="n"/>
      <c r="AN155" s="62" t="n"/>
      <c r="AO155" s="62" t="n"/>
      <c r="AP155" s="62" t="n"/>
      <c r="AQ155" s="62" t="n"/>
      <c r="AR155" s="62" t="n"/>
      <c r="AS155" s="62" t="n"/>
      <c r="AT155" s="62" t="n"/>
      <c r="AU155" s="62" t="n"/>
      <c r="AV155" s="62" t="n"/>
      <c r="AW155" s="62" t="n"/>
      <c r="AX155" s="62" t="n"/>
      <c r="AY155" s="62" t="n"/>
    </row>
    <row r="156">
      <c r="A156" s="38">
        <f>IF(D156="","",COUNTA($D$133:D156))</f>
        <v/>
      </c>
      <c r="B156" s="52" t="n"/>
      <c r="C156" s="73" t="inlineStr">
        <is>
          <t>기타</t>
        </is>
      </c>
      <c r="D156" s="52" t="n"/>
      <c r="E156" s="54" t="n"/>
      <c r="F156" s="52" t="n"/>
      <c r="G156" s="55" t="n"/>
      <c r="H156" s="54" t="n"/>
      <c r="I156" s="54" t="n"/>
      <c r="J156" s="54" t="n"/>
      <c r="K156" s="56">
        <f>IF(SUM(U156:AY156)=0,"",SUM(U156:AY156))</f>
        <v/>
      </c>
      <c r="L156" s="57">
        <f>IFERROR(INDEX(U$2:AY$2,MATCH(TRUE,U156:AY156&lt;&gt;"",0)),"")</f>
        <v/>
      </c>
      <c r="M156" s="58">
        <f>IFERROR(LOOKUP(2,1/(U156:AY156&lt;&gt;""),U$2:AY$2),"")</f>
        <v/>
      </c>
      <c r="N156" s="59">
        <f>IF(OR(G156="",M156=""),"",G156-M156)</f>
        <v/>
      </c>
      <c r="O156" s="60" t="n"/>
      <c r="P156" s="61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  <c r="AG156" s="62" t="n"/>
      <c r="AH156" s="62" t="n"/>
      <c r="AI156" s="62" t="n"/>
      <c r="AJ156" s="62" t="n"/>
      <c r="AK156" s="62" t="n"/>
      <c r="AL156" s="62" t="n"/>
      <c r="AM156" s="62" t="n"/>
      <c r="AN156" s="62" t="n"/>
      <c r="AO156" s="62" t="n"/>
      <c r="AP156" s="62" t="n"/>
      <c r="AQ156" s="62" t="n"/>
      <c r="AR156" s="62" t="n"/>
      <c r="AS156" s="62" t="n"/>
      <c r="AT156" s="62" t="n"/>
      <c r="AU156" s="62" t="n"/>
      <c r="AV156" s="62" t="n"/>
      <c r="AW156" s="62" t="n"/>
      <c r="AX156" s="62" t="n"/>
      <c r="AY156" s="62" t="n"/>
    </row>
    <row r="157">
      <c r="A157" s="38">
        <f>IF(D157="","",COUNTA($D$133:D157))</f>
        <v/>
      </c>
      <c r="B157" s="52" t="n"/>
      <c r="C157" s="73" t="inlineStr">
        <is>
          <t>기타</t>
        </is>
      </c>
      <c r="D157" s="52" t="n"/>
      <c r="E157" s="54" t="n"/>
      <c r="F157" s="52" t="n"/>
      <c r="G157" s="55" t="n"/>
      <c r="H157" s="54" t="n"/>
      <c r="I157" s="54" t="n"/>
      <c r="J157" s="54" t="n"/>
      <c r="K157" s="56">
        <f>IF(SUM(U157:AY157)=0,"",SUM(U157:AY157))</f>
        <v/>
      </c>
      <c r="L157" s="57">
        <f>IFERROR(INDEX(U$2:AY$2,MATCH(TRUE,U157:AY157&lt;&gt;"",0)),"")</f>
        <v/>
      </c>
      <c r="M157" s="58">
        <f>IFERROR(LOOKUP(2,1/(U157:AY157&lt;&gt;""),U$2:AY$2),"")</f>
        <v/>
      </c>
      <c r="N157" s="59">
        <f>IF(OR(G157="",M157=""),"",G157-M157)</f>
        <v/>
      </c>
      <c r="O157" s="60" t="n"/>
      <c r="P157" s="61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  <c r="AG157" s="62" t="n"/>
      <c r="AH157" s="62" t="n"/>
      <c r="AI157" s="62" t="n"/>
      <c r="AJ157" s="62" t="n"/>
      <c r="AK157" s="62" t="n"/>
      <c r="AL157" s="62" t="n"/>
      <c r="AM157" s="62" t="n"/>
      <c r="AN157" s="62" t="n"/>
      <c r="AO157" s="62" t="n"/>
      <c r="AP157" s="62" t="n"/>
      <c r="AQ157" s="62" t="n"/>
      <c r="AR157" s="62" t="n"/>
      <c r="AS157" s="62" t="n"/>
      <c r="AT157" s="62" t="n"/>
      <c r="AU157" s="62" t="n"/>
      <c r="AV157" s="62" t="n"/>
      <c r="AW157" s="62" t="n"/>
      <c r="AX157" s="62" t="n"/>
      <c r="AY157" s="62" t="n"/>
    </row>
    <row r="158">
      <c r="A158" s="38">
        <f>IF(D158="","",COUNTA($D$133:D158))</f>
        <v/>
      </c>
      <c r="B158" s="52" t="n"/>
      <c r="C158" s="73" t="inlineStr">
        <is>
          <t>기타</t>
        </is>
      </c>
      <c r="D158" s="52" t="n"/>
      <c r="E158" s="54" t="n"/>
      <c r="F158" s="52" t="n"/>
      <c r="G158" s="55" t="n"/>
      <c r="H158" s="54" t="n"/>
      <c r="I158" s="54" t="n"/>
      <c r="J158" s="54" t="n"/>
      <c r="K158" s="56">
        <f>IF(SUM(U158:AY158)=0,"",SUM(U158:AY158))</f>
        <v/>
      </c>
      <c r="L158" s="57">
        <f>IFERROR(INDEX(U$2:AY$2,MATCH(TRUE,U158:AY158&lt;&gt;"",0)),"")</f>
        <v/>
      </c>
      <c r="M158" s="58">
        <f>IFERROR(LOOKUP(2,1/(U158:AY158&lt;&gt;""),U$2:AY$2),"")</f>
        <v/>
      </c>
      <c r="N158" s="59">
        <f>IF(OR(G158="",M158=""),"",G158-M158)</f>
        <v/>
      </c>
      <c r="O158" s="60" t="n"/>
      <c r="P158" s="61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  <c r="AG158" s="62" t="n"/>
      <c r="AH158" s="62" t="n"/>
      <c r="AI158" s="62" t="n"/>
      <c r="AJ158" s="62" t="n"/>
      <c r="AK158" s="62" t="n"/>
      <c r="AL158" s="62" t="n"/>
      <c r="AM158" s="62" t="n"/>
      <c r="AN158" s="62" t="n"/>
      <c r="AO158" s="62" t="n"/>
      <c r="AP158" s="62" t="n"/>
      <c r="AQ158" s="62" t="n"/>
      <c r="AR158" s="62" t="n"/>
      <c r="AS158" s="62" t="n"/>
      <c r="AT158" s="62" t="n"/>
      <c r="AU158" s="62" t="n"/>
      <c r="AV158" s="62" t="n"/>
      <c r="AW158" s="62" t="n"/>
      <c r="AX158" s="62" t="n"/>
      <c r="AY158" s="62" t="n"/>
    </row>
    <row r="159">
      <c r="A159" s="38">
        <f>IF(D159="","",COUNTA($D$133:D159))</f>
        <v/>
      </c>
      <c r="B159" s="52" t="n"/>
      <c r="C159" s="73" t="inlineStr">
        <is>
          <t>기타</t>
        </is>
      </c>
      <c r="D159" s="52" t="n"/>
      <c r="E159" s="54" t="n"/>
      <c r="F159" s="52" t="n"/>
      <c r="G159" s="55" t="n"/>
      <c r="H159" s="54" t="n"/>
      <c r="I159" s="54" t="n"/>
      <c r="J159" s="54" t="n"/>
      <c r="K159" s="56">
        <f>IF(SUM(U159:AY159)=0,"",SUM(U159:AY159))</f>
        <v/>
      </c>
      <c r="L159" s="57">
        <f>IFERROR(INDEX(U$2:AY$2,MATCH(TRUE,U159:AY159&lt;&gt;"",0)),"")</f>
        <v/>
      </c>
      <c r="M159" s="58">
        <f>IFERROR(LOOKUP(2,1/(U159:AY159&lt;&gt;""),U$2:AY$2),"")</f>
        <v/>
      </c>
      <c r="N159" s="59">
        <f>IF(OR(G159="",M159=""),"",G159-M159)</f>
        <v/>
      </c>
      <c r="O159" s="60" t="n"/>
      <c r="P159" s="61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  <c r="AG159" s="62" t="n"/>
      <c r="AH159" s="62" t="n"/>
      <c r="AI159" s="62" t="n"/>
      <c r="AJ159" s="62" t="n"/>
      <c r="AK159" s="62" t="n"/>
      <c r="AL159" s="62" t="n"/>
      <c r="AM159" s="62" t="n"/>
      <c r="AN159" s="62" t="n"/>
      <c r="AO159" s="62" t="n"/>
      <c r="AP159" s="62" t="n"/>
      <c r="AQ159" s="62" t="n"/>
      <c r="AR159" s="62" t="n"/>
      <c r="AS159" s="62" t="n"/>
      <c r="AT159" s="62" t="n"/>
      <c r="AU159" s="62" t="n"/>
      <c r="AV159" s="62" t="n"/>
      <c r="AW159" s="62" t="n"/>
      <c r="AX159" s="62" t="n"/>
      <c r="AY159" s="62" t="n"/>
    </row>
    <row r="160">
      <c r="A160" s="38">
        <f>IF(D160="","",COUNTA($D$133:D160))</f>
        <v/>
      </c>
      <c r="B160" s="52" t="n"/>
      <c r="C160" s="73" t="inlineStr">
        <is>
          <t>기타</t>
        </is>
      </c>
      <c r="D160" s="52" t="n"/>
      <c r="E160" s="54" t="n"/>
      <c r="F160" s="52" t="n"/>
      <c r="G160" s="55" t="n"/>
      <c r="H160" s="54" t="n"/>
      <c r="I160" s="54" t="n"/>
      <c r="J160" s="54" t="n"/>
      <c r="K160" s="56">
        <f>IF(SUM(U160:AY160)=0,"",SUM(U160:AY160))</f>
        <v/>
      </c>
      <c r="L160" s="57">
        <f>IFERROR(INDEX(U$2:AY$2,MATCH(TRUE,U160:AY160&lt;&gt;"",0)),"")</f>
        <v/>
      </c>
      <c r="M160" s="58">
        <f>IFERROR(LOOKUP(2,1/(U160:AY160&lt;&gt;""),U$2:AY$2),"")</f>
        <v/>
      </c>
      <c r="N160" s="59">
        <f>IF(OR(G160="",M160=""),"",G160-M160)</f>
        <v/>
      </c>
      <c r="O160" s="60" t="n"/>
      <c r="P160" s="61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  <c r="AG160" s="62" t="n"/>
      <c r="AH160" s="62" t="n"/>
      <c r="AI160" s="62" t="n"/>
      <c r="AJ160" s="62" t="n"/>
      <c r="AK160" s="62" t="n"/>
      <c r="AL160" s="62" t="n"/>
      <c r="AM160" s="62" t="n"/>
      <c r="AN160" s="62" t="n"/>
      <c r="AO160" s="62" t="n"/>
      <c r="AP160" s="62" t="n"/>
      <c r="AQ160" s="62" t="n"/>
      <c r="AR160" s="62" t="n"/>
      <c r="AS160" s="62" t="n"/>
      <c r="AT160" s="62" t="n"/>
      <c r="AU160" s="62" t="n"/>
      <c r="AV160" s="62" t="n"/>
      <c r="AW160" s="62" t="n"/>
      <c r="AX160" s="62" t="n"/>
      <c r="AY160" s="62" t="n"/>
    </row>
    <row r="161">
      <c r="A161" s="38">
        <f>IF(D161="","",COUNTA($D$133:D161))</f>
        <v/>
      </c>
      <c r="B161" s="52" t="n"/>
      <c r="C161" s="73" t="inlineStr">
        <is>
          <t>기타</t>
        </is>
      </c>
      <c r="D161" s="52" t="n"/>
      <c r="E161" s="54" t="n"/>
      <c r="F161" s="52" t="n"/>
      <c r="G161" s="55" t="n"/>
      <c r="H161" s="54" t="n"/>
      <c r="I161" s="54" t="n"/>
      <c r="J161" s="54" t="n"/>
      <c r="K161" s="56">
        <f>IF(SUM(U161:AY161)=0,"",SUM(U161:AY161))</f>
        <v/>
      </c>
      <c r="L161" s="57">
        <f>IFERROR(INDEX(U$2:AY$2,MATCH(TRUE,U161:AY161&lt;&gt;"",0)),"")</f>
        <v/>
      </c>
      <c r="M161" s="58">
        <f>IFERROR(LOOKUP(2,1/(U161:AY161&lt;&gt;""),U$2:AY$2),"")</f>
        <v/>
      </c>
      <c r="N161" s="59">
        <f>IF(OR(G161="",M161=""),"",G161-M161)</f>
        <v/>
      </c>
      <c r="O161" s="60" t="n"/>
      <c r="P161" s="61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  <c r="AG161" s="62" t="n"/>
      <c r="AH161" s="62" t="n"/>
      <c r="AI161" s="62" t="n"/>
      <c r="AJ161" s="62" t="n"/>
      <c r="AK161" s="62" t="n"/>
      <c r="AL161" s="62" t="n"/>
      <c r="AM161" s="62" t="n"/>
      <c r="AN161" s="62" t="n"/>
      <c r="AO161" s="62" t="n"/>
      <c r="AP161" s="62" t="n"/>
      <c r="AQ161" s="62" t="n"/>
      <c r="AR161" s="62" t="n"/>
      <c r="AS161" s="62" t="n"/>
      <c r="AT161" s="62" t="n"/>
      <c r="AU161" s="62" t="n"/>
      <c r="AV161" s="62" t="n"/>
      <c r="AW161" s="62" t="n"/>
      <c r="AX161" s="62" t="n"/>
      <c r="AY161" s="62" t="n"/>
    </row>
    <row r="162">
      <c r="A162" s="38">
        <f>IF(D162="","",COUNTA($D$133:D162))</f>
        <v/>
      </c>
      <c r="B162" s="52" t="n"/>
      <c r="C162" s="73" t="inlineStr">
        <is>
          <t>기타</t>
        </is>
      </c>
      <c r="D162" s="52" t="n"/>
      <c r="E162" s="54" t="n"/>
      <c r="F162" s="52" t="n"/>
      <c r="G162" s="55" t="n"/>
      <c r="H162" s="54" t="n"/>
      <c r="I162" s="54" t="n"/>
      <c r="J162" s="54" t="n"/>
      <c r="K162" s="56">
        <f>IF(SUM(U162:AY162)=0,"",SUM(U162:AY162))</f>
        <v/>
      </c>
      <c r="L162" s="57">
        <f>IFERROR(INDEX(U$2:AY$2,MATCH(TRUE,U162:AY162&lt;&gt;"",0)),"")</f>
        <v/>
      </c>
      <c r="M162" s="58">
        <f>IFERROR(LOOKUP(2,1/(U162:AY162&lt;&gt;""),U$2:AY$2),"")</f>
        <v/>
      </c>
      <c r="N162" s="59">
        <f>IF(OR(G162="",M162=""),"",G162-M162)</f>
        <v/>
      </c>
      <c r="O162" s="60" t="n"/>
      <c r="P162" s="61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  <c r="AG162" s="62" t="n"/>
      <c r="AH162" s="62" t="n"/>
      <c r="AI162" s="62" t="n"/>
      <c r="AJ162" s="62" t="n"/>
      <c r="AK162" s="62" t="n"/>
      <c r="AL162" s="62" t="n"/>
      <c r="AM162" s="62" t="n"/>
      <c r="AN162" s="62" t="n"/>
      <c r="AO162" s="62" t="n"/>
      <c r="AP162" s="62" t="n"/>
      <c r="AQ162" s="62" t="n"/>
      <c r="AR162" s="62" t="n"/>
      <c r="AS162" s="62" t="n"/>
      <c r="AT162" s="62" t="n"/>
      <c r="AU162" s="62" t="n"/>
      <c r="AV162" s="62" t="n"/>
      <c r="AW162" s="62" t="n"/>
      <c r="AX162" s="62" t="n"/>
      <c r="AY162" s="62" t="n"/>
    </row>
    <row r="163">
      <c r="A163" s="74">
        <f>'마스터'!$J$5</f>
        <v/>
      </c>
    </row>
    <row r="164">
      <c r="A164" s="74" t="inlineStr">
        <is>
          <t>공휴일(로컬 미러 - 조건부서식 전용, 편집 불필요)</t>
        </is>
      </c>
    </row>
    <row r="165">
      <c r="A165" s="75">
        <f>'마스터'!$J$13</f>
        <v/>
      </c>
    </row>
    <row r="166">
      <c r="A166" s="75">
        <f>'마스터'!$J$14</f>
        <v/>
      </c>
    </row>
    <row r="167">
      <c r="A167" s="75">
        <f>'마스터'!$J$15</f>
        <v/>
      </c>
    </row>
    <row r="168">
      <c r="A168" s="75">
        <f>'마스터'!$J$16</f>
        <v/>
      </c>
    </row>
    <row r="169">
      <c r="A169" s="75">
        <f>'마스터'!$J$17</f>
        <v/>
      </c>
    </row>
    <row r="170">
      <c r="A170" s="75">
        <f>'마스터'!$J$18</f>
        <v/>
      </c>
    </row>
    <row r="171">
      <c r="A171" s="75">
        <f>'마스터'!$J$19</f>
        <v/>
      </c>
    </row>
    <row r="172">
      <c r="A172" s="75">
        <f>'마스터'!$J$20</f>
        <v/>
      </c>
    </row>
    <row r="173">
      <c r="A173" s="75">
        <f>'마스터'!$J$21</f>
        <v/>
      </c>
    </row>
    <row r="174">
      <c r="A174" s="75">
        <f>'마스터'!$J$22</f>
        <v/>
      </c>
    </row>
    <row r="175">
      <c r="A175" s="75">
        <f>'마스터'!$J$23</f>
        <v/>
      </c>
    </row>
    <row r="176">
      <c r="A176" s="75">
        <f>'마스터'!$J$24</f>
        <v/>
      </c>
    </row>
    <row r="177">
      <c r="A177" s="75">
        <f>'마스터'!$J$25</f>
        <v/>
      </c>
    </row>
    <row r="178">
      <c r="A178" s="75">
        <f>'마스터'!$J$26</f>
        <v/>
      </c>
    </row>
    <row r="179">
      <c r="A179" s="75">
        <f>'마스터'!$J$27</f>
        <v/>
      </c>
    </row>
  </sheetData>
  <mergeCells count="13">
    <mergeCell ref="H1:J1"/>
    <mergeCell ref="K1:P1"/>
    <mergeCell ref="A1:G1"/>
    <mergeCell ref="A132:P132"/>
    <mergeCell ref="A5:F5"/>
    <mergeCell ref="A70:P70"/>
    <mergeCell ref="A8:P8"/>
    <mergeCell ref="U1:AY1"/>
    <mergeCell ref="A6:F6"/>
    <mergeCell ref="A39:P39"/>
    <mergeCell ref="A4:F4"/>
    <mergeCell ref="A101:P101"/>
    <mergeCell ref="A3:F3"/>
  </mergeCells>
  <conditionalFormatting sqref="U3:AY6">
    <cfRule type="expression" priority="1" dxfId="0">
      <formula>U3&gt;$H3</formula>
    </cfRule>
    <cfRule type="expression" priority="2" dxfId="1">
      <formula>AND(U3&gt;0,U3&gt;=$H3*0.8)</formula>
    </cfRule>
  </conditionalFormatting>
  <conditionalFormatting sqref="U3:AY162">
    <cfRule type="expression" priority="3" dxfId="2">
      <formula>OR(WEEKDAY(U$2,2)&gt;5,COUNTIF($A$165:$A$179,U$2)&gt;0)</formula>
    </cfRule>
  </conditionalFormatting>
  <conditionalFormatting sqref="U8:AY162">
    <cfRule type="expression" priority="4" dxfId="3">
      <formula>AND($F8&lt;&gt;"",U8&lt;&gt;"",SUMIF($F$8:$F$162,$F8,U$8:U$162)&gt;$A$163)</formula>
    </cfRule>
    <cfRule type="expression" priority="5" dxfId="4">
      <formula>$E8="기획"</formula>
    </cfRule>
    <cfRule type="expression" priority="6" dxfId="5">
      <formula>$E8="이미지"</formula>
    </cfRule>
    <cfRule type="expression" priority="7" dxfId="6">
      <formula>$E8="영상"</formula>
    </cfRule>
    <cfRule type="expression" priority="8" dxfId="7">
      <formula>AND($E8="기획",U8&lt;&gt;"")</formula>
    </cfRule>
    <cfRule type="expression" priority="9" dxfId="8">
      <formula>AND($E8="이미지",U8&lt;&gt;"")</formula>
    </cfRule>
    <cfRule type="expression" priority="10" dxfId="9">
      <formula>AND($E8="영상",U8&lt;&gt;"")</formula>
    </cfRule>
  </conditionalFormatting>
  <conditionalFormatting sqref="N8:N162">
    <cfRule type="expression" priority="11" dxfId="10">
      <formula>AND(N8&lt;&gt;"",N8&lt;0)</formula>
    </cfRule>
    <cfRule type="expression" priority="12" dxfId="11">
      <formula>AND(N8&lt;&gt;"",N8&gt;=0,N8&lt;=1)</formula>
    </cfRule>
    <cfRule type="expression" priority="13" dxfId="12">
      <formula>AND(N8&lt;&gt;"",N8&gt;1)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E8:E162" showDropDown="0" showInputMessage="0" showErrorMessage="0" allowBlank="1" type="list">
      <formula1>='마스터'!$E$3:$E$5</formula1>
    </dataValidation>
    <dataValidation sqref="O8:O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179"/>
  <sheetViews>
    <sheetView showGridLines="0" workbookViewId="0">
      <pane xSplit="7" ySplit="7" topLeftCell="H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20" customWidth="1" min="4" max="4"/>
    <col width="7" customWidth="1" min="5" max="5"/>
    <col width="9" customWidth="1" min="6" max="6"/>
    <col width="9" customWidth="1" min="7" max="7"/>
    <col width="5" customWidth="1" min="8" max="8"/>
    <col width="5" customWidth="1" min="9" max="9"/>
    <col width="5" customWidth="1" min="10" max="10"/>
    <col width="6" customWidth="1" min="11" max="11"/>
    <col width="8" customWidth="1" min="12" max="12"/>
    <col width="8" customWidth="1" min="13" max="13"/>
    <col width="6" customWidth="1" min="14" max="14"/>
    <col width="7" customWidth="1" min="15" max="15"/>
    <col width="12" customWidth="1" min="16" max="16"/>
    <col width="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</cols>
  <sheetData>
    <row r="1">
      <c r="A1" s="40" t="inlineStr">
        <is>
          <t>6월 업무 정보 (소재명 = 직군별 줄)</t>
        </is>
      </c>
      <c r="H1" s="41" t="inlineStr">
        <is>
          <t>수량 (소재당 1번만)</t>
        </is>
      </c>
      <c r="K1" s="42" t="inlineStr">
        <is>
          <t>집계 / 일정 (자동)</t>
        </is>
      </c>
      <c r="U1" s="14" t="inlineStr">
        <is>
          <t>6월 간트 - 날짜 칸에 MD 직접 입력 (주말+공휴일 회색)  상단 4줄=일자별 직군 TO 상태</t>
        </is>
      </c>
    </row>
    <row r="2">
      <c r="A2" s="43" t="inlineStr">
        <is>
          <t>No</t>
        </is>
      </c>
      <c r="B2" s="43" t="inlineStr">
        <is>
          <t>게임 타이틀명</t>
        </is>
      </c>
      <c r="C2" s="43" t="inlineStr">
        <is>
          <t>고객팀</t>
        </is>
      </c>
      <c r="D2" s="43" t="inlineStr">
        <is>
          <t>소재명(업무명)</t>
        </is>
      </c>
      <c r="E2" s="43" t="inlineStr">
        <is>
          <t>직군</t>
        </is>
      </c>
      <c r="F2" s="43" t="inlineStr">
        <is>
          <t>담당자</t>
        </is>
      </c>
      <c r="G2" s="43" t="inlineStr">
        <is>
          <t>최종완료일
(고객전달)</t>
        </is>
      </c>
      <c r="H2" s="43" t="inlineStr">
        <is>
          <t>영상
수</t>
        </is>
      </c>
      <c r="I2" s="43" t="inlineStr">
        <is>
          <t>사이즈
베리</t>
        </is>
      </c>
      <c r="J2" s="43" t="inlineStr">
        <is>
          <t>다국어
베리</t>
        </is>
      </c>
      <c r="K2" s="43" t="inlineStr">
        <is>
          <t>합계
MD</t>
        </is>
      </c>
      <c r="L2" s="43" t="inlineStr">
        <is>
          <t>시작일
(자동)</t>
        </is>
      </c>
      <c r="M2" s="43" t="inlineStr">
        <is>
          <t>완료일
(자동)</t>
        </is>
      </c>
      <c r="N2" s="43" t="inlineStr">
        <is>
          <t>여유</t>
        </is>
      </c>
      <c r="O2" s="43" t="inlineStr">
        <is>
          <t>상태</t>
        </is>
      </c>
      <c r="P2" s="43" t="inlineStr">
        <is>
          <t>비고</t>
        </is>
      </c>
      <c r="U2" s="44">
        <f>DATE('마스터'!$J$3,6,1)</f>
        <v/>
      </c>
      <c r="V2" s="44">
        <f>U2+1</f>
        <v/>
      </c>
      <c r="W2" s="44">
        <f>V2+1</f>
        <v/>
      </c>
      <c r="X2" s="44">
        <f>W2+1</f>
        <v/>
      </c>
      <c r="Y2" s="44">
        <f>X2+1</f>
        <v/>
      </c>
      <c r="Z2" s="44">
        <f>Y2+1</f>
        <v/>
      </c>
      <c r="AA2" s="44">
        <f>Z2+1</f>
        <v/>
      </c>
      <c r="AB2" s="44">
        <f>AA2+1</f>
        <v/>
      </c>
      <c r="AC2" s="44">
        <f>AB2+1</f>
        <v/>
      </c>
      <c r="AD2" s="44">
        <f>AC2+1</f>
        <v/>
      </c>
      <c r="AE2" s="44">
        <f>AD2+1</f>
        <v/>
      </c>
      <c r="AF2" s="44">
        <f>AE2+1</f>
        <v/>
      </c>
      <c r="AG2" s="44">
        <f>AF2+1</f>
        <v/>
      </c>
      <c r="AH2" s="44">
        <f>AG2+1</f>
        <v/>
      </c>
      <c r="AI2" s="44">
        <f>AH2+1</f>
        <v/>
      </c>
      <c r="AJ2" s="44">
        <f>AI2+1</f>
        <v/>
      </c>
      <c r="AK2" s="44">
        <f>AJ2+1</f>
        <v/>
      </c>
      <c r="AL2" s="44">
        <f>AK2+1</f>
        <v/>
      </c>
      <c r="AM2" s="44">
        <f>AL2+1</f>
        <v/>
      </c>
      <c r="AN2" s="44">
        <f>AM2+1</f>
        <v/>
      </c>
      <c r="AO2" s="44">
        <f>AN2+1</f>
        <v/>
      </c>
      <c r="AP2" s="44">
        <f>AO2+1</f>
        <v/>
      </c>
      <c r="AQ2" s="44">
        <f>AP2+1</f>
        <v/>
      </c>
      <c r="AR2" s="44">
        <f>AQ2+1</f>
        <v/>
      </c>
      <c r="AS2" s="44">
        <f>AR2+1</f>
        <v/>
      </c>
      <c r="AT2" s="44">
        <f>AS2+1</f>
        <v/>
      </c>
      <c r="AU2" s="44">
        <f>AT2+1</f>
        <v/>
      </c>
      <c r="AV2" s="44">
        <f>AU2+1</f>
        <v/>
      </c>
      <c r="AW2" s="44">
        <f>AV2+1</f>
        <v/>
      </c>
      <c r="AX2" s="44">
        <f>AW2+1</f>
        <v/>
      </c>
      <c r="AY2" s="44">
        <f>AX2+1</f>
        <v/>
      </c>
    </row>
    <row r="3">
      <c r="A3" s="45" t="inlineStr">
        <is>
          <t>전체 TO (일자별 부하)</t>
        </is>
      </c>
      <c r="G3" s="46" t="inlineStr">
        <is>
          <t>정원</t>
        </is>
      </c>
      <c r="H3" s="47">
        <f>SUM('마스터'!$J$8:$J$10)</f>
        <v/>
      </c>
      <c r="I3" s="48" t="n"/>
      <c r="J3" s="48" t="n"/>
      <c r="K3" s="48" t="n"/>
      <c r="L3" s="48" t="n"/>
      <c r="M3" s="48" t="n"/>
      <c r="N3" s="48" t="n"/>
      <c r="O3" s="48" t="n"/>
      <c r="P3" s="48" t="n"/>
      <c r="U3" s="49">
        <f>SUM(U$8:U$162)</f>
        <v/>
      </c>
      <c r="V3" s="49">
        <f>SUM(V$8:V$162)</f>
        <v/>
      </c>
      <c r="W3" s="49">
        <f>SUM(W$8:W$162)</f>
        <v/>
      </c>
      <c r="X3" s="49">
        <f>SUM(X$8:X$162)</f>
        <v/>
      </c>
      <c r="Y3" s="49">
        <f>SUM(Y$8:Y$162)</f>
        <v/>
      </c>
      <c r="Z3" s="49">
        <f>SUM(Z$8:Z$162)</f>
        <v/>
      </c>
      <c r="AA3" s="49">
        <f>SUM(AA$8:AA$162)</f>
        <v/>
      </c>
      <c r="AB3" s="49">
        <f>SUM(AB$8:AB$162)</f>
        <v/>
      </c>
      <c r="AC3" s="49">
        <f>SUM(AC$8:AC$162)</f>
        <v/>
      </c>
      <c r="AD3" s="49">
        <f>SUM(AD$8:AD$162)</f>
        <v/>
      </c>
      <c r="AE3" s="49">
        <f>SUM(AE$8:AE$162)</f>
        <v/>
      </c>
      <c r="AF3" s="49">
        <f>SUM(AF$8:AF$162)</f>
        <v/>
      </c>
      <c r="AG3" s="49">
        <f>SUM(AG$8:AG$162)</f>
        <v/>
      </c>
      <c r="AH3" s="49">
        <f>SUM(AH$8:AH$162)</f>
        <v/>
      </c>
      <c r="AI3" s="49">
        <f>SUM(AI$8:AI$162)</f>
        <v/>
      </c>
      <c r="AJ3" s="49">
        <f>SUM(AJ$8:AJ$162)</f>
        <v/>
      </c>
      <c r="AK3" s="49">
        <f>SUM(AK$8:AK$162)</f>
        <v/>
      </c>
      <c r="AL3" s="49">
        <f>SUM(AL$8:AL$162)</f>
        <v/>
      </c>
      <c r="AM3" s="49">
        <f>SUM(AM$8:AM$162)</f>
        <v/>
      </c>
      <c r="AN3" s="49">
        <f>SUM(AN$8:AN$162)</f>
        <v/>
      </c>
      <c r="AO3" s="49">
        <f>SUM(AO$8:AO$162)</f>
        <v/>
      </c>
      <c r="AP3" s="49">
        <f>SUM(AP$8:AP$162)</f>
        <v/>
      </c>
      <c r="AQ3" s="49">
        <f>SUM(AQ$8:AQ$162)</f>
        <v/>
      </c>
      <c r="AR3" s="49">
        <f>SUM(AR$8:AR$162)</f>
        <v/>
      </c>
      <c r="AS3" s="49">
        <f>SUM(AS$8:AS$162)</f>
        <v/>
      </c>
      <c r="AT3" s="49">
        <f>SUM(AT$8:AT$162)</f>
        <v/>
      </c>
      <c r="AU3" s="49">
        <f>SUM(AU$8:AU$162)</f>
        <v/>
      </c>
      <c r="AV3" s="49">
        <f>SUM(AV$8:AV$162)</f>
        <v/>
      </c>
      <c r="AW3" s="49">
        <f>SUM(AW$8:AW$162)</f>
        <v/>
      </c>
      <c r="AX3" s="49">
        <f>SUM(AX$8:AX$162)</f>
        <v/>
      </c>
      <c r="AY3" s="49">
        <f>SUM(AY$8:AY$162)</f>
        <v/>
      </c>
    </row>
    <row r="4">
      <c r="A4" s="45" t="inlineStr">
        <is>
          <t>영상 TO</t>
        </is>
      </c>
      <c r="G4" s="46" t="inlineStr">
        <is>
          <t>정원</t>
        </is>
      </c>
      <c r="H4" s="47">
        <f>'마스터'!$J$8</f>
        <v/>
      </c>
      <c r="I4" s="48" t="n"/>
      <c r="J4" s="48" t="n"/>
      <c r="K4" s="48" t="n"/>
      <c r="L4" s="48" t="n"/>
      <c r="M4" s="48" t="n"/>
      <c r="N4" s="48" t="n"/>
      <c r="O4" s="48" t="n"/>
      <c r="P4" s="48" t="n"/>
      <c r="U4" s="49">
        <f>SUMIF($E$8:$E$162,"영상",U$8:U$162)</f>
        <v/>
      </c>
      <c r="V4" s="49">
        <f>SUMIF($E$8:$E$162,"영상",V$8:V$162)</f>
        <v/>
      </c>
      <c r="W4" s="49">
        <f>SUMIF($E$8:$E$162,"영상",W$8:W$162)</f>
        <v/>
      </c>
      <c r="X4" s="49">
        <f>SUMIF($E$8:$E$162,"영상",X$8:X$162)</f>
        <v/>
      </c>
      <c r="Y4" s="49">
        <f>SUMIF($E$8:$E$162,"영상",Y$8:Y$162)</f>
        <v/>
      </c>
      <c r="Z4" s="49">
        <f>SUMIF($E$8:$E$162,"영상",Z$8:Z$162)</f>
        <v/>
      </c>
      <c r="AA4" s="49">
        <f>SUMIF($E$8:$E$162,"영상",AA$8:AA$162)</f>
        <v/>
      </c>
      <c r="AB4" s="49">
        <f>SUMIF($E$8:$E$162,"영상",AB$8:AB$162)</f>
        <v/>
      </c>
      <c r="AC4" s="49">
        <f>SUMIF($E$8:$E$162,"영상",AC$8:AC$162)</f>
        <v/>
      </c>
      <c r="AD4" s="49">
        <f>SUMIF($E$8:$E$162,"영상",AD$8:AD$162)</f>
        <v/>
      </c>
      <c r="AE4" s="49">
        <f>SUMIF($E$8:$E$162,"영상",AE$8:AE$162)</f>
        <v/>
      </c>
      <c r="AF4" s="49">
        <f>SUMIF($E$8:$E$162,"영상",AF$8:AF$162)</f>
        <v/>
      </c>
      <c r="AG4" s="49">
        <f>SUMIF($E$8:$E$162,"영상",AG$8:AG$162)</f>
        <v/>
      </c>
      <c r="AH4" s="49">
        <f>SUMIF($E$8:$E$162,"영상",AH$8:AH$162)</f>
        <v/>
      </c>
      <c r="AI4" s="49">
        <f>SUMIF($E$8:$E$162,"영상",AI$8:AI$162)</f>
        <v/>
      </c>
      <c r="AJ4" s="49">
        <f>SUMIF($E$8:$E$162,"영상",AJ$8:AJ$162)</f>
        <v/>
      </c>
      <c r="AK4" s="49">
        <f>SUMIF($E$8:$E$162,"영상",AK$8:AK$162)</f>
        <v/>
      </c>
      <c r="AL4" s="49">
        <f>SUMIF($E$8:$E$162,"영상",AL$8:AL$162)</f>
        <v/>
      </c>
      <c r="AM4" s="49">
        <f>SUMIF($E$8:$E$162,"영상",AM$8:AM$162)</f>
        <v/>
      </c>
      <c r="AN4" s="49">
        <f>SUMIF($E$8:$E$162,"영상",AN$8:AN$162)</f>
        <v/>
      </c>
      <c r="AO4" s="49">
        <f>SUMIF($E$8:$E$162,"영상",AO$8:AO$162)</f>
        <v/>
      </c>
      <c r="AP4" s="49">
        <f>SUMIF($E$8:$E$162,"영상",AP$8:AP$162)</f>
        <v/>
      </c>
      <c r="AQ4" s="49">
        <f>SUMIF($E$8:$E$162,"영상",AQ$8:AQ$162)</f>
        <v/>
      </c>
      <c r="AR4" s="49">
        <f>SUMIF($E$8:$E$162,"영상",AR$8:AR$162)</f>
        <v/>
      </c>
      <c r="AS4" s="49">
        <f>SUMIF($E$8:$E$162,"영상",AS$8:AS$162)</f>
        <v/>
      </c>
      <c r="AT4" s="49">
        <f>SUMIF($E$8:$E$162,"영상",AT$8:AT$162)</f>
        <v/>
      </c>
      <c r="AU4" s="49">
        <f>SUMIF($E$8:$E$162,"영상",AU$8:AU$162)</f>
        <v/>
      </c>
      <c r="AV4" s="49">
        <f>SUMIF($E$8:$E$162,"영상",AV$8:AV$162)</f>
        <v/>
      </c>
      <c r="AW4" s="49">
        <f>SUMIF($E$8:$E$162,"영상",AW$8:AW$162)</f>
        <v/>
      </c>
      <c r="AX4" s="49">
        <f>SUMIF($E$8:$E$162,"영상",AX$8:AX$162)</f>
        <v/>
      </c>
      <c r="AY4" s="49">
        <f>SUMIF($E$8:$E$162,"영상",AY$8:AY$162)</f>
        <v/>
      </c>
    </row>
    <row r="5">
      <c r="A5" s="45" t="inlineStr">
        <is>
          <t>이미지 TO</t>
        </is>
      </c>
      <c r="G5" s="46" t="inlineStr">
        <is>
          <t>정원</t>
        </is>
      </c>
      <c r="H5" s="47">
        <f>'마스터'!$J$9</f>
        <v/>
      </c>
      <c r="I5" s="48" t="n"/>
      <c r="J5" s="48" t="n"/>
      <c r="K5" s="48" t="n"/>
      <c r="L5" s="48" t="n"/>
      <c r="M5" s="48" t="n"/>
      <c r="N5" s="48" t="n"/>
      <c r="O5" s="48" t="n"/>
      <c r="P5" s="48" t="n"/>
      <c r="U5" s="49">
        <f>SUMIF($E$8:$E$162,"이미지",U$8:U$162)</f>
        <v/>
      </c>
      <c r="V5" s="49">
        <f>SUMIF($E$8:$E$162,"이미지",V$8:V$162)</f>
        <v/>
      </c>
      <c r="W5" s="49">
        <f>SUMIF($E$8:$E$162,"이미지",W$8:W$162)</f>
        <v/>
      </c>
      <c r="X5" s="49">
        <f>SUMIF($E$8:$E$162,"이미지",X$8:X$162)</f>
        <v/>
      </c>
      <c r="Y5" s="49">
        <f>SUMIF($E$8:$E$162,"이미지",Y$8:Y$162)</f>
        <v/>
      </c>
      <c r="Z5" s="49">
        <f>SUMIF($E$8:$E$162,"이미지",Z$8:Z$162)</f>
        <v/>
      </c>
      <c r="AA5" s="49">
        <f>SUMIF($E$8:$E$162,"이미지",AA$8:AA$162)</f>
        <v/>
      </c>
      <c r="AB5" s="49">
        <f>SUMIF($E$8:$E$162,"이미지",AB$8:AB$162)</f>
        <v/>
      </c>
      <c r="AC5" s="49">
        <f>SUMIF($E$8:$E$162,"이미지",AC$8:AC$162)</f>
        <v/>
      </c>
      <c r="AD5" s="49">
        <f>SUMIF($E$8:$E$162,"이미지",AD$8:AD$162)</f>
        <v/>
      </c>
      <c r="AE5" s="49">
        <f>SUMIF($E$8:$E$162,"이미지",AE$8:AE$162)</f>
        <v/>
      </c>
      <c r="AF5" s="49">
        <f>SUMIF($E$8:$E$162,"이미지",AF$8:AF$162)</f>
        <v/>
      </c>
      <c r="AG5" s="49">
        <f>SUMIF($E$8:$E$162,"이미지",AG$8:AG$162)</f>
        <v/>
      </c>
      <c r="AH5" s="49">
        <f>SUMIF($E$8:$E$162,"이미지",AH$8:AH$162)</f>
        <v/>
      </c>
      <c r="AI5" s="49">
        <f>SUMIF($E$8:$E$162,"이미지",AI$8:AI$162)</f>
        <v/>
      </c>
      <c r="AJ5" s="49">
        <f>SUMIF($E$8:$E$162,"이미지",AJ$8:AJ$162)</f>
        <v/>
      </c>
      <c r="AK5" s="49">
        <f>SUMIF($E$8:$E$162,"이미지",AK$8:AK$162)</f>
        <v/>
      </c>
      <c r="AL5" s="49">
        <f>SUMIF($E$8:$E$162,"이미지",AL$8:AL$162)</f>
        <v/>
      </c>
      <c r="AM5" s="49">
        <f>SUMIF($E$8:$E$162,"이미지",AM$8:AM$162)</f>
        <v/>
      </c>
      <c r="AN5" s="49">
        <f>SUMIF($E$8:$E$162,"이미지",AN$8:AN$162)</f>
        <v/>
      </c>
      <c r="AO5" s="49">
        <f>SUMIF($E$8:$E$162,"이미지",AO$8:AO$162)</f>
        <v/>
      </c>
      <c r="AP5" s="49">
        <f>SUMIF($E$8:$E$162,"이미지",AP$8:AP$162)</f>
        <v/>
      </c>
      <c r="AQ5" s="49">
        <f>SUMIF($E$8:$E$162,"이미지",AQ$8:AQ$162)</f>
        <v/>
      </c>
      <c r="AR5" s="49">
        <f>SUMIF($E$8:$E$162,"이미지",AR$8:AR$162)</f>
        <v/>
      </c>
      <c r="AS5" s="49">
        <f>SUMIF($E$8:$E$162,"이미지",AS$8:AS$162)</f>
        <v/>
      </c>
      <c r="AT5" s="49">
        <f>SUMIF($E$8:$E$162,"이미지",AT$8:AT$162)</f>
        <v/>
      </c>
      <c r="AU5" s="49">
        <f>SUMIF($E$8:$E$162,"이미지",AU$8:AU$162)</f>
        <v/>
      </c>
      <c r="AV5" s="49">
        <f>SUMIF($E$8:$E$162,"이미지",AV$8:AV$162)</f>
        <v/>
      </c>
      <c r="AW5" s="49">
        <f>SUMIF($E$8:$E$162,"이미지",AW$8:AW$162)</f>
        <v/>
      </c>
      <c r="AX5" s="49">
        <f>SUMIF($E$8:$E$162,"이미지",AX$8:AX$162)</f>
        <v/>
      </c>
      <c r="AY5" s="49">
        <f>SUMIF($E$8:$E$162,"이미지",AY$8:AY$162)</f>
        <v/>
      </c>
    </row>
    <row r="6">
      <c r="A6" s="45" t="inlineStr">
        <is>
          <t>기획 TO</t>
        </is>
      </c>
      <c r="G6" s="46" t="inlineStr">
        <is>
          <t>정원</t>
        </is>
      </c>
      <c r="H6" s="47">
        <f>'마스터'!$J$10</f>
        <v/>
      </c>
      <c r="I6" s="48" t="n"/>
      <c r="J6" s="48" t="n"/>
      <c r="K6" s="48" t="n"/>
      <c r="L6" s="48" t="n"/>
      <c r="M6" s="48" t="n"/>
      <c r="N6" s="48" t="n"/>
      <c r="O6" s="48" t="n"/>
      <c r="P6" s="48" t="n"/>
      <c r="U6" s="49">
        <f>SUMIF($E$8:$E$162,"기획",U$8:U$162)</f>
        <v/>
      </c>
      <c r="V6" s="49">
        <f>SUMIF($E$8:$E$162,"기획",V$8:V$162)</f>
        <v/>
      </c>
      <c r="W6" s="49">
        <f>SUMIF($E$8:$E$162,"기획",W$8:W$162)</f>
        <v/>
      </c>
      <c r="X6" s="49">
        <f>SUMIF($E$8:$E$162,"기획",X$8:X$162)</f>
        <v/>
      </c>
      <c r="Y6" s="49">
        <f>SUMIF($E$8:$E$162,"기획",Y$8:Y$162)</f>
        <v/>
      </c>
      <c r="Z6" s="49">
        <f>SUMIF($E$8:$E$162,"기획",Z$8:Z$162)</f>
        <v/>
      </c>
      <c r="AA6" s="49">
        <f>SUMIF($E$8:$E$162,"기획",AA$8:AA$162)</f>
        <v/>
      </c>
      <c r="AB6" s="49">
        <f>SUMIF($E$8:$E$162,"기획",AB$8:AB$162)</f>
        <v/>
      </c>
      <c r="AC6" s="49">
        <f>SUMIF($E$8:$E$162,"기획",AC$8:AC$162)</f>
        <v/>
      </c>
      <c r="AD6" s="49">
        <f>SUMIF($E$8:$E$162,"기획",AD$8:AD$162)</f>
        <v/>
      </c>
      <c r="AE6" s="49">
        <f>SUMIF($E$8:$E$162,"기획",AE$8:AE$162)</f>
        <v/>
      </c>
      <c r="AF6" s="49">
        <f>SUMIF($E$8:$E$162,"기획",AF$8:AF$162)</f>
        <v/>
      </c>
      <c r="AG6" s="49">
        <f>SUMIF($E$8:$E$162,"기획",AG$8:AG$162)</f>
        <v/>
      </c>
      <c r="AH6" s="49">
        <f>SUMIF($E$8:$E$162,"기획",AH$8:AH$162)</f>
        <v/>
      </c>
      <c r="AI6" s="49">
        <f>SUMIF($E$8:$E$162,"기획",AI$8:AI$162)</f>
        <v/>
      </c>
      <c r="AJ6" s="49">
        <f>SUMIF($E$8:$E$162,"기획",AJ$8:AJ$162)</f>
        <v/>
      </c>
      <c r="AK6" s="49">
        <f>SUMIF($E$8:$E$162,"기획",AK$8:AK$162)</f>
        <v/>
      </c>
      <c r="AL6" s="49">
        <f>SUMIF($E$8:$E$162,"기획",AL$8:AL$162)</f>
        <v/>
      </c>
      <c r="AM6" s="49">
        <f>SUMIF($E$8:$E$162,"기획",AM$8:AM$162)</f>
        <v/>
      </c>
      <c r="AN6" s="49">
        <f>SUMIF($E$8:$E$162,"기획",AN$8:AN$162)</f>
        <v/>
      </c>
      <c r="AO6" s="49">
        <f>SUMIF($E$8:$E$162,"기획",AO$8:AO$162)</f>
        <v/>
      </c>
      <c r="AP6" s="49">
        <f>SUMIF($E$8:$E$162,"기획",AP$8:AP$162)</f>
        <v/>
      </c>
      <c r="AQ6" s="49">
        <f>SUMIF($E$8:$E$162,"기획",AQ$8:AQ$162)</f>
        <v/>
      </c>
      <c r="AR6" s="49">
        <f>SUMIF($E$8:$E$162,"기획",AR$8:AR$162)</f>
        <v/>
      </c>
      <c r="AS6" s="49">
        <f>SUMIF($E$8:$E$162,"기획",AS$8:AS$162)</f>
        <v/>
      </c>
      <c r="AT6" s="49">
        <f>SUMIF($E$8:$E$162,"기획",AT$8:AT$162)</f>
        <v/>
      </c>
      <c r="AU6" s="49">
        <f>SUMIF($E$8:$E$162,"기획",AU$8:AU$162)</f>
        <v/>
      </c>
      <c r="AV6" s="49">
        <f>SUMIF($E$8:$E$162,"기획",AV$8:AV$162)</f>
        <v/>
      </c>
      <c r="AW6" s="49">
        <f>SUMIF($E$8:$E$162,"기획",AW$8:AW$162)</f>
        <v/>
      </c>
      <c r="AX6" s="49">
        <f>SUMIF($E$8:$E$162,"기획",AX$8:AX$162)</f>
        <v/>
      </c>
      <c r="AY6" s="49">
        <f>SUMIF($E$8:$E$162,"기획",AY$8:AY$162)</f>
        <v/>
      </c>
    </row>
    <row r="8">
      <c r="A8" s="50" t="inlineStr">
        <is>
          <t>마케팅1팀  (9~38행)</t>
        </is>
      </c>
      <c r="U8" s="51" t="n"/>
      <c r="V8" s="51" t="n"/>
      <c r="W8" s="51" t="n"/>
      <c r="X8" s="51" t="n"/>
      <c r="Y8" s="51" t="n"/>
      <c r="Z8" s="51" t="n"/>
      <c r="AA8" s="51" t="n"/>
      <c r="AB8" s="51" t="n"/>
      <c r="AC8" s="51" t="n"/>
      <c r="AD8" s="51" t="n"/>
      <c r="AE8" s="51" t="n"/>
      <c r="AF8" s="51" t="n"/>
      <c r="AG8" s="51" t="n"/>
      <c r="AH8" s="51" t="n"/>
      <c r="AI8" s="51" t="n"/>
      <c r="AJ8" s="51" t="n"/>
      <c r="AK8" s="51" t="n"/>
      <c r="AL8" s="51" t="n"/>
      <c r="AM8" s="51" t="n"/>
      <c r="AN8" s="51" t="n"/>
      <c r="AO8" s="51" t="n"/>
      <c r="AP8" s="51" t="n"/>
      <c r="AQ8" s="51" t="n"/>
      <c r="AR8" s="51" t="n"/>
      <c r="AS8" s="51" t="n"/>
      <c r="AT8" s="51" t="n"/>
      <c r="AU8" s="51" t="n"/>
      <c r="AV8" s="51" t="n"/>
      <c r="AW8" s="51" t="n"/>
      <c r="AX8" s="51" t="n"/>
      <c r="AY8" s="51" t="n"/>
    </row>
    <row r="9">
      <c r="A9" s="38">
        <f>IF(D9="","",COUNTA($D$9:D9))</f>
        <v/>
      </c>
      <c r="B9" s="52" t="n"/>
      <c r="C9" s="53" t="inlineStr">
        <is>
          <t>마케팅1팀</t>
        </is>
      </c>
      <c r="D9" s="52" t="n"/>
      <c r="E9" s="54" t="n"/>
      <c r="F9" s="52" t="n"/>
      <c r="G9" s="55" t="n"/>
      <c r="H9" s="54" t="n"/>
      <c r="I9" s="54" t="n"/>
      <c r="J9" s="54" t="n"/>
      <c r="K9" s="56">
        <f>IF(SUM(U9:AY9)=0,"",SUM(U9:AY9))</f>
        <v/>
      </c>
      <c r="L9" s="57">
        <f>IFERROR(INDEX(U$2:AY$2,MATCH(TRUE,U9:AY9&lt;&gt;"",0)),"")</f>
        <v/>
      </c>
      <c r="M9" s="58">
        <f>IFERROR(LOOKUP(2,1/(U9:AY9&lt;&gt;""),U$2:AY$2),"")</f>
        <v/>
      </c>
      <c r="N9" s="59">
        <f>IF(OR(G9="",M9=""),"",G9-M9)</f>
        <v/>
      </c>
      <c r="O9" s="60" t="n"/>
      <c r="P9" s="61" t="n"/>
      <c r="U9" s="62" t="n"/>
      <c r="V9" s="62" t="n"/>
      <c r="W9" s="62" t="n"/>
      <c r="X9" s="62" t="n"/>
      <c r="Y9" s="62" t="n"/>
      <c r="Z9" s="62" t="n"/>
      <c r="AA9" s="62" t="n"/>
      <c r="AB9" s="62" t="n"/>
      <c r="AC9" s="62" t="n"/>
      <c r="AD9" s="62" t="n"/>
      <c r="AE9" s="62" t="n"/>
      <c r="AF9" s="62" t="n"/>
      <c r="AG9" s="62" t="n"/>
      <c r="AH9" s="62" t="n"/>
      <c r="AI9" s="62" t="n"/>
      <c r="AJ9" s="62" t="n"/>
      <c r="AK9" s="62" t="n"/>
      <c r="AL9" s="62" t="n"/>
      <c r="AM9" s="62" t="n"/>
      <c r="AN9" s="62" t="n"/>
      <c r="AO9" s="62" t="n"/>
      <c r="AP9" s="62" t="n"/>
      <c r="AQ9" s="62" t="n"/>
      <c r="AR9" s="62" t="n"/>
      <c r="AS9" s="62" t="n"/>
      <c r="AT9" s="62" t="n"/>
      <c r="AU9" s="62" t="n"/>
      <c r="AV9" s="62" t="n"/>
      <c r="AW9" s="62" t="n"/>
      <c r="AX9" s="62" t="n"/>
      <c r="AY9" s="62" t="n"/>
    </row>
    <row r="10">
      <c r="A10" s="38">
        <f>IF(D10="","",COUNTA($D$9:D10))</f>
        <v/>
      </c>
      <c r="B10" s="52" t="n"/>
      <c r="C10" s="53" t="inlineStr">
        <is>
          <t>마케팅1팀</t>
        </is>
      </c>
      <c r="D10" s="52" t="n"/>
      <c r="E10" s="54" t="n"/>
      <c r="F10" s="52" t="n"/>
      <c r="G10" s="55" t="n"/>
      <c r="H10" s="54" t="n"/>
      <c r="I10" s="54" t="n"/>
      <c r="J10" s="54" t="n"/>
      <c r="K10" s="56">
        <f>IF(SUM(U10:AY10)=0,"",SUM(U10:AY10))</f>
        <v/>
      </c>
      <c r="L10" s="57">
        <f>IFERROR(INDEX(U$2:AY$2,MATCH(TRUE,U10:AY10&lt;&gt;"",0)),"")</f>
        <v/>
      </c>
      <c r="M10" s="58">
        <f>IFERROR(LOOKUP(2,1/(U10:AY10&lt;&gt;""),U$2:AY$2),"")</f>
        <v/>
      </c>
      <c r="N10" s="59">
        <f>IF(OR(G10="",M10=""),"",G10-M10)</f>
        <v/>
      </c>
      <c r="O10" s="60" t="n"/>
      <c r="P10" s="61" t="n"/>
      <c r="U10" s="62" t="n"/>
      <c r="V10" s="62" t="n"/>
      <c r="W10" s="62" t="n"/>
      <c r="X10" s="62" t="n"/>
      <c r="Y10" s="62" t="n"/>
      <c r="Z10" s="62" t="n"/>
      <c r="AA10" s="62" t="n"/>
      <c r="AB10" s="62" t="n"/>
      <c r="AC10" s="62" t="n"/>
      <c r="AD10" s="62" t="n"/>
      <c r="AE10" s="62" t="n"/>
      <c r="AF10" s="62" t="n"/>
      <c r="AG10" s="62" t="n"/>
      <c r="AH10" s="62" t="n"/>
      <c r="AI10" s="62" t="n"/>
      <c r="AJ10" s="62" t="n"/>
      <c r="AK10" s="62" t="n"/>
      <c r="AL10" s="62" t="n"/>
      <c r="AM10" s="62" t="n"/>
      <c r="AN10" s="62" t="n"/>
      <c r="AO10" s="62" t="n"/>
      <c r="AP10" s="62" t="n"/>
      <c r="AQ10" s="62" t="n"/>
      <c r="AR10" s="62" t="n"/>
      <c r="AS10" s="62" t="n"/>
      <c r="AT10" s="62" t="n"/>
      <c r="AU10" s="62" t="n"/>
      <c r="AV10" s="62" t="n"/>
      <c r="AW10" s="62" t="n"/>
      <c r="AX10" s="62" t="n"/>
      <c r="AY10" s="62" t="n"/>
    </row>
    <row r="11">
      <c r="A11" s="38">
        <f>IF(D11="","",COUNTA($D$9:D11))</f>
        <v/>
      </c>
      <c r="B11" s="52" t="n"/>
      <c r="C11" s="53" t="inlineStr">
        <is>
          <t>마케팅1팀</t>
        </is>
      </c>
      <c r="D11" s="52" t="n"/>
      <c r="E11" s="54" t="n"/>
      <c r="F11" s="52" t="n"/>
      <c r="G11" s="55" t="n"/>
      <c r="H11" s="54" t="n"/>
      <c r="I11" s="54" t="n"/>
      <c r="J11" s="54" t="n"/>
      <c r="K11" s="56">
        <f>IF(SUM(U11:AY11)=0,"",SUM(U11:AY11))</f>
        <v/>
      </c>
      <c r="L11" s="57">
        <f>IFERROR(INDEX(U$2:AY$2,MATCH(TRUE,U11:AY11&lt;&gt;"",0)),"")</f>
        <v/>
      </c>
      <c r="M11" s="58">
        <f>IFERROR(LOOKUP(2,1/(U11:AY11&lt;&gt;""),U$2:AY$2),"")</f>
        <v/>
      </c>
      <c r="N11" s="59">
        <f>IF(OR(G11="",M11=""),"",G11-M11)</f>
        <v/>
      </c>
      <c r="O11" s="60" t="n"/>
      <c r="P11" s="61" t="n"/>
      <c r="U11" s="62" t="n"/>
      <c r="V11" s="62" t="n"/>
      <c r="W11" s="62" t="n"/>
      <c r="X11" s="62" t="n"/>
      <c r="Y11" s="62" t="n"/>
      <c r="Z11" s="62" t="n"/>
      <c r="AA11" s="62" t="n"/>
      <c r="AB11" s="62" t="n"/>
      <c r="AC11" s="62" t="n"/>
      <c r="AD11" s="62" t="n"/>
      <c r="AE11" s="62" t="n"/>
      <c r="AF11" s="62" t="n"/>
      <c r="AG11" s="62" t="n"/>
      <c r="AH11" s="62" t="n"/>
      <c r="AI11" s="62" t="n"/>
      <c r="AJ11" s="62" t="n"/>
      <c r="AK11" s="62" t="n"/>
      <c r="AL11" s="62" t="n"/>
      <c r="AM11" s="62" t="n"/>
      <c r="AN11" s="62" t="n"/>
      <c r="AO11" s="62" t="n"/>
      <c r="AP11" s="62" t="n"/>
      <c r="AQ11" s="62" t="n"/>
      <c r="AR11" s="62" t="n"/>
      <c r="AS11" s="62" t="n"/>
      <c r="AT11" s="62" t="n"/>
      <c r="AU11" s="62" t="n"/>
      <c r="AV11" s="62" t="n"/>
      <c r="AW11" s="62" t="n"/>
      <c r="AX11" s="62" t="n"/>
      <c r="AY11" s="62" t="n"/>
    </row>
    <row r="12">
      <c r="A12" s="38">
        <f>IF(D12="","",COUNTA($D$9:D12))</f>
        <v/>
      </c>
      <c r="B12" s="52" t="n"/>
      <c r="C12" s="53" t="inlineStr">
        <is>
          <t>마케팅1팀</t>
        </is>
      </c>
      <c r="D12" s="52" t="n"/>
      <c r="E12" s="54" t="n"/>
      <c r="F12" s="52" t="n"/>
      <c r="G12" s="55" t="n"/>
      <c r="H12" s="54" t="n"/>
      <c r="I12" s="54" t="n"/>
      <c r="J12" s="54" t="n"/>
      <c r="K12" s="56">
        <f>IF(SUM(U12:AY12)=0,"",SUM(U12:AY12))</f>
        <v/>
      </c>
      <c r="L12" s="57">
        <f>IFERROR(INDEX(U$2:AY$2,MATCH(TRUE,U12:AY12&lt;&gt;"",0)),"")</f>
        <v/>
      </c>
      <c r="M12" s="58">
        <f>IFERROR(LOOKUP(2,1/(U12:AY12&lt;&gt;""),U$2:AY$2),"")</f>
        <v/>
      </c>
      <c r="N12" s="59">
        <f>IF(OR(G12="",M12=""),"",G12-M12)</f>
        <v/>
      </c>
      <c r="O12" s="60" t="n"/>
      <c r="P12" s="61" t="n"/>
      <c r="U12" s="62" t="n"/>
      <c r="V12" s="62" t="n"/>
      <c r="W12" s="62" t="n"/>
      <c r="X12" s="62" t="n"/>
      <c r="Y12" s="62" t="n"/>
      <c r="Z12" s="62" t="n"/>
      <c r="AA12" s="62" t="n"/>
      <c r="AB12" s="62" t="n"/>
      <c r="AC12" s="62" t="n"/>
      <c r="AD12" s="62" t="n"/>
      <c r="AE12" s="62" t="n"/>
      <c r="AF12" s="62" t="n"/>
      <c r="AG12" s="62" t="n"/>
      <c r="AH12" s="62" t="n"/>
      <c r="AI12" s="62" t="n"/>
      <c r="AJ12" s="62" t="n"/>
      <c r="AK12" s="62" t="n"/>
      <c r="AL12" s="62" t="n"/>
      <c r="AM12" s="62" t="n"/>
      <c r="AN12" s="62" t="n"/>
      <c r="AO12" s="62" t="n"/>
      <c r="AP12" s="62" t="n"/>
      <c r="AQ12" s="62" t="n"/>
      <c r="AR12" s="62" t="n"/>
      <c r="AS12" s="62" t="n"/>
      <c r="AT12" s="62" t="n"/>
      <c r="AU12" s="62" t="n"/>
      <c r="AV12" s="62" t="n"/>
      <c r="AW12" s="62" t="n"/>
      <c r="AX12" s="62" t="n"/>
      <c r="AY12" s="62" t="n"/>
    </row>
    <row r="13">
      <c r="A13" s="38">
        <f>IF(D13="","",COUNTA($D$9:D13))</f>
        <v/>
      </c>
      <c r="B13" s="52" t="n"/>
      <c r="C13" s="53" t="inlineStr">
        <is>
          <t>마케팅1팀</t>
        </is>
      </c>
      <c r="D13" s="52" t="n"/>
      <c r="E13" s="54" t="n"/>
      <c r="F13" s="52" t="n"/>
      <c r="G13" s="55" t="n"/>
      <c r="H13" s="54" t="n"/>
      <c r="I13" s="54" t="n"/>
      <c r="J13" s="54" t="n"/>
      <c r="K13" s="56">
        <f>IF(SUM(U13:AY13)=0,"",SUM(U13:AY13))</f>
        <v/>
      </c>
      <c r="L13" s="57">
        <f>IFERROR(INDEX(U$2:AY$2,MATCH(TRUE,U13:AY13&lt;&gt;"",0)),"")</f>
        <v/>
      </c>
      <c r="M13" s="58">
        <f>IFERROR(LOOKUP(2,1/(U13:AY13&lt;&gt;""),U$2:AY$2),"")</f>
        <v/>
      </c>
      <c r="N13" s="59">
        <f>IF(OR(G13="",M13=""),"",G13-M13)</f>
        <v/>
      </c>
      <c r="O13" s="60" t="n"/>
      <c r="P13" s="61" t="n"/>
      <c r="U13" s="62" t="n"/>
      <c r="V13" s="62" t="n"/>
      <c r="W13" s="62" t="n"/>
      <c r="X13" s="62" t="n"/>
      <c r="Y13" s="62" t="n"/>
      <c r="Z13" s="62" t="n"/>
      <c r="AA13" s="62" t="n"/>
      <c r="AB13" s="62" t="n"/>
      <c r="AC13" s="62" t="n"/>
      <c r="AD13" s="62" t="n"/>
      <c r="AE13" s="62" t="n"/>
      <c r="AF13" s="62" t="n"/>
      <c r="AG13" s="62" t="n"/>
      <c r="AH13" s="62" t="n"/>
      <c r="AI13" s="62" t="n"/>
      <c r="AJ13" s="62" t="n"/>
      <c r="AK13" s="62" t="n"/>
      <c r="AL13" s="62" t="n"/>
      <c r="AM13" s="62" t="n"/>
      <c r="AN13" s="62" t="n"/>
      <c r="AO13" s="62" t="n"/>
      <c r="AP13" s="62" t="n"/>
      <c r="AQ13" s="62" t="n"/>
      <c r="AR13" s="62" t="n"/>
      <c r="AS13" s="62" t="n"/>
      <c r="AT13" s="62" t="n"/>
      <c r="AU13" s="62" t="n"/>
      <c r="AV13" s="62" t="n"/>
      <c r="AW13" s="62" t="n"/>
      <c r="AX13" s="62" t="n"/>
      <c r="AY13" s="62" t="n"/>
    </row>
    <row r="14">
      <c r="A14" s="38">
        <f>IF(D14="","",COUNTA($D$9:D14))</f>
        <v/>
      </c>
      <c r="B14" s="52" t="n"/>
      <c r="C14" s="53" t="inlineStr">
        <is>
          <t>마케팅1팀</t>
        </is>
      </c>
      <c r="D14" s="52" t="n"/>
      <c r="E14" s="54" t="n"/>
      <c r="F14" s="52" t="n"/>
      <c r="G14" s="55" t="n"/>
      <c r="H14" s="54" t="n"/>
      <c r="I14" s="54" t="n"/>
      <c r="J14" s="54" t="n"/>
      <c r="K14" s="56">
        <f>IF(SUM(U14:AY14)=0,"",SUM(U14:AY14))</f>
        <v/>
      </c>
      <c r="L14" s="57">
        <f>IFERROR(INDEX(U$2:AY$2,MATCH(TRUE,U14:AY14&lt;&gt;"",0)),"")</f>
        <v/>
      </c>
      <c r="M14" s="58">
        <f>IFERROR(LOOKUP(2,1/(U14:AY14&lt;&gt;""),U$2:AY$2),"")</f>
        <v/>
      </c>
      <c r="N14" s="59">
        <f>IF(OR(G14="",M14=""),"",G14-M14)</f>
        <v/>
      </c>
      <c r="O14" s="60" t="n"/>
      <c r="P14" s="61" t="n"/>
      <c r="U14" s="62" t="n"/>
      <c r="V14" s="62" t="n"/>
      <c r="W14" s="62" t="n"/>
      <c r="X14" s="62" t="n"/>
      <c r="Y14" s="62" t="n"/>
      <c r="Z14" s="62" t="n"/>
      <c r="AA14" s="62" t="n"/>
      <c r="AB14" s="62" t="n"/>
      <c r="AC14" s="62" t="n"/>
      <c r="AD14" s="62" t="n"/>
      <c r="AE14" s="62" t="n"/>
      <c r="AF14" s="62" t="n"/>
      <c r="AG14" s="62" t="n"/>
      <c r="AH14" s="62" t="n"/>
      <c r="AI14" s="62" t="n"/>
      <c r="AJ14" s="62" t="n"/>
      <c r="AK14" s="62" t="n"/>
      <c r="AL14" s="62" t="n"/>
      <c r="AM14" s="62" t="n"/>
      <c r="AN14" s="62" t="n"/>
      <c r="AO14" s="62" t="n"/>
      <c r="AP14" s="62" t="n"/>
      <c r="AQ14" s="62" t="n"/>
      <c r="AR14" s="62" t="n"/>
      <c r="AS14" s="62" t="n"/>
      <c r="AT14" s="62" t="n"/>
      <c r="AU14" s="62" t="n"/>
      <c r="AV14" s="62" t="n"/>
      <c r="AW14" s="62" t="n"/>
      <c r="AX14" s="62" t="n"/>
      <c r="AY14" s="62" t="n"/>
    </row>
    <row r="15">
      <c r="A15" s="38">
        <f>IF(D15="","",COUNTA($D$9:D15))</f>
        <v/>
      </c>
      <c r="B15" s="52" t="n"/>
      <c r="C15" s="53" t="inlineStr">
        <is>
          <t>마케팅1팀</t>
        </is>
      </c>
      <c r="D15" s="52" t="n"/>
      <c r="E15" s="54" t="n"/>
      <c r="F15" s="52" t="n"/>
      <c r="G15" s="55" t="n"/>
      <c r="H15" s="54" t="n"/>
      <c r="I15" s="54" t="n"/>
      <c r="J15" s="54" t="n"/>
      <c r="K15" s="56">
        <f>IF(SUM(U15:AY15)=0,"",SUM(U15:AY15))</f>
        <v/>
      </c>
      <c r="L15" s="57">
        <f>IFERROR(INDEX(U$2:AY$2,MATCH(TRUE,U15:AY15&lt;&gt;"",0)),"")</f>
        <v/>
      </c>
      <c r="M15" s="58">
        <f>IFERROR(LOOKUP(2,1/(U15:AY15&lt;&gt;""),U$2:AY$2),"")</f>
        <v/>
      </c>
      <c r="N15" s="59">
        <f>IF(OR(G15="",M15=""),"",G15-M15)</f>
        <v/>
      </c>
      <c r="O15" s="60" t="n"/>
      <c r="P15" s="61" t="n"/>
      <c r="U15" s="62" t="n"/>
      <c r="V15" s="62" t="n"/>
      <c r="W15" s="62" t="n"/>
      <c r="X15" s="62" t="n"/>
      <c r="Y15" s="62" t="n"/>
      <c r="Z15" s="62" t="n"/>
      <c r="AA15" s="62" t="n"/>
      <c r="AB15" s="62" t="n"/>
      <c r="AC15" s="62" t="n"/>
      <c r="AD15" s="62" t="n"/>
      <c r="AE15" s="62" t="n"/>
      <c r="AF15" s="62" t="n"/>
      <c r="AG15" s="62" t="n"/>
      <c r="AH15" s="62" t="n"/>
      <c r="AI15" s="62" t="n"/>
      <c r="AJ15" s="62" t="n"/>
      <c r="AK15" s="62" t="n"/>
      <c r="AL15" s="62" t="n"/>
      <c r="AM15" s="62" t="n"/>
      <c r="AN15" s="62" t="n"/>
      <c r="AO15" s="62" t="n"/>
      <c r="AP15" s="62" t="n"/>
      <c r="AQ15" s="62" t="n"/>
      <c r="AR15" s="62" t="n"/>
      <c r="AS15" s="62" t="n"/>
      <c r="AT15" s="62" t="n"/>
      <c r="AU15" s="62" t="n"/>
      <c r="AV15" s="62" t="n"/>
      <c r="AW15" s="62" t="n"/>
      <c r="AX15" s="62" t="n"/>
      <c r="AY15" s="62" t="n"/>
    </row>
    <row r="16">
      <c r="A16" s="38">
        <f>IF(D16="","",COUNTA($D$9:D16))</f>
        <v/>
      </c>
      <c r="B16" s="52" t="n"/>
      <c r="C16" s="53" t="inlineStr">
        <is>
          <t>마케팅1팀</t>
        </is>
      </c>
      <c r="D16" s="52" t="n"/>
      <c r="E16" s="54" t="n"/>
      <c r="F16" s="52" t="n"/>
      <c r="G16" s="55" t="n"/>
      <c r="H16" s="54" t="n"/>
      <c r="I16" s="54" t="n"/>
      <c r="J16" s="54" t="n"/>
      <c r="K16" s="56">
        <f>IF(SUM(U16:AY16)=0,"",SUM(U16:AY16))</f>
        <v/>
      </c>
      <c r="L16" s="57">
        <f>IFERROR(INDEX(U$2:AY$2,MATCH(TRUE,U16:AY16&lt;&gt;"",0)),"")</f>
        <v/>
      </c>
      <c r="M16" s="58">
        <f>IFERROR(LOOKUP(2,1/(U16:AY16&lt;&gt;""),U$2:AY$2),"")</f>
        <v/>
      </c>
      <c r="N16" s="59">
        <f>IF(OR(G16="",M16=""),"",G16-M16)</f>
        <v/>
      </c>
      <c r="O16" s="60" t="n"/>
      <c r="P16" s="61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  <c r="AG16" s="62" t="n"/>
      <c r="AH16" s="62" t="n"/>
      <c r="AI16" s="62" t="n"/>
      <c r="AJ16" s="62" t="n"/>
      <c r="AK16" s="62" t="n"/>
      <c r="AL16" s="62" t="n"/>
      <c r="AM16" s="62" t="n"/>
      <c r="AN16" s="62" t="n"/>
      <c r="AO16" s="62" t="n"/>
      <c r="AP16" s="62" t="n"/>
      <c r="AQ16" s="62" t="n"/>
      <c r="AR16" s="62" t="n"/>
      <c r="AS16" s="62" t="n"/>
      <c r="AT16" s="62" t="n"/>
      <c r="AU16" s="62" t="n"/>
      <c r="AV16" s="62" t="n"/>
      <c r="AW16" s="62" t="n"/>
      <c r="AX16" s="62" t="n"/>
      <c r="AY16" s="62" t="n"/>
    </row>
    <row r="17">
      <c r="A17" s="38">
        <f>IF(D17="","",COUNTA($D$9:D17))</f>
        <v/>
      </c>
      <c r="B17" s="52" t="n"/>
      <c r="C17" s="53" t="inlineStr">
        <is>
          <t>마케팅1팀</t>
        </is>
      </c>
      <c r="D17" s="52" t="n"/>
      <c r="E17" s="54" t="n"/>
      <c r="F17" s="52" t="n"/>
      <c r="G17" s="55" t="n"/>
      <c r="H17" s="54" t="n"/>
      <c r="I17" s="54" t="n"/>
      <c r="J17" s="54" t="n"/>
      <c r="K17" s="56">
        <f>IF(SUM(U17:AY17)=0,"",SUM(U17:AY17))</f>
        <v/>
      </c>
      <c r="L17" s="57">
        <f>IFERROR(INDEX(U$2:AY$2,MATCH(TRUE,U17:AY17&lt;&gt;"",0)),"")</f>
        <v/>
      </c>
      <c r="M17" s="58">
        <f>IFERROR(LOOKUP(2,1/(U17:AY17&lt;&gt;""),U$2:AY$2),"")</f>
        <v/>
      </c>
      <c r="N17" s="59">
        <f>IF(OR(G17="",M17=""),"",G17-M17)</f>
        <v/>
      </c>
      <c r="O17" s="60" t="n"/>
      <c r="P17" s="61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  <c r="AG17" s="62" t="n"/>
      <c r="AH17" s="62" t="n"/>
      <c r="AI17" s="62" t="n"/>
      <c r="AJ17" s="62" t="n"/>
      <c r="AK17" s="62" t="n"/>
      <c r="AL17" s="62" t="n"/>
      <c r="AM17" s="62" t="n"/>
      <c r="AN17" s="62" t="n"/>
      <c r="AO17" s="62" t="n"/>
      <c r="AP17" s="62" t="n"/>
      <c r="AQ17" s="62" t="n"/>
      <c r="AR17" s="62" t="n"/>
      <c r="AS17" s="62" t="n"/>
      <c r="AT17" s="62" t="n"/>
      <c r="AU17" s="62" t="n"/>
      <c r="AV17" s="62" t="n"/>
      <c r="AW17" s="62" t="n"/>
      <c r="AX17" s="62" t="n"/>
      <c r="AY17" s="62" t="n"/>
    </row>
    <row r="18">
      <c r="A18" s="38">
        <f>IF(D18="","",COUNTA($D$9:D18))</f>
        <v/>
      </c>
      <c r="B18" s="52" t="n"/>
      <c r="C18" s="53" t="inlineStr">
        <is>
          <t>마케팅1팀</t>
        </is>
      </c>
      <c r="D18" s="52" t="n"/>
      <c r="E18" s="54" t="n"/>
      <c r="F18" s="52" t="n"/>
      <c r="G18" s="55" t="n"/>
      <c r="H18" s="54" t="n"/>
      <c r="I18" s="54" t="n"/>
      <c r="J18" s="54" t="n"/>
      <c r="K18" s="56">
        <f>IF(SUM(U18:AY18)=0,"",SUM(U18:AY18))</f>
        <v/>
      </c>
      <c r="L18" s="57">
        <f>IFERROR(INDEX(U$2:AY$2,MATCH(TRUE,U18:AY18&lt;&gt;"",0)),"")</f>
        <v/>
      </c>
      <c r="M18" s="58">
        <f>IFERROR(LOOKUP(2,1/(U18:AY18&lt;&gt;""),U$2:AY$2),"")</f>
        <v/>
      </c>
      <c r="N18" s="59">
        <f>IF(OR(G18="",M18=""),"",G18-M18)</f>
        <v/>
      </c>
      <c r="O18" s="60" t="n"/>
      <c r="P18" s="61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  <c r="AG18" s="62" t="n"/>
      <c r="AH18" s="62" t="n"/>
      <c r="AI18" s="62" t="n"/>
      <c r="AJ18" s="62" t="n"/>
      <c r="AK18" s="62" t="n"/>
      <c r="AL18" s="62" t="n"/>
      <c r="AM18" s="62" t="n"/>
      <c r="AN18" s="62" t="n"/>
      <c r="AO18" s="62" t="n"/>
      <c r="AP18" s="62" t="n"/>
      <c r="AQ18" s="62" t="n"/>
      <c r="AR18" s="62" t="n"/>
      <c r="AS18" s="62" t="n"/>
      <c r="AT18" s="62" t="n"/>
      <c r="AU18" s="62" t="n"/>
      <c r="AV18" s="62" t="n"/>
      <c r="AW18" s="62" t="n"/>
      <c r="AX18" s="62" t="n"/>
      <c r="AY18" s="62" t="n"/>
    </row>
    <row r="19">
      <c r="A19" s="38">
        <f>IF(D19="","",COUNTA($D$9:D19))</f>
        <v/>
      </c>
      <c r="B19" s="52" t="n"/>
      <c r="C19" s="53" t="inlineStr">
        <is>
          <t>마케팅1팀</t>
        </is>
      </c>
      <c r="D19" s="52" t="n"/>
      <c r="E19" s="54" t="n"/>
      <c r="F19" s="52" t="n"/>
      <c r="G19" s="55" t="n"/>
      <c r="H19" s="54" t="n"/>
      <c r="I19" s="54" t="n"/>
      <c r="J19" s="54" t="n"/>
      <c r="K19" s="56">
        <f>IF(SUM(U19:AY19)=0,"",SUM(U19:AY19))</f>
        <v/>
      </c>
      <c r="L19" s="57">
        <f>IFERROR(INDEX(U$2:AY$2,MATCH(TRUE,U19:AY19&lt;&gt;"",0)),"")</f>
        <v/>
      </c>
      <c r="M19" s="58">
        <f>IFERROR(LOOKUP(2,1/(U19:AY19&lt;&gt;""),U$2:AY$2),"")</f>
        <v/>
      </c>
      <c r="N19" s="59">
        <f>IF(OR(G19="",M19=""),"",G19-M19)</f>
        <v/>
      </c>
      <c r="O19" s="60" t="n"/>
      <c r="P19" s="61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  <c r="AG19" s="62" t="n"/>
      <c r="AH19" s="62" t="n"/>
      <c r="AI19" s="62" t="n"/>
      <c r="AJ19" s="62" t="n"/>
      <c r="AK19" s="62" t="n"/>
      <c r="AL19" s="62" t="n"/>
      <c r="AM19" s="62" t="n"/>
      <c r="AN19" s="62" t="n"/>
      <c r="AO19" s="62" t="n"/>
      <c r="AP19" s="62" t="n"/>
      <c r="AQ19" s="62" t="n"/>
      <c r="AR19" s="62" t="n"/>
      <c r="AS19" s="62" t="n"/>
      <c r="AT19" s="62" t="n"/>
      <c r="AU19" s="62" t="n"/>
      <c r="AV19" s="62" t="n"/>
      <c r="AW19" s="62" t="n"/>
      <c r="AX19" s="62" t="n"/>
      <c r="AY19" s="62" t="n"/>
    </row>
    <row r="20">
      <c r="A20" s="38">
        <f>IF(D20="","",COUNTA($D$9:D20))</f>
        <v/>
      </c>
      <c r="B20" s="52" t="n"/>
      <c r="C20" s="53" t="inlineStr">
        <is>
          <t>마케팅1팀</t>
        </is>
      </c>
      <c r="D20" s="52" t="n"/>
      <c r="E20" s="54" t="n"/>
      <c r="F20" s="52" t="n"/>
      <c r="G20" s="55" t="n"/>
      <c r="H20" s="54" t="n"/>
      <c r="I20" s="54" t="n"/>
      <c r="J20" s="54" t="n"/>
      <c r="K20" s="56">
        <f>IF(SUM(U20:AY20)=0,"",SUM(U20:AY20))</f>
        <v/>
      </c>
      <c r="L20" s="57">
        <f>IFERROR(INDEX(U$2:AY$2,MATCH(TRUE,U20:AY20&lt;&gt;"",0)),"")</f>
        <v/>
      </c>
      <c r="M20" s="58">
        <f>IFERROR(LOOKUP(2,1/(U20:AY20&lt;&gt;""),U$2:AY$2),"")</f>
        <v/>
      </c>
      <c r="N20" s="59">
        <f>IF(OR(G20="",M20=""),"",G20-M20)</f>
        <v/>
      </c>
      <c r="O20" s="60" t="n"/>
      <c r="P20" s="61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  <c r="AG20" s="62" t="n"/>
      <c r="AH20" s="62" t="n"/>
      <c r="AI20" s="62" t="n"/>
      <c r="AJ20" s="62" t="n"/>
      <c r="AK20" s="62" t="n"/>
      <c r="AL20" s="62" t="n"/>
      <c r="AM20" s="62" t="n"/>
      <c r="AN20" s="62" t="n"/>
      <c r="AO20" s="62" t="n"/>
      <c r="AP20" s="62" t="n"/>
      <c r="AQ20" s="62" t="n"/>
      <c r="AR20" s="62" t="n"/>
      <c r="AS20" s="62" t="n"/>
      <c r="AT20" s="62" t="n"/>
      <c r="AU20" s="62" t="n"/>
      <c r="AV20" s="62" t="n"/>
      <c r="AW20" s="62" t="n"/>
      <c r="AX20" s="62" t="n"/>
      <c r="AY20" s="62" t="n"/>
    </row>
    <row r="21">
      <c r="A21" s="38">
        <f>IF(D21="","",COUNTA($D$9:D21))</f>
        <v/>
      </c>
      <c r="B21" s="52" t="n"/>
      <c r="C21" s="53" t="inlineStr">
        <is>
          <t>마케팅1팀</t>
        </is>
      </c>
      <c r="D21" s="52" t="n"/>
      <c r="E21" s="54" t="n"/>
      <c r="F21" s="52" t="n"/>
      <c r="G21" s="55" t="n"/>
      <c r="H21" s="54" t="n"/>
      <c r="I21" s="54" t="n"/>
      <c r="J21" s="54" t="n"/>
      <c r="K21" s="56">
        <f>IF(SUM(U21:AY21)=0,"",SUM(U21:AY21))</f>
        <v/>
      </c>
      <c r="L21" s="57">
        <f>IFERROR(INDEX(U$2:AY$2,MATCH(TRUE,U21:AY21&lt;&gt;"",0)),"")</f>
        <v/>
      </c>
      <c r="M21" s="58">
        <f>IFERROR(LOOKUP(2,1/(U21:AY21&lt;&gt;""),U$2:AY$2),"")</f>
        <v/>
      </c>
      <c r="N21" s="59">
        <f>IF(OR(G21="",M21=""),"",G21-M21)</f>
        <v/>
      </c>
      <c r="O21" s="60" t="n"/>
      <c r="P21" s="61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  <c r="AG21" s="62" t="n"/>
      <c r="AH21" s="62" t="n"/>
      <c r="AI21" s="62" t="n"/>
      <c r="AJ21" s="62" t="n"/>
      <c r="AK21" s="62" t="n"/>
      <c r="AL21" s="62" t="n"/>
      <c r="AM21" s="62" t="n"/>
      <c r="AN21" s="62" t="n"/>
      <c r="AO21" s="62" t="n"/>
      <c r="AP21" s="62" t="n"/>
      <c r="AQ21" s="62" t="n"/>
      <c r="AR21" s="62" t="n"/>
      <c r="AS21" s="62" t="n"/>
      <c r="AT21" s="62" t="n"/>
      <c r="AU21" s="62" t="n"/>
      <c r="AV21" s="62" t="n"/>
      <c r="AW21" s="62" t="n"/>
      <c r="AX21" s="62" t="n"/>
      <c r="AY21" s="62" t="n"/>
    </row>
    <row r="22">
      <c r="A22" s="38">
        <f>IF(D22="","",COUNTA($D$9:D22))</f>
        <v/>
      </c>
      <c r="B22" s="52" t="n"/>
      <c r="C22" s="53" t="inlineStr">
        <is>
          <t>마케팅1팀</t>
        </is>
      </c>
      <c r="D22" s="52" t="n"/>
      <c r="E22" s="54" t="n"/>
      <c r="F22" s="52" t="n"/>
      <c r="G22" s="55" t="n"/>
      <c r="H22" s="54" t="n"/>
      <c r="I22" s="54" t="n"/>
      <c r="J22" s="54" t="n"/>
      <c r="K22" s="56">
        <f>IF(SUM(U22:AY22)=0,"",SUM(U22:AY22))</f>
        <v/>
      </c>
      <c r="L22" s="57">
        <f>IFERROR(INDEX(U$2:AY$2,MATCH(TRUE,U22:AY22&lt;&gt;"",0)),"")</f>
        <v/>
      </c>
      <c r="M22" s="58">
        <f>IFERROR(LOOKUP(2,1/(U22:AY22&lt;&gt;""),U$2:AY$2),"")</f>
        <v/>
      </c>
      <c r="N22" s="59">
        <f>IF(OR(G22="",M22=""),"",G22-M22)</f>
        <v/>
      </c>
      <c r="O22" s="60" t="n"/>
      <c r="P22" s="61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  <c r="AG22" s="62" t="n"/>
      <c r="AH22" s="62" t="n"/>
      <c r="AI22" s="62" t="n"/>
      <c r="AJ22" s="62" t="n"/>
      <c r="AK22" s="62" t="n"/>
      <c r="AL22" s="62" t="n"/>
      <c r="AM22" s="62" t="n"/>
      <c r="AN22" s="62" t="n"/>
      <c r="AO22" s="62" t="n"/>
      <c r="AP22" s="62" t="n"/>
      <c r="AQ22" s="62" t="n"/>
      <c r="AR22" s="62" t="n"/>
      <c r="AS22" s="62" t="n"/>
      <c r="AT22" s="62" t="n"/>
      <c r="AU22" s="62" t="n"/>
      <c r="AV22" s="62" t="n"/>
      <c r="AW22" s="62" t="n"/>
      <c r="AX22" s="62" t="n"/>
      <c r="AY22" s="62" t="n"/>
    </row>
    <row r="23">
      <c r="A23" s="38">
        <f>IF(D23="","",COUNTA($D$9:D23))</f>
        <v/>
      </c>
      <c r="B23" s="52" t="n"/>
      <c r="C23" s="53" t="inlineStr">
        <is>
          <t>마케팅1팀</t>
        </is>
      </c>
      <c r="D23" s="52" t="n"/>
      <c r="E23" s="54" t="n"/>
      <c r="F23" s="52" t="n"/>
      <c r="G23" s="55" t="n"/>
      <c r="H23" s="54" t="n"/>
      <c r="I23" s="54" t="n"/>
      <c r="J23" s="54" t="n"/>
      <c r="K23" s="56">
        <f>IF(SUM(U23:AY23)=0,"",SUM(U23:AY23))</f>
        <v/>
      </c>
      <c r="L23" s="57">
        <f>IFERROR(INDEX(U$2:AY$2,MATCH(TRUE,U23:AY23&lt;&gt;"",0)),"")</f>
        <v/>
      </c>
      <c r="M23" s="58">
        <f>IFERROR(LOOKUP(2,1/(U23:AY23&lt;&gt;""),U$2:AY$2),"")</f>
        <v/>
      </c>
      <c r="N23" s="59">
        <f>IF(OR(G23="",M23=""),"",G23-M23)</f>
        <v/>
      </c>
      <c r="O23" s="60" t="n"/>
      <c r="P23" s="61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  <c r="AG23" s="62" t="n"/>
      <c r="AH23" s="62" t="n"/>
      <c r="AI23" s="62" t="n"/>
      <c r="AJ23" s="62" t="n"/>
      <c r="AK23" s="62" t="n"/>
      <c r="AL23" s="62" t="n"/>
      <c r="AM23" s="62" t="n"/>
      <c r="AN23" s="62" t="n"/>
      <c r="AO23" s="62" t="n"/>
      <c r="AP23" s="62" t="n"/>
      <c r="AQ23" s="62" t="n"/>
      <c r="AR23" s="62" t="n"/>
      <c r="AS23" s="62" t="n"/>
      <c r="AT23" s="62" t="n"/>
      <c r="AU23" s="62" t="n"/>
      <c r="AV23" s="62" t="n"/>
      <c r="AW23" s="62" t="n"/>
      <c r="AX23" s="62" t="n"/>
      <c r="AY23" s="62" t="n"/>
    </row>
    <row r="24">
      <c r="A24" s="38">
        <f>IF(D24="","",COUNTA($D$9:D24))</f>
        <v/>
      </c>
      <c r="B24" s="52" t="n"/>
      <c r="C24" s="53" t="inlineStr">
        <is>
          <t>마케팅1팀</t>
        </is>
      </c>
      <c r="D24" s="52" t="n"/>
      <c r="E24" s="54" t="n"/>
      <c r="F24" s="52" t="n"/>
      <c r="G24" s="55" t="n"/>
      <c r="H24" s="54" t="n"/>
      <c r="I24" s="54" t="n"/>
      <c r="J24" s="54" t="n"/>
      <c r="K24" s="56">
        <f>IF(SUM(U24:AY24)=0,"",SUM(U24:AY24))</f>
        <v/>
      </c>
      <c r="L24" s="57">
        <f>IFERROR(INDEX(U$2:AY$2,MATCH(TRUE,U24:AY24&lt;&gt;"",0)),"")</f>
        <v/>
      </c>
      <c r="M24" s="58">
        <f>IFERROR(LOOKUP(2,1/(U24:AY24&lt;&gt;""),U$2:AY$2),"")</f>
        <v/>
      </c>
      <c r="N24" s="59">
        <f>IF(OR(G24="",M24=""),"",G24-M24)</f>
        <v/>
      </c>
      <c r="O24" s="60" t="n"/>
      <c r="P24" s="61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  <c r="AG24" s="62" t="n"/>
      <c r="AH24" s="62" t="n"/>
      <c r="AI24" s="62" t="n"/>
      <c r="AJ24" s="62" t="n"/>
      <c r="AK24" s="62" t="n"/>
      <c r="AL24" s="62" t="n"/>
      <c r="AM24" s="62" t="n"/>
      <c r="AN24" s="62" t="n"/>
      <c r="AO24" s="62" t="n"/>
      <c r="AP24" s="62" t="n"/>
      <c r="AQ24" s="62" t="n"/>
      <c r="AR24" s="62" t="n"/>
      <c r="AS24" s="62" t="n"/>
      <c r="AT24" s="62" t="n"/>
      <c r="AU24" s="62" t="n"/>
      <c r="AV24" s="62" t="n"/>
      <c r="AW24" s="62" t="n"/>
      <c r="AX24" s="62" t="n"/>
      <c r="AY24" s="62" t="n"/>
    </row>
    <row r="25">
      <c r="A25" s="38">
        <f>IF(D25="","",COUNTA($D$9:D25))</f>
        <v/>
      </c>
      <c r="B25" s="52" t="n"/>
      <c r="C25" s="53" t="inlineStr">
        <is>
          <t>마케팅1팀</t>
        </is>
      </c>
      <c r="D25" s="52" t="n"/>
      <c r="E25" s="54" t="n"/>
      <c r="F25" s="52" t="n"/>
      <c r="G25" s="55" t="n"/>
      <c r="H25" s="54" t="n"/>
      <c r="I25" s="54" t="n"/>
      <c r="J25" s="54" t="n"/>
      <c r="K25" s="56">
        <f>IF(SUM(U25:AY25)=0,"",SUM(U25:AY25))</f>
        <v/>
      </c>
      <c r="L25" s="57">
        <f>IFERROR(INDEX(U$2:AY$2,MATCH(TRUE,U25:AY25&lt;&gt;"",0)),"")</f>
        <v/>
      </c>
      <c r="M25" s="58">
        <f>IFERROR(LOOKUP(2,1/(U25:AY25&lt;&gt;""),U$2:AY$2),"")</f>
        <v/>
      </c>
      <c r="N25" s="59">
        <f>IF(OR(G25="",M25=""),"",G25-M25)</f>
        <v/>
      </c>
      <c r="O25" s="60" t="n"/>
      <c r="P25" s="61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  <c r="AG25" s="62" t="n"/>
      <c r="AH25" s="62" t="n"/>
      <c r="AI25" s="62" t="n"/>
      <c r="AJ25" s="62" t="n"/>
      <c r="AK25" s="62" t="n"/>
      <c r="AL25" s="62" t="n"/>
      <c r="AM25" s="62" t="n"/>
      <c r="AN25" s="62" t="n"/>
      <c r="AO25" s="62" t="n"/>
      <c r="AP25" s="62" t="n"/>
      <c r="AQ25" s="62" t="n"/>
      <c r="AR25" s="62" t="n"/>
      <c r="AS25" s="62" t="n"/>
      <c r="AT25" s="62" t="n"/>
      <c r="AU25" s="62" t="n"/>
      <c r="AV25" s="62" t="n"/>
      <c r="AW25" s="62" t="n"/>
      <c r="AX25" s="62" t="n"/>
      <c r="AY25" s="62" t="n"/>
    </row>
    <row r="26">
      <c r="A26" s="38">
        <f>IF(D26="","",COUNTA($D$9:D26))</f>
        <v/>
      </c>
      <c r="B26" s="52" t="n"/>
      <c r="C26" s="53" t="inlineStr">
        <is>
          <t>마케팅1팀</t>
        </is>
      </c>
      <c r="D26" s="52" t="n"/>
      <c r="E26" s="54" t="n"/>
      <c r="F26" s="52" t="n"/>
      <c r="G26" s="55" t="n"/>
      <c r="H26" s="54" t="n"/>
      <c r="I26" s="54" t="n"/>
      <c r="J26" s="54" t="n"/>
      <c r="K26" s="56">
        <f>IF(SUM(U26:AY26)=0,"",SUM(U26:AY26))</f>
        <v/>
      </c>
      <c r="L26" s="57">
        <f>IFERROR(INDEX(U$2:AY$2,MATCH(TRUE,U26:AY26&lt;&gt;"",0)),"")</f>
        <v/>
      </c>
      <c r="M26" s="58">
        <f>IFERROR(LOOKUP(2,1/(U26:AY26&lt;&gt;""),U$2:AY$2),"")</f>
        <v/>
      </c>
      <c r="N26" s="59">
        <f>IF(OR(G26="",M26=""),"",G26-M26)</f>
        <v/>
      </c>
      <c r="O26" s="60" t="n"/>
      <c r="P26" s="61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  <c r="AG26" s="62" t="n"/>
      <c r="AH26" s="62" t="n"/>
      <c r="AI26" s="62" t="n"/>
      <c r="AJ26" s="62" t="n"/>
      <c r="AK26" s="62" t="n"/>
      <c r="AL26" s="62" t="n"/>
      <c r="AM26" s="62" t="n"/>
      <c r="AN26" s="62" t="n"/>
      <c r="AO26" s="62" t="n"/>
      <c r="AP26" s="62" t="n"/>
      <c r="AQ26" s="62" t="n"/>
      <c r="AR26" s="62" t="n"/>
      <c r="AS26" s="62" t="n"/>
      <c r="AT26" s="62" t="n"/>
      <c r="AU26" s="62" t="n"/>
      <c r="AV26" s="62" t="n"/>
      <c r="AW26" s="62" t="n"/>
      <c r="AX26" s="62" t="n"/>
      <c r="AY26" s="62" t="n"/>
    </row>
    <row r="27">
      <c r="A27" s="38">
        <f>IF(D27="","",COUNTA($D$9:D27))</f>
        <v/>
      </c>
      <c r="B27" s="52" t="n"/>
      <c r="C27" s="53" t="inlineStr">
        <is>
          <t>마케팅1팀</t>
        </is>
      </c>
      <c r="D27" s="52" t="n"/>
      <c r="E27" s="54" t="n"/>
      <c r="F27" s="52" t="n"/>
      <c r="G27" s="55" t="n"/>
      <c r="H27" s="54" t="n"/>
      <c r="I27" s="54" t="n"/>
      <c r="J27" s="54" t="n"/>
      <c r="K27" s="56">
        <f>IF(SUM(U27:AY27)=0,"",SUM(U27:AY27))</f>
        <v/>
      </c>
      <c r="L27" s="57">
        <f>IFERROR(INDEX(U$2:AY$2,MATCH(TRUE,U27:AY27&lt;&gt;"",0)),"")</f>
        <v/>
      </c>
      <c r="M27" s="58">
        <f>IFERROR(LOOKUP(2,1/(U27:AY27&lt;&gt;""),U$2:AY$2),"")</f>
        <v/>
      </c>
      <c r="N27" s="59">
        <f>IF(OR(G27="",M27=""),"",G27-M27)</f>
        <v/>
      </c>
      <c r="O27" s="60" t="n"/>
      <c r="P27" s="61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  <c r="AG27" s="62" t="n"/>
      <c r="AH27" s="62" t="n"/>
      <c r="AI27" s="62" t="n"/>
      <c r="AJ27" s="62" t="n"/>
      <c r="AK27" s="62" t="n"/>
      <c r="AL27" s="62" t="n"/>
      <c r="AM27" s="62" t="n"/>
      <c r="AN27" s="62" t="n"/>
      <c r="AO27" s="62" t="n"/>
      <c r="AP27" s="62" t="n"/>
      <c r="AQ27" s="62" t="n"/>
      <c r="AR27" s="62" t="n"/>
      <c r="AS27" s="62" t="n"/>
      <c r="AT27" s="62" t="n"/>
      <c r="AU27" s="62" t="n"/>
      <c r="AV27" s="62" t="n"/>
      <c r="AW27" s="62" t="n"/>
      <c r="AX27" s="62" t="n"/>
      <c r="AY27" s="62" t="n"/>
    </row>
    <row r="28">
      <c r="A28" s="38">
        <f>IF(D28="","",COUNTA($D$9:D28))</f>
        <v/>
      </c>
      <c r="B28" s="52" t="n"/>
      <c r="C28" s="53" t="inlineStr">
        <is>
          <t>마케팅1팀</t>
        </is>
      </c>
      <c r="D28" s="52" t="n"/>
      <c r="E28" s="54" t="n"/>
      <c r="F28" s="52" t="n"/>
      <c r="G28" s="55" t="n"/>
      <c r="H28" s="54" t="n"/>
      <c r="I28" s="54" t="n"/>
      <c r="J28" s="54" t="n"/>
      <c r="K28" s="56">
        <f>IF(SUM(U28:AY28)=0,"",SUM(U28:AY28))</f>
        <v/>
      </c>
      <c r="L28" s="57">
        <f>IFERROR(INDEX(U$2:AY$2,MATCH(TRUE,U28:AY28&lt;&gt;"",0)),"")</f>
        <v/>
      </c>
      <c r="M28" s="58">
        <f>IFERROR(LOOKUP(2,1/(U28:AY28&lt;&gt;""),U$2:AY$2),"")</f>
        <v/>
      </c>
      <c r="N28" s="59">
        <f>IF(OR(G28="",M28=""),"",G28-M28)</f>
        <v/>
      </c>
      <c r="O28" s="60" t="n"/>
      <c r="P28" s="61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  <c r="AG28" s="62" t="n"/>
      <c r="AH28" s="62" t="n"/>
      <c r="AI28" s="62" t="n"/>
      <c r="AJ28" s="62" t="n"/>
      <c r="AK28" s="62" t="n"/>
      <c r="AL28" s="62" t="n"/>
      <c r="AM28" s="62" t="n"/>
      <c r="AN28" s="62" t="n"/>
      <c r="AO28" s="62" t="n"/>
      <c r="AP28" s="62" t="n"/>
      <c r="AQ28" s="62" t="n"/>
      <c r="AR28" s="62" t="n"/>
      <c r="AS28" s="62" t="n"/>
      <c r="AT28" s="62" t="n"/>
      <c r="AU28" s="62" t="n"/>
      <c r="AV28" s="62" t="n"/>
      <c r="AW28" s="62" t="n"/>
      <c r="AX28" s="62" t="n"/>
      <c r="AY28" s="62" t="n"/>
    </row>
    <row r="29">
      <c r="A29" s="38">
        <f>IF(D29="","",COUNTA($D$9:D29))</f>
        <v/>
      </c>
      <c r="B29" s="52" t="n"/>
      <c r="C29" s="53" t="inlineStr">
        <is>
          <t>마케팅1팀</t>
        </is>
      </c>
      <c r="D29" s="52" t="n"/>
      <c r="E29" s="54" t="n"/>
      <c r="F29" s="52" t="n"/>
      <c r="G29" s="55" t="n"/>
      <c r="H29" s="54" t="n"/>
      <c r="I29" s="54" t="n"/>
      <c r="J29" s="54" t="n"/>
      <c r="K29" s="56">
        <f>IF(SUM(U29:AY29)=0,"",SUM(U29:AY29))</f>
        <v/>
      </c>
      <c r="L29" s="57">
        <f>IFERROR(INDEX(U$2:AY$2,MATCH(TRUE,U29:AY29&lt;&gt;"",0)),"")</f>
        <v/>
      </c>
      <c r="M29" s="58">
        <f>IFERROR(LOOKUP(2,1/(U29:AY29&lt;&gt;""),U$2:AY$2),"")</f>
        <v/>
      </c>
      <c r="N29" s="59">
        <f>IF(OR(G29="",M29=""),"",G29-M29)</f>
        <v/>
      </c>
      <c r="O29" s="60" t="n"/>
      <c r="P29" s="61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  <c r="AG29" s="62" t="n"/>
      <c r="AH29" s="62" t="n"/>
      <c r="AI29" s="62" t="n"/>
      <c r="AJ29" s="62" t="n"/>
      <c r="AK29" s="62" t="n"/>
      <c r="AL29" s="62" t="n"/>
      <c r="AM29" s="62" t="n"/>
      <c r="AN29" s="62" t="n"/>
      <c r="AO29" s="62" t="n"/>
      <c r="AP29" s="62" t="n"/>
      <c r="AQ29" s="62" t="n"/>
      <c r="AR29" s="62" t="n"/>
      <c r="AS29" s="62" t="n"/>
      <c r="AT29" s="62" t="n"/>
      <c r="AU29" s="62" t="n"/>
      <c r="AV29" s="62" t="n"/>
      <c r="AW29" s="62" t="n"/>
      <c r="AX29" s="62" t="n"/>
      <c r="AY29" s="62" t="n"/>
    </row>
    <row r="30">
      <c r="A30" s="38">
        <f>IF(D30="","",COUNTA($D$9:D30))</f>
        <v/>
      </c>
      <c r="B30" s="52" t="n"/>
      <c r="C30" s="53" t="inlineStr">
        <is>
          <t>마케팅1팀</t>
        </is>
      </c>
      <c r="D30" s="52" t="n"/>
      <c r="E30" s="54" t="n"/>
      <c r="F30" s="52" t="n"/>
      <c r="G30" s="55" t="n"/>
      <c r="H30" s="54" t="n"/>
      <c r="I30" s="54" t="n"/>
      <c r="J30" s="54" t="n"/>
      <c r="K30" s="56">
        <f>IF(SUM(U30:AY30)=0,"",SUM(U30:AY30))</f>
        <v/>
      </c>
      <c r="L30" s="57">
        <f>IFERROR(INDEX(U$2:AY$2,MATCH(TRUE,U30:AY30&lt;&gt;"",0)),"")</f>
        <v/>
      </c>
      <c r="M30" s="58">
        <f>IFERROR(LOOKUP(2,1/(U30:AY30&lt;&gt;""),U$2:AY$2),"")</f>
        <v/>
      </c>
      <c r="N30" s="59">
        <f>IF(OR(G30="",M30=""),"",G30-M30)</f>
        <v/>
      </c>
      <c r="O30" s="60" t="n"/>
      <c r="P30" s="61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  <c r="AG30" s="62" t="n"/>
      <c r="AH30" s="62" t="n"/>
      <c r="AI30" s="62" t="n"/>
      <c r="AJ30" s="62" t="n"/>
      <c r="AK30" s="62" t="n"/>
      <c r="AL30" s="62" t="n"/>
      <c r="AM30" s="62" t="n"/>
      <c r="AN30" s="62" t="n"/>
      <c r="AO30" s="62" t="n"/>
      <c r="AP30" s="62" t="n"/>
      <c r="AQ30" s="62" t="n"/>
      <c r="AR30" s="62" t="n"/>
      <c r="AS30" s="62" t="n"/>
      <c r="AT30" s="62" t="n"/>
      <c r="AU30" s="62" t="n"/>
      <c r="AV30" s="62" t="n"/>
      <c r="AW30" s="62" t="n"/>
      <c r="AX30" s="62" t="n"/>
      <c r="AY30" s="62" t="n"/>
    </row>
    <row r="31">
      <c r="A31" s="38">
        <f>IF(D31="","",COUNTA($D$9:D31))</f>
        <v/>
      </c>
      <c r="B31" s="52" t="n"/>
      <c r="C31" s="53" t="inlineStr">
        <is>
          <t>마케팅1팀</t>
        </is>
      </c>
      <c r="D31" s="52" t="n"/>
      <c r="E31" s="54" t="n"/>
      <c r="F31" s="52" t="n"/>
      <c r="G31" s="55" t="n"/>
      <c r="H31" s="54" t="n"/>
      <c r="I31" s="54" t="n"/>
      <c r="J31" s="54" t="n"/>
      <c r="K31" s="56">
        <f>IF(SUM(U31:AY31)=0,"",SUM(U31:AY31))</f>
        <v/>
      </c>
      <c r="L31" s="57">
        <f>IFERROR(INDEX(U$2:AY$2,MATCH(TRUE,U31:AY31&lt;&gt;"",0)),"")</f>
        <v/>
      </c>
      <c r="M31" s="58">
        <f>IFERROR(LOOKUP(2,1/(U31:AY31&lt;&gt;""),U$2:AY$2),"")</f>
        <v/>
      </c>
      <c r="N31" s="59">
        <f>IF(OR(G31="",M31=""),"",G31-M31)</f>
        <v/>
      </c>
      <c r="O31" s="60" t="n"/>
      <c r="P31" s="61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  <c r="AG31" s="62" t="n"/>
      <c r="AH31" s="62" t="n"/>
      <c r="AI31" s="62" t="n"/>
      <c r="AJ31" s="62" t="n"/>
      <c r="AK31" s="62" t="n"/>
      <c r="AL31" s="62" t="n"/>
      <c r="AM31" s="62" t="n"/>
      <c r="AN31" s="62" t="n"/>
      <c r="AO31" s="62" t="n"/>
      <c r="AP31" s="62" t="n"/>
      <c r="AQ31" s="62" t="n"/>
      <c r="AR31" s="62" t="n"/>
      <c r="AS31" s="62" t="n"/>
      <c r="AT31" s="62" t="n"/>
      <c r="AU31" s="62" t="n"/>
      <c r="AV31" s="62" t="n"/>
      <c r="AW31" s="62" t="n"/>
      <c r="AX31" s="62" t="n"/>
      <c r="AY31" s="62" t="n"/>
    </row>
    <row r="32">
      <c r="A32" s="38">
        <f>IF(D32="","",COUNTA($D$9:D32))</f>
        <v/>
      </c>
      <c r="B32" s="52" t="n"/>
      <c r="C32" s="53" t="inlineStr">
        <is>
          <t>마케팅1팀</t>
        </is>
      </c>
      <c r="D32" s="52" t="n"/>
      <c r="E32" s="54" t="n"/>
      <c r="F32" s="52" t="n"/>
      <c r="G32" s="55" t="n"/>
      <c r="H32" s="54" t="n"/>
      <c r="I32" s="54" t="n"/>
      <c r="J32" s="54" t="n"/>
      <c r="K32" s="56">
        <f>IF(SUM(U32:AY32)=0,"",SUM(U32:AY32))</f>
        <v/>
      </c>
      <c r="L32" s="57">
        <f>IFERROR(INDEX(U$2:AY$2,MATCH(TRUE,U32:AY32&lt;&gt;"",0)),"")</f>
        <v/>
      </c>
      <c r="M32" s="58">
        <f>IFERROR(LOOKUP(2,1/(U32:AY32&lt;&gt;""),U$2:AY$2),"")</f>
        <v/>
      </c>
      <c r="N32" s="59">
        <f>IF(OR(G32="",M32=""),"",G32-M32)</f>
        <v/>
      </c>
      <c r="O32" s="60" t="n"/>
      <c r="P32" s="61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  <c r="AG32" s="62" t="n"/>
      <c r="AH32" s="62" t="n"/>
      <c r="AI32" s="62" t="n"/>
      <c r="AJ32" s="62" t="n"/>
      <c r="AK32" s="62" t="n"/>
      <c r="AL32" s="62" t="n"/>
      <c r="AM32" s="62" t="n"/>
      <c r="AN32" s="62" t="n"/>
      <c r="AO32" s="62" t="n"/>
      <c r="AP32" s="62" t="n"/>
      <c r="AQ32" s="62" t="n"/>
      <c r="AR32" s="62" t="n"/>
      <c r="AS32" s="62" t="n"/>
      <c r="AT32" s="62" t="n"/>
      <c r="AU32" s="62" t="n"/>
      <c r="AV32" s="62" t="n"/>
      <c r="AW32" s="62" t="n"/>
      <c r="AX32" s="62" t="n"/>
      <c r="AY32" s="62" t="n"/>
    </row>
    <row r="33">
      <c r="A33" s="38">
        <f>IF(D33="","",COUNTA($D$9:D33))</f>
        <v/>
      </c>
      <c r="B33" s="52" t="n"/>
      <c r="C33" s="53" t="inlineStr">
        <is>
          <t>마케팅1팀</t>
        </is>
      </c>
      <c r="D33" s="52" t="n"/>
      <c r="E33" s="54" t="n"/>
      <c r="F33" s="52" t="n"/>
      <c r="G33" s="55" t="n"/>
      <c r="H33" s="54" t="n"/>
      <c r="I33" s="54" t="n"/>
      <c r="J33" s="54" t="n"/>
      <c r="K33" s="56">
        <f>IF(SUM(U33:AY33)=0,"",SUM(U33:AY33))</f>
        <v/>
      </c>
      <c r="L33" s="57">
        <f>IFERROR(INDEX(U$2:AY$2,MATCH(TRUE,U33:AY33&lt;&gt;"",0)),"")</f>
        <v/>
      </c>
      <c r="M33" s="58">
        <f>IFERROR(LOOKUP(2,1/(U33:AY33&lt;&gt;""),U$2:AY$2),"")</f>
        <v/>
      </c>
      <c r="N33" s="59">
        <f>IF(OR(G33="",M33=""),"",G33-M33)</f>
        <v/>
      </c>
      <c r="O33" s="60" t="n"/>
      <c r="P33" s="61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  <c r="AG33" s="62" t="n"/>
      <c r="AH33" s="62" t="n"/>
      <c r="AI33" s="62" t="n"/>
      <c r="AJ33" s="62" t="n"/>
      <c r="AK33" s="62" t="n"/>
      <c r="AL33" s="62" t="n"/>
      <c r="AM33" s="62" t="n"/>
      <c r="AN33" s="62" t="n"/>
      <c r="AO33" s="62" t="n"/>
      <c r="AP33" s="62" t="n"/>
      <c r="AQ33" s="62" t="n"/>
      <c r="AR33" s="62" t="n"/>
      <c r="AS33" s="62" t="n"/>
      <c r="AT33" s="62" t="n"/>
      <c r="AU33" s="62" t="n"/>
      <c r="AV33" s="62" t="n"/>
      <c r="AW33" s="62" t="n"/>
      <c r="AX33" s="62" t="n"/>
      <c r="AY33" s="62" t="n"/>
    </row>
    <row r="34">
      <c r="A34" s="38">
        <f>IF(D34="","",COUNTA($D$9:D34))</f>
        <v/>
      </c>
      <c r="B34" s="52" t="n"/>
      <c r="C34" s="53" t="inlineStr">
        <is>
          <t>마케팅1팀</t>
        </is>
      </c>
      <c r="D34" s="52" t="n"/>
      <c r="E34" s="54" t="n"/>
      <c r="F34" s="52" t="n"/>
      <c r="G34" s="55" t="n"/>
      <c r="H34" s="54" t="n"/>
      <c r="I34" s="54" t="n"/>
      <c r="J34" s="54" t="n"/>
      <c r="K34" s="56">
        <f>IF(SUM(U34:AY34)=0,"",SUM(U34:AY34))</f>
        <v/>
      </c>
      <c r="L34" s="57">
        <f>IFERROR(INDEX(U$2:AY$2,MATCH(TRUE,U34:AY34&lt;&gt;"",0)),"")</f>
        <v/>
      </c>
      <c r="M34" s="58">
        <f>IFERROR(LOOKUP(2,1/(U34:AY34&lt;&gt;""),U$2:AY$2),"")</f>
        <v/>
      </c>
      <c r="N34" s="59">
        <f>IF(OR(G34="",M34=""),"",G34-M34)</f>
        <v/>
      </c>
      <c r="O34" s="60" t="n"/>
      <c r="P34" s="61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  <c r="AG34" s="62" t="n"/>
      <c r="AH34" s="62" t="n"/>
      <c r="AI34" s="62" t="n"/>
      <c r="AJ34" s="62" t="n"/>
      <c r="AK34" s="62" t="n"/>
      <c r="AL34" s="62" t="n"/>
      <c r="AM34" s="62" t="n"/>
      <c r="AN34" s="62" t="n"/>
      <c r="AO34" s="62" t="n"/>
      <c r="AP34" s="62" t="n"/>
      <c r="AQ34" s="62" t="n"/>
      <c r="AR34" s="62" t="n"/>
      <c r="AS34" s="62" t="n"/>
      <c r="AT34" s="62" t="n"/>
      <c r="AU34" s="62" t="n"/>
      <c r="AV34" s="62" t="n"/>
      <c r="AW34" s="62" t="n"/>
      <c r="AX34" s="62" t="n"/>
      <c r="AY34" s="62" t="n"/>
    </row>
    <row r="35">
      <c r="A35" s="38">
        <f>IF(D35="","",COUNTA($D$9:D35))</f>
        <v/>
      </c>
      <c r="B35" s="52" t="n"/>
      <c r="C35" s="53" t="inlineStr">
        <is>
          <t>마케팅1팀</t>
        </is>
      </c>
      <c r="D35" s="52" t="n"/>
      <c r="E35" s="54" t="n"/>
      <c r="F35" s="52" t="n"/>
      <c r="G35" s="55" t="n"/>
      <c r="H35" s="54" t="n"/>
      <c r="I35" s="54" t="n"/>
      <c r="J35" s="54" t="n"/>
      <c r="K35" s="56">
        <f>IF(SUM(U35:AY35)=0,"",SUM(U35:AY35))</f>
        <v/>
      </c>
      <c r="L35" s="57">
        <f>IFERROR(INDEX(U$2:AY$2,MATCH(TRUE,U35:AY35&lt;&gt;"",0)),"")</f>
        <v/>
      </c>
      <c r="M35" s="58">
        <f>IFERROR(LOOKUP(2,1/(U35:AY35&lt;&gt;""),U$2:AY$2),"")</f>
        <v/>
      </c>
      <c r="N35" s="59">
        <f>IF(OR(G35="",M35=""),"",G35-M35)</f>
        <v/>
      </c>
      <c r="O35" s="60" t="n"/>
      <c r="P35" s="61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  <c r="AG35" s="62" t="n"/>
      <c r="AH35" s="62" t="n"/>
      <c r="AI35" s="62" t="n"/>
      <c r="AJ35" s="62" t="n"/>
      <c r="AK35" s="62" t="n"/>
      <c r="AL35" s="62" t="n"/>
      <c r="AM35" s="62" t="n"/>
      <c r="AN35" s="62" t="n"/>
      <c r="AO35" s="62" t="n"/>
      <c r="AP35" s="62" t="n"/>
      <c r="AQ35" s="62" t="n"/>
      <c r="AR35" s="62" t="n"/>
      <c r="AS35" s="62" t="n"/>
      <c r="AT35" s="62" t="n"/>
      <c r="AU35" s="62" t="n"/>
      <c r="AV35" s="62" t="n"/>
      <c r="AW35" s="62" t="n"/>
      <c r="AX35" s="62" t="n"/>
      <c r="AY35" s="62" t="n"/>
    </row>
    <row r="36">
      <c r="A36" s="38">
        <f>IF(D36="","",COUNTA($D$9:D36))</f>
        <v/>
      </c>
      <c r="B36" s="52" t="n"/>
      <c r="C36" s="53" t="inlineStr">
        <is>
          <t>마케팅1팀</t>
        </is>
      </c>
      <c r="D36" s="52" t="n"/>
      <c r="E36" s="54" t="n"/>
      <c r="F36" s="52" t="n"/>
      <c r="G36" s="55" t="n"/>
      <c r="H36" s="54" t="n"/>
      <c r="I36" s="54" t="n"/>
      <c r="J36" s="54" t="n"/>
      <c r="K36" s="56">
        <f>IF(SUM(U36:AY36)=0,"",SUM(U36:AY36))</f>
        <v/>
      </c>
      <c r="L36" s="57">
        <f>IFERROR(INDEX(U$2:AY$2,MATCH(TRUE,U36:AY36&lt;&gt;"",0)),"")</f>
        <v/>
      </c>
      <c r="M36" s="58">
        <f>IFERROR(LOOKUP(2,1/(U36:AY36&lt;&gt;""),U$2:AY$2),"")</f>
        <v/>
      </c>
      <c r="N36" s="59">
        <f>IF(OR(G36="",M36=""),"",G36-M36)</f>
        <v/>
      </c>
      <c r="O36" s="60" t="n"/>
      <c r="P36" s="61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  <c r="AG36" s="62" t="n"/>
      <c r="AH36" s="62" t="n"/>
      <c r="AI36" s="62" t="n"/>
      <c r="AJ36" s="62" t="n"/>
      <c r="AK36" s="62" t="n"/>
      <c r="AL36" s="62" t="n"/>
      <c r="AM36" s="62" t="n"/>
      <c r="AN36" s="62" t="n"/>
      <c r="AO36" s="62" t="n"/>
      <c r="AP36" s="62" t="n"/>
      <c r="AQ36" s="62" t="n"/>
      <c r="AR36" s="62" t="n"/>
      <c r="AS36" s="62" t="n"/>
      <c r="AT36" s="62" t="n"/>
      <c r="AU36" s="62" t="n"/>
      <c r="AV36" s="62" t="n"/>
      <c r="AW36" s="62" t="n"/>
      <c r="AX36" s="62" t="n"/>
      <c r="AY36" s="62" t="n"/>
    </row>
    <row r="37">
      <c r="A37" s="38">
        <f>IF(D37="","",COUNTA($D$9:D37))</f>
        <v/>
      </c>
      <c r="B37" s="52" t="n"/>
      <c r="C37" s="53" t="inlineStr">
        <is>
          <t>마케팅1팀</t>
        </is>
      </c>
      <c r="D37" s="52" t="n"/>
      <c r="E37" s="54" t="n"/>
      <c r="F37" s="52" t="n"/>
      <c r="G37" s="55" t="n"/>
      <c r="H37" s="54" t="n"/>
      <c r="I37" s="54" t="n"/>
      <c r="J37" s="54" t="n"/>
      <c r="K37" s="56">
        <f>IF(SUM(U37:AY37)=0,"",SUM(U37:AY37))</f>
        <v/>
      </c>
      <c r="L37" s="57">
        <f>IFERROR(INDEX(U$2:AY$2,MATCH(TRUE,U37:AY37&lt;&gt;"",0)),"")</f>
        <v/>
      </c>
      <c r="M37" s="58">
        <f>IFERROR(LOOKUP(2,1/(U37:AY37&lt;&gt;""),U$2:AY$2),"")</f>
        <v/>
      </c>
      <c r="N37" s="59">
        <f>IF(OR(G37="",M37=""),"",G37-M37)</f>
        <v/>
      </c>
      <c r="O37" s="60" t="n"/>
      <c r="P37" s="61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  <c r="AG37" s="62" t="n"/>
      <c r="AH37" s="62" t="n"/>
      <c r="AI37" s="62" t="n"/>
      <c r="AJ37" s="62" t="n"/>
      <c r="AK37" s="62" t="n"/>
      <c r="AL37" s="62" t="n"/>
      <c r="AM37" s="62" t="n"/>
      <c r="AN37" s="62" t="n"/>
      <c r="AO37" s="62" t="n"/>
      <c r="AP37" s="62" t="n"/>
      <c r="AQ37" s="62" t="n"/>
      <c r="AR37" s="62" t="n"/>
      <c r="AS37" s="62" t="n"/>
      <c r="AT37" s="62" t="n"/>
      <c r="AU37" s="62" t="n"/>
      <c r="AV37" s="62" t="n"/>
      <c r="AW37" s="62" t="n"/>
      <c r="AX37" s="62" t="n"/>
      <c r="AY37" s="62" t="n"/>
    </row>
    <row r="38">
      <c r="A38" s="38">
        <f>IF(D38="","",COUNTA($D$9:D38))</f>
        <v/>
      </c>
      <c r="B38" s="52" t="n"/>
      <c r="C38" s="53" t="inlineStr">
        <is>
          <t>마케팅1팀</t>
        </is>
      </c>
      <c r="D38" s="52" t="n"/>
      <c r="E38" s="54" t="n"/>
      <c r="F38" s="52" t="n"/>
      <c r="G38" s="55" t="n"/>
      <c r="H38" s="54" t="n"/>
      <c r="I38" s="54" t="n"/>
      <c r="J38" s="54" t="n"/>
      <c r="K38" s="56">
        <f>IF(SUM(U38:AY38)=0,"",SUM(U38:AY38))</f>
        <v/>
      </c>
      <c r="L38" s="57">
        <f>IFERROR(INDEX(U$2:AY$2,MATCH(TRUE,U38:AY38&lt;&gt;"",0)),"")</f>
        <v/>
      </c>
      <c r="M38" s="58">
        <f>IFERROR(LOOKUP(2,1/(U38:AY38&lt;&gt;""),U$2:AY$2),"")</f>
        <v/>
      </c>
      <c r="N38" s="59">
        <f>IF(OR(G38="",M38=""),"",G38-M38)</f>
        <v/>
      </c>
      <c r="O38" s="60" t="n"/>
      <c r="P38" s="61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  <c r="AG38" s="62" t="n"/>
      <c r="AH38" s="62" t="n"/>
      <c r="AI38" s="62" t="n"/>
      <c r="AJ38" s="62" t="n"/>
      <c r="AK38" s="62" t="n"/>
      <c r="AL38" s="62" t="n"/>
      <c r="AM38" s="62" t="n"/>
      <c r="AN38" s="62" t="n"/>
      <c r="AO38" s="62" t="n"/>
      <c r="AP38" s="62" t="n"/>
      <c r="AQ38" s="62" t="n"/>
      <c r="AR38" s="62" t="n"/>
      <c r="AS38" s="62" t="n"/>
      <c r="AT38" s="62" t="n"/>
      <c r="AU38" s="62" t="n"/>
      <c r="AV38" s="62" t="n"/>
      <c r="AW38" s="62" t="n"/>
      <c r="AX38" s="62" t="n"/>
      <c r="AY38" s="62" t="n"/>
    </row>
    <row r="39">
      <c r="A39" s="63" t="inlineStr">
        <is>
          <t>마케팅2팀  (40~69행)</t>
        </is>
      </c>
      <c r="U39" s="64" t="n"/>
      <c r="V39" s="64" t="n"/>
      <c r="W39" s="64" t="n"/>
      <c r="X39" s="64" t="n"/>
      <c r="Y39" s="64" t="n"/>
      <c r="Z39" s="64" t="n"/>
      <c r="AA39" s="64" t="n"/>
      <c r="AB39" s="64" t="n"/>
      <c r="AC39" s="64" t="n"/>
      <c r="AD39" s="64" t="n"/>
      <c r="AE39" s="64" t="n"/>
      <c r="AF39" s="64" t="n"/>
      <c r="AG39" s="64" t="n"/>
      <c r="AH39" s="64" t="n"/>
      <c r="AI39" s="64" t="n"/>
      <c r="AJ39" s="64" t="n"/>
      <c r="AK39" s="64" t="n"/>
      <c r="AL39" s="64" t="n"/>
      <c r="AM39" s="64" t="n"/>
      <c r="AN39" s="64" t="n"/>
      <c r="AO39" s="64" t="n"/>
      <c r="AP39" s="64" t="n"/>
      <c r="AQ39" s="64" t="n"/>
      <c r="AR39" s="64" t="n"/>
      <c r="AS39" s="64" t="n"/>
      <c r="AT39" s="64" t="n"/>
      <c r="AU39" s="64" t="n"/>
      <c r="AV39" s="64" t="n"/>
      <c r="AW39" s="64" t="n"/>
      <c r="AX39" s="64" t="n"/>
      <c r="AY39" s="64" t="n"/>
    </row>
    <row r="40">
      <c r="A40" s="38">
        <f>IF(D40="","",COUNTA($D$40:D40))</f>
        <v/>
      </c>
      <c r="B40" s="52" t="n"/>
      <c r="C40" s="65" t="inlineStr">
        <is>
          <t>마케팅2팀</t>
        </is>
      </c>
      <c r="D40" s="52" t="n"/>
      <c r="E40" s="54" t="n"/>
      <c r="F40" s="52" t="n"/>
      <c r="G40" s="55" t="n"/>
      <c r="H40" s="54" t="n"/>
      <c r="I40" s="54" t="n"/>
      <c r="J40" s="54" t="n"/>
      <c r="K40" s="56">
        <f>IF(SUM(U40:AY40)=0,"",SUM(U40:AY40))</f>
        <v/>
      </c>
      <c r="L40" s="57">
        <f>IFERROR(INDEX(U$2:AY$2,MATCH(TRUE,U40:AY40&lt;&gt;"",0)),"")</f>
        <v/>
      </c>
      <c r="M40" s="58">
        <f>IFERROR(LOOKUP(2,1/(U40:AY40&lt;&gt;""),U$2:AY$2),"")</f>
        <v/>
      </c>
      <c r="N40" s="59">
        <f>IF(OR(G40="",M40=""),"",G40-M40)</f>
        <v/>
      </c>
      <c r="O40" s="60" t="n"/>
      <c r="P40" s="61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  <c r="AG40" s="62" t="n"/>
      <c r="AH40" s="62" t="n"/>
      <c r="AI40" s="62" t="n"/>
      <c r="AJ40" s="62" t="n"/>
      <c r="AK40" s="62" t="n"/>
      <c r="AL40" s="62" t="n"/>
      <c r="AM40" s="62" t="n"/>
      <c r="AN40" s="62" t="n"/>
      <c r="AO40" s="62" t="n"/>
      <c r="AP40" s="62" t="n"/>
      <c r="AQ40" s="62" t="n"/>
      <c r="AR40" s="62" t="n"/>
      <c r="AS40" s="62" t="n"/>
      <c r="AT40" s="62" t="n"/>
      <c r="AU40" s="62" t="n"/>
      <c r="AV40" s="62" t="n"/>
      <c r="AW40" s="62" t="n"/>
      <c r="AX40" s="62" t="n"/>
      <c r="AY40" s="62" t="n"/>
    </row>
    <row r="41">
      <c r="A41" s="38">
        <f>IF(D41="","",COUNTA($D$40:D41))</f>
        <v/>
      </c>
      <c r="B41" s="52" t="n"/>
      <c r="C41" s="65" t="inlineStr">
        <is>
          <t>마케팅2팀</t>
        </is>
      </c>
      <c r="D41" s="52" t="n"/>
      <c r="E41" s="54" t="n"/>
      <c r="F41" s="52" t="n"/>
      <c r="G41" s="55" t="n"/>
      <c r="H41" s="54" t="n"/>
      <c r="I41" s="54" t="n"/>
      <c r="J41" s="54" t="n"/>
      <c r="K41" s="56">
        <f>IF(SUM(U41:AY41)=0,"",SUM(U41:AY41))</f>
        <v/>
      </c>
      <c r="L41" s="57">
        <f>IFERROR(INDEX(U$2:AY$2,MATCH(TRUE,U41:AY41&lt;&gt;"",0)),"")</f>
        <v/>
      </c>
      <c r="M41" s="58">
        <f>IFERROR(LOOKUP(2,1/(U41:AY41&lt;&gt;""),U$2:AY$2),"")</f>
        <v/>
      </c>
      <c r="N41" s="59">
        <f>IF(OR(G41="",M41=""),"",G41-M41)</f>
        <v/>
      </c>
      <c r="O41" s="60" t="n"/>
      <c r="P41" s="61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  <c r="AG41" s="62" t="n"/>
      <c r="AH41" s="62" t="n"/>
      <c r="AI41" s="62" t="n"/>
      <c r="AJ41" s="62" t="n"/>
      <c r="AK41" s="62" t="n"/>
      <c r="AL41" s="62" t="n"/>
      <c r="AM41" s="62" t="n"/>
      <c r="AN41" s="62" t="n"/>
      <c r="AO41" s="62" t="n"/>
      <c r="AP41" s="62" t="n"/>
      <c r="AQ41" s="62" t="n"/>
      <c r="AR41" s="62" t="n"/>
      <c r="AS41" s="62" t="n"/>
      <c r="AT41" s="62" t="n"/>
      <c r="AU41" s="62" t="n"/>
      <c r="AV41" s="62" t="n"/>
      <c r="AW41" s="62" t="n"/>
      <c r="AX41" s="62" t="n"/>
      <c r="AY41" s="62" t="n"/>
    </row>
    <row r="42">
      <c r="A42" s="38">
        <f>IF(D42="","",COUNTA($D$40:D42))</f>
        <v/>
      </c>
      <c r="B42" s="52" t="n"/>
      <c r="C42" s="65" t="inlineStr">
        <is>
          <t>마케팅2팀</t>
        </is>
      </c>
      <c r="D42" s="52" t="n"/>
      <c r="E42" s="54" t="n"/>
      <c r="F42" s="52" t="n"/>
      <c r="G42" s="55" t="n"/>
      <c r="H42" s="54" t="n"/>
      <c r="I42" s="54" t="n"/>
      <c r="J42" s="54" t="n"/>
      <c r="K42" s="56">
        <f>IF(SUM(U42:AY42)=0,"",SUM(U42:AY42))</f>
        <v/>
      </c>
      <c r="L42" s="57">
        <f>IFERROR(INDEX(U$2:AY$2,MATCH(TRUE,U42:AY42&lt;&gt;"",0)),"")</f>
        <v/>
      </c>
      <c r="M42" s="58">
        <f>IFERROR(LOOKUP(2,1/(U42:AY42&lt;&gt;""),U$2:AY$2),"")</f>
        <v/>
      </c>
      <c r="N42" s="59">
        <f>IF(OR(G42="",M42=""),"",G42-M42)</f>
        <v/>
      </c>
      <c r="O42" s="60" t="n"/>
      <c r="P42" s="61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  <c r="AG42" s="62" t="n"/>
      <c r="AH42" s="62" t="n"/>
      <c r="AI42" s="62" t="n"/>
      <c r="AJ42" s="62" t="n"/>
      <c r="AK42" s="62" t="n"/>
      <c r="AL42" s="62" t="n"/>
      <c r="AM42" s="62" t="n"/>
      <c r="AN42" s="62" t="n"/>
      <c r="AO42" s="62" t="n"/>
      <c r="AP42" s="62" t="n"/>
      <c r="AQ42" s="62" t="n"/>
      <c r="AR42" s="62" t="n"/>
      <c r="AS42" s="62" t="n"/>
      <c r="AT42" s="62" t="n"/>
      <c r="AU42" s="62" t="n"/>
      <c r="AV42" s="62" t="n"/>
      <c r="AW42" s="62" t="n"/>
      <c r="AX42" s="62" t="n"/>
      <c r="AY42" s="62" t="n"/>
    </row>
    <row r="43">
      <c r="A43" s="38">
        <f>IF(D43="","",COUNTA($D$40:D43))</f>
        <v/>
      </c>
      <c r="B43" s="52" t="n"/>
      <c r="C43" s="65" t="inlineStr">
        <is>
          <t>마케팅2팀</t>
        </is>
      </c>
      <c r="D43" s="52" t="n"/>
      <c r="E43" s="54" t="n"/>
      <c r="F43" s="52" t="n"/>
      <c r="G43" s="55" t="n"/>
      <c r="H43" s="54" t="n"/>
      <c r="I43" s="54" t="n"/>
      <c r="J43" s="54" t="n"/>
      <c r="K43" s="56">
        <f>IF(SUM(U43:AY43)=0,"",SUM(U43:AY43))</f>
        <v/>
      </c>
      <c r="L43" s="57">
        <f>IFERROR(INDEX(U$2:AY$2,MATCH(TRUE,U43:AY43&lt;&gt;"",0)),"")</f>
        <v/>
      </c>
      <c r="M43" s="58">
        <f>IFERROR(LOOKUP(2,1/(U43:AY43&lt;&gt;""),U$2:AY$2),"")</f>
        <v/>
      </c>
      <c r="N43" s="59">
        <f>IF(OR(G43="",M43=""),"",G43-M43)</f>
        <v/>
      </c>
      <c r="O43" s="60" t="n"/>
      <c r="P43" s="61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  <c r="AG43" s="62" t="n"/>
      <c r="AH43" s="62" t="n"/>
      <c r="AI43" s="62" t="n"/>
      <c r="AJ43" s="62" t="n"/>
      <c r="AK43" s="62" t="n"/>
      <c r="AL43" s="62" t="n"/>
      <c r="AM43" s="62" t="n"/>
      <c r="AN43" s="62" t="n"/>
      <c r="AO43" s="62" t="n"/>
      <c r="AP43" s="62" t="n"/>
      <c r="AQ43" s="62" t="n"/>
      <c r="AR43" s="62" t="n"/>
      <c r="AS43" s="62" t="n"/>
      <c r="AT43" s="62" t="n"/>
      <c r="AU43" s="62" t="n"/>
      <c r="AV43" s="62" t="n"/>
      <c r="AW43" s="62" t="n"/>
      <c r="AX43" s="62" t="n"/>
      <c r="AY43" s="62" t="n"/>
    </row>
    <row r="44">
      <c r="A44" s="38">
        <f>IF(D44="","",COUNTA($D$40:D44))</f>
        <v/>
      </c>
      <c r="B44" s="52" t="n"/>
      <c r="C44" s="65" t="inlineStr">
        <is>
          <t>마케팅2팀</t>
        </is>
      </c>
      <c r="D44" s="52" t="n"/>
      <c r="E44" s="54" t="n"/>
      <c r="F44" s="52" t="n"/>
      <c r="G44" s="55" t="n"/>
      <c r="H44" s="54" t="n"/>
      <c r="I44" s="54" t="n"/>
      <c r="J44" s="54" t="n"/>
      <c r="K44" s="56">
        <f>IF(SUM(U44:AY44)=0,"",SUM(U44:AY44))</f>
        <v/>
      </c>
      <c r="L44" s="57">
        <f>IFERROR(INDEX(U$2:AY$2,MATCH(TRUE,U44:AY44&lt;&gt;"",0)),"")</f>
        <v/>
      </c>
      <c r="M44" s="58">
        <f>IFERROR(LOOKUP(2,1/(U44:AY44&lt;&gt;""),U$2:AY$2),"")</f>
        <v/>
      </c>
      <c r="N44" s="59">
        <f>IF(OR(G44="",M44=""),"",G44-M44)</f>
        <v/>
      </c>
      <c r="O44" s="60" t="n"/>
      <c r="P44" s="61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  <c r="AG44" s="62" t="n"/>
      <c r="AH44" s="62" t="n"/>
      <c r="AI44" s="62" t="n"/>
      <c r="AJ44" s="62" t="n"/>
      <c r="AK44" s="62" t="n"/>
      <c r="AL44" s="62" t="n"/>
      <c r="AM44" s="62" t="n"/>
      <c r="AN44" s="62" t="n"/>
      <c r="AO44" s="62" t="n"/>
      <c r="AP44" s="62" t="n"/>
      <c r="AQ44" s="62" t="n"/>
      <c r="AR44" s="62" t="n"/>
      <c r="AS44" s="62" t="n"/>
      <c r="AT44" s="62" t="n"/>
      <c r="AU44" s="62" t="n"/>
      <c r="AV44" s="62" t="n"/>
      <c r="AW44" s="62" t="n"/>
      <c r="AX44" s="62" t="n"/>
      <c r="AY44" s="62" t="n"/>
    </row>
    <row r="45">
      <c r="A45" s="38">
        <f>IF(D45="","",COUNTA($D$40:D45))</f>
        <v/>
      </c>
      <c r="B45" s="52" t="n"/>
      <c r="C45" s="65" t="inlineStr">
        <is>
          <t>마케팅2팀</t>
        </is>
      </c>
      <c r="D45" s="52" t="n"/>
      <c r="E45" s="54" t="n"/>
      <c r="F45" s="52" t="n"/>
      <c r="G45" s="55" t="n"/>
      <c r="H45" s="54" t="n"/>
      <c r="I45" s="54" t="n"/>
      <c r="J45" s="54" t="n"/>
      <c r="K45" s="56">
        <f>IF(SUM(U45:AY45)=0,"",SUM(U45:AY45))</f>
        <v/>
      </c>
      <c r="L45" s="57">
        <f>IFERROR(INDEX(U$2:AY$2,MATCH(TRUE,U45:AY45&lt;&gt;"",0)),"")</f>
        <v/>
      </c>
      <c r="M45" s="58">
        <f>IFERROR(LOOKUP(2,1/(U45:AY45&lt;&gt;""),U$2:AY$2),"")</f>
        <v/>
      </c>
      <c r="N45" s="59">
        <f>IF(OR(G45="",M45=""),"",G45-M45)</f>
        <v/>
      </c>
      <c r="O45" s="60" t="n"/>
      <c r="P45" s="61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  <c r="AG45" s="62" t="n"/>
      <c r="AH45" s="62" t="n"/>
      <c r="AI45" s="62" t="n"/>
      <c r="AJ45" s="62" t="n"/>
      <c r="AK45" s="62" t="n"/>
      <c r="AL45" s="62" t="n"/>
      <c r="AM45" s="62" t="n"/>
      <c r="AN45" s="62" t="n"/>
      <c r="AO45" s="62" t="n"/>
      <c r="AP45" s="62" t="n"/>
      <c r="AQ45" s="62" t="n"/>
      <c r="AR45" s="62" t="n"/>
      <c r="AS45" s="62" t="n"/>
      <c r="AT45" s="62" t="n"/>
      <c r="AU45" s="62" t="n"/>
      <c r="AV45" s="62" t="n"/>
      <c r="AW45" s="62" t="n"/>
      <c r="AX45" s="62" t="n"/>
      <c r="AY45" s="62" t="n"/>
    </row>
    <row r="46">
      <c r="A46" s="38">
        <f>IF(D46="","",COUNTA($D$40:D46))</f>
        <v/>
      </c>
      <c r="B46" s="52" t="n"/>
      <c r="C46" s="65" t="inlineStr">
        <is>
          <t>마케팅2팀</t>
        </is>
      </c>
      <c r="D46" s="52" t="n"/>
      <c r="E46" s="54" t="n"/>
      <c r="F46" s="52" t="n"/>
      <c r="G46" s="55" t="n"/>
      <c r="H46" s="54" t="n"/>
      <c r="I46" s="54" t="n"/>
      <c r="J46" s="54" t="n"/>
      <c r="K46" s="56">
        <f>IF(SUM(U46:AY46)=0,"",SUM(U46:AY46))</f>
        <v/>
      </c>
      <c r="L46" s="57">
        <f>IFERROR(INDEX(U$2:AY$2,MATCH(TRUE,U46:AY46&lt;&gt;"",0)),"")</f>
        <v/>
      </c>
      <c r="M46" s="58">
        <f>IFERROR(LOOKUP(2,1/(U46:AY46&lt;&gt;""),U$2:AY$2),"")</f>
        <v/>
      </c>
      <c r="N46" s="59">
        <f>IF(OR(G46="",M46=""),"",G46-M46)</f>
        <v/>
      </c>
      <c r="O46" s="60" t="n"/>
      <c r="P46" s="61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  <c r="AG46" s="62" t="n"/>
      <c r="AH46" s="62" t="n"/>
      <c r="AI46" s="62" t="n"/>
      <c r="AJ46" s="62" t="n"/>
      <c r="AK46" s="62" t="n"/>
      <c r="AL46" s="62" t="n"/>
      <c r="AM46" s="62" t="n"/>
      <c r="AN46" s="62" t="n"/>
      <c r="AO46" s="62" t="n"/>
      <c r="AP46" s="62" t="n"/>
      <c r="AQ46" s="62" t="n"/>
      <c r="AR46" s="62" t="n"/>
      <c r="AS46" s="62" t="n"/>
      <c r="AT46" s="62" t="n"/>
      <c r="AU46" s="62" t="n"/>
      <c r="AV46" s="62" t="n"/>
      <c r="AW46" s="62" t="n"/>
      <c r="AX46" s="62" t="n"/>
      <c r="AY46" s="62" t="n"/>
    </row>
    <row r="47">
      <c r="A47" s="38">
        <f>IF(D47="","",COUNTA($D$40:D47))</f>
        <v/>
      </c>
      <c r="B47" s="52" t="n"/>
      <c r="C47" s="65" t="inlineStr">
        <is>
          <t>마케팅2팀</t>
        </is>
      </c>
      <c r="D47" s="52" t="n"/>
      <c r="E47" s="54" t="n"/>
      <c r="F47" s="52" t="n"/>
      <c r="G47" s="55" t="n"/>
      <c r="H47" s="54" t="n"/>
      <c r="I47" s="54" t="n"/>
      <c r="J47" s="54" t="n"/>
      <c r="K47" s="56">
        <f>IF(SUM(U47:AY47)=0,"",SUM(U47:AY47))</f>
        <v/>
      </c>
      <c r="L47" s="57">
        <f>IFERROR(INDEX(U$2:AY$2,MATCH(TRUE,U47:AY47&lt;&gt;"",0)),"")</f>
        <v/>
      </c>
      <c r="M47" s="58">
        <f>IFERROR(LOOKUP(2,1/(U47:AY47&lt;&gt;""),U$2:AY$2),"")</f>
        <v/>
      </c>
      <c r="N47" s="59">
        <f>IF(OR(G47="",M47=""),"",G47-M47)</f>
        <v/>
      </c>
      <c r="O47" s="60" t="n"/>
      <c r="P47" s="61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  <c r="AG47" s="62" t="n"/>
      <c r="AH47" s="62" t="n"/>
      <c r="AI47" s="62" t="n"/>
      <c r="AJ47" s="62" t="n"/>
      <c r="AK47" s="62" t="n"/>
      <c r="AL47" s="62" t="n"/>
      <c r="AM47" s="62" t="n"/>
      <c r="AN47" s="62" t="n"/>
      <c r="AO47" s="62" t="n"/>
      <c r="AP47" s="62" t="n"/>
      <c r="AQ47" s="62" t="n"/>
      <c r="AR47" s="62" t="n"/>
      <c r="AS47" s="62" t="n"/>
      <c r="AT47" s="62" t="n"/>
      <c r="AU47" s="62" t="n"/>
      <c r="AV47" s="62" t="n"/>
      <c r="AW47" s="62" t="n"/>
      <c r="AX47" s="62" t="n"/>
      <c r="AY47" s="62" t="n"/>
    </row>
    <row r="48">
      <c r="A48" s="38">
        <f>IF(D48="","",COUNTA($D$40:D48))</f>
        <v/>
      </c>
      <c r="B48" s="52" t="n"/>
      <c r="C48" s="65" t="inlineStr">
        <is>
          <t>마케팅2팀</t>
        </is>
      </c>
      <c r="D48" s="52" t="n"/>
      <c r="E48" s="54" t="n"/>
      <c r="F48" s="52" t="n"/>
      <c r="G48" s="55" t="n"/>
      <c r="H48" s="54" t="n"/>
      <c r="I48" s="54" t="n"/>
      <c r="J48" s="54" t="n"/>
      <c r="K48" s="56">
        <f>IF(SUM(U48:AY48)=0,"",SUM(U48:AY48))</f>
        <v/>
      </c>
      <c r="L48" s="57">
        <f>IFERROR(INDEX(U$2:AY$2,MATCH(TRUE,U48:AY48&lt;&gt;"",0)),"")</f>
        <v/>
      </c>
      <c r="M48" s="58">
        <f>IFERROR(LOOKUP(2,1/(U48:AY48&lt;&gt;""),U$2:AY$2),"")</f>
        <v/>
      </c>
      <c r="N48" s="59">
        <f>IF(OR(G48="",M48=""),"",G48-M48)</f>
        <v/>
      </c>
      <c r="O48" s="60" t="n"/>
      <c r="P48" s="61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  <c r="AG48" s="62" t="n"/>
      <c r="AH48" s="62" t="n"/>
      <c r="AI48" s="62" t="n"/>
      <c r="AJ48" s="62" t="n"/>
      <c r="AK48" s="62" t="n"/>
      <c r="AL48" s="62" t="n"/>
      <c r="AM48" s="62" t="n"/>
      <c r="AN48" s="62" t="n"/>
      <c r="AO48" s="62" t="n"/>
      <c r="AP48" s="62" t="n"/>
      <c r="AQ48" s="62" t="n"/>
      <c r="AR48" s="62" t="n"/>
      <c r="AS48" s="62" t="n"/>
      <c r="AT48" s="62" t="n"/>
      <c r="AU48" s="62" t="n"/>
      <c r="AV48" s="62" t="n"/>
      <c r="AW48" s="62" t="n"/>
      <c r="AX48" s="62" t="n"/>
      <c r="AY48" s="62" t="n"/>
    </row>
    <row r="49">
      <c r="A49" s="38">
        <f>IF(D49="","",COUNTA($D$40:D49))</f>
        <v/>
      </c>
      <c r="B49" s="52" t="n"/>
      <c r="C49" s="65" t="inlineStr">
        <is>
          <t>마케팅2팀</t>
        </is>
      </c>
      <c r="D49" s="52" t="n"/>
      <c r="E49" s="54" t="n"/>
      <c r="F49" s="52" t="n"/>
      <c r="G49" s="55" t="n"/>
      <c r="H49" s="54" t="n"/>
      <c r="I49" s="54" t="n"/>
      <c r="J49" s="54" t="n"/>
      <c r="K49" s="56">
        <f>IF(SUM(U49:AY49)=0,"",SUM(U49:AY49))</f>
        <v/>
      </c>
      <c r="L49" s="57">
        <f>IFERROR(INDEX(U$2:AY$2,MATCH(TRUE,U49:AY49&lt;&gt;"",0)),"")</f>
        <v/>
      </c>
      <c r="M49" s="58">
        <f>IFERROR(LOOKUP(2,1/(U49:AY49&lt;&gt;""),U$2:AY$2),"")</f>
        <v/>
      </c>
      <c r="N49" s="59">
        <f>IF(OR(G49="",M49=""),"",G49-M49)</f>
        <v/>
      </c>
      <c r="O49" s="60" t="n"/>
      <c r="P49" s="61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  <c r="AG49" s="62" t="n"/>
      <c r="AH49" s="62" t="n"/>
      <c r="AI49" s="62" t="n"/>
      <c r="AJ49" s="62" t="n"/>
      <c r="AK49" s="62" t="n"/>
      <c r="AL49" s="62" t="n"/>
      <c r="AM49" s="62" t="n"/>
      <c r="AN49" s="62" t="n"/>
      <c r="AO49" s="62" t="n"/>
      <c r="AP49" s="62" t="n"/>
      <c r="AQ49" s="62" t="n"/>
      <c r="AR49" s="62" t="n"/>
      <c r="AS49" s="62" t="n"/>
      <c r="AT49" s="62" t="n"/>
      <c r="AU49" s="62" t="n"/>
      <c r="AV49" s="62" t="n"/>
      <c r="AW49" s="62" t="n"/>
      <c r="AX49" s="62" t="n"/>
      <c r="AY49" s="62" t="n"/>
    </row>
    <row r="50">
      <c r="A50" s="38">
        <f>IF(D50="","",COUNTA($D$40:D50))</f>
        <v/>
      </c>
      <c r="B50" s="52" t="n"/>
      <c r="C50" s="65" t="inlineStr">
        <is>
          <t>마케팅2팀</t>
        </is>
      </c>
      <c r="D50" s="52" t="n"/>
      <c r="E50" s="54" t="n"/>
      <c r="F50" s="52" t="n"/>
      <c r="G50" s="55" t="n"/>
      <c r="H50" s="54" t="n"/>
      <c r="I50" s="54" t="n"/>
      <c r="J50" s="54" t="n"/>
      <c r="K50" s="56">
        <f>IF(SUM(U50:AY50)=0,"",SUM(U50:AY50))</f>
        <v/>
      </c>
      <c r="L50" s="57">
        <f>IFERROR(INDEX(U$2:AY$2,MATCH(TRUE,U50:AY50&lt;&gt;"",0)),"")</f>
        <v/>
      </c>
      <c r="M50" s="58">
        <f>IFERROR(LOOKUP(2,1/(U50:AY50&lt;&gt;""),U$2:AY$2),"")</f>
        <v/>
      </c>
      <c r="N50" s="59">
        <f>IF(OR(G50="",M50=""),"",G50-M50)</f>
        <v/>
      </c>
      <c r="O50" s="60" t="n"/>
      <c r="P50" s="61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  <c r="AG50" s="62" t="n"/>
      <c r="AH50" s="62" t="n"/>
      <c r="AI50" s="62" t="n"/>
      <c r="AJ50" s="62" t="n"/>
      <c r="AK50" s="62" t="n"/>
      <c r="AL50" s="62" t="n"/>
      <c r="AM50" s="62" t="n"/>
      <c r="AN50" s="62" t="n"/>
      <c r="AO50" s="62" t="n"/>
      <c r="AP50" s="62" t="n"/>
      <c r="AQ50" s="62" t="n"/>
      <c r="AR50" s="62" t="n"/>
      <c r="AS50" s="62" t="n"/>
      <c r="AT50" s="62" t="n"/>
      <c r="AU50" s="62" t="n"/>
      <c r="AV50" s="62" t="n"/>
      <c r="AW50" s="62" t="n"/>
      <c r="AX50" s="62" t="n"/>
      <c r="AY50" s="62" t="n"/>
    </row>
    <row r="51">
      <c r="A51" s="38">
        <f>IF(D51="","",COUNTA($D$40:D51))</f>
        <v/>
      </c>
      <c r="B51" s="52" t="n"/>
      <c r="C51" s="65" t="inlineStr">
        <is>
          <t>마케팅2팀</t>
        </is>
      </c>
      <c r="D51" s="52" t="n"/>
      <c r="E51" s="54" t="n"/>
      <c r="F51" s="52" t="n"/>
      <c r="G51" s="55" t="n"/>
      <c r="H51" s="54" t="n"/>
      <c r="I51" s="54" t="n"/>
      <c r="J51" s="54" t="n"/>
      <c r="K51" s="56">
        <f>IF(SUM(U51:AY51)=0,"",SUM(U51:AY51))</f>
        <v/>
      </c>
      <c r="L51" s="57">
        <f>IFERROR(INDEX(U$2:AY$2,MATCH(TRUE,U51:AY51&lt;&gt;"",0)),"")</f>
        <v/>
      </c>
      <c r="M51" s="58">
        <f>IFERROR(LOOKUP(2,1/(U51:AY51&lt;&gt;""),U$2:AY$2),"")</f>
        <v/>
      </c>
      <c r="N51" s="59">
        <f>IF(OR(G51="",M51=""),"",G51-M51)</f>
        <v/>
      </c>
      <c r="O51" s="60" t="n"/>
      <c r="P51" s="61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  <c r="AG51" s="62" t="n"/>
      <c r="AH51" s="62" t="n"/>
      <c r="AI51" s="62" t="n"/>
      <c r="AJ51" s="62" t="n"/>
      <c r="AK51" s="62" t="n"/>
      <c r="AL51" s="62" t="n"/>
      <c r="AM51" s="62" t="n"/>
      <c r="AN51" s="62" t="n"/>
      <c r="AO51" s="62" t="n"/>
      <c r="AP51" s="62" t="n"/>
      <c r="AQ51" s="62" t="n"/>
      <c r="AR51" s="62" t="n"/>
      <c r="AS51" s="62" t="n"/>
      <c r="AT51" s="62" t="n"/>
      <c r="AU51" s="62" t="n"/>
      <c r="AV51" s="62" t="n"/>
      <c r="AW51" s="62" t="n"/>
      <c r="AX51" s="62" t="n"/>
      <c r="AY51" s="62" t="n"/>
    </row>
    <row r="52">
      <c r="A52" s="38">
        <f>IF(D52="","",COUNTA($D$40:D52))</f>
        <v/>
      </c>
      <c r="B52" s="52" t="n"/>
      <c r="C52" s="65" t="inlineStr">
        <is>
          <t>마케팅2팀</t>
        </is>
      </c>
      <c r="D52" s="52" t="n"/>
      <c r="E52" s="54" t="n"/>
      <c r="F52" s="52" t="n"/>
      <c r="G52" s="55" t="n"/>
      <c r="H52" s="54" t="n"/>
      <c r="I52" s="54" t="n"/>
      <c r="J52" s="54" t="n"/>
      <c r="K52" s="56">
        <f>IF(SUM(U52:AY52)=0,"",SUM(U52:AY52))</f>
        <v/>
      </c>
      <c r="L52" s="57">
        <f>IFERROR(INDEX(U$2:AY$2,MATCH(TRUE,U52:AY52&lt;&gt;"",0)),"")</f>
        <v/>
      </c>
      <c r="M52" s="58">
        <f>IFERROR(LOOKUP(2,1/(U52:AY52&lt;&gt;""),U$2:AY$2),"")</f>
        <v/>
      </c>
      <c r="N52" s="59">
        <f>IF(OR(G52="",M52=""),"",G52-M52)</f>
        <v/>
      </c>
      <c r="O52" s="60" t="n"/>
      <c r="P52" s="61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  <c r="AG52" s="62" t="n"/>
      <c r="AH52" s="62" t="n"/>
      <c r="AI52" s="62" t="n"/>
      <c r="AJ52" s="62" t="n"/>
      <c r="AK52" s="62" t="n"/>
      <c r="AL52" s="62" t="n"/>
      <c r="AM52" s="62" t="n"/>
      <c r="AN52" s="62" t="n"/>
      <c r="AO52" s="62" t="n"/>
      <c r="AP52" s="62" t="n"/>
      <c r="AQ52" s="62" t="n"/>
      <c r="AR52" s="62" t="n"/>
      <c r="AS52" s="62" t="n"/>
      <c r="AT52" s="62" t="n"/>
      <c r="AU52" s="62" t="n"/>
      <c r="AV52" s="62" t="n"/>
      <c r="AW52" s="62" t="n"/>
      <c r="AX52" s="62" t="n"/>
      <c r="AY52" s="62" t="n"/>
    </row>
    <row r="53">
      <c r="A53" s="38">
        <f>IF(D53="","",COUNTA($D$40:D53))</f>
        <v/>
      </c>
      <c r="B53" s="52" t="n"/>
      <c r="C53" s="65" t="inlineStr">
        <is>
          <t>마케팅2팀</t>
        </is>
      </c>
      <c r="D53" s="52" t="n"/>
      <c r="E53" s="54" t="n"/>
      <c r="F53" s="52" t="n"/>
      <c r="G53" s="55" t="n"/>
      <c r="H53" s="54" t="n"/>
      <c r="I53" s="54" t="n"/>
      <c r="J53" s="54" t="n"/>
      <c r="K53" s="56">
        <f>IF(SUM(U53:AY53)=0,"",SUM(U53:AY53))</f>
        <v/>
      </c>
      <c r="L53" s="57">
        <f>IFERROR(INDEX(U$2:AY$2,MATCH(TRUE,U53:AY53&lt;&gt;"",0)),"")</f>
        <v/>
      </c>
      <c r="M53" s="58">
        <f>IFERROR(LOOKUP(2,1/(U53:AY53&lt;&gt;""),U$2:AY$2),"")</f>
        <v/>
      </c>
      <c r="N53" s="59">
        <f>IF(OR(G53="",M53=""),"",G53-M53)</f>
        <v/>
      </c>
      <c r="O53" s="60" t="n"/>
      <c r="P53" s="61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  <c r="AG53" s="62" t="n"/>
      <c r="AH53" s="62" t="n"/>
      <c r="AI53" s="62" t="n"/>
      <c r="AJ53" s="62" t="n"/>
      <c r="AK53" s="62" t="n"/>
      <c r="AL53" s="62" t="n"/>
      <c r="AM53" s="62" t="n"/>
      <c r="AN53" s="62" t="n"/>
      <c r="AO53" s="62" t="n"/>
      <c r="AP53" s="62" t="n"/>
      <c r="AQ53" s="62" t="n"/>
      <c r="AR53" s="62" t="n"/>
      <c r="AS53" s="62" t="n"/>
      <c r="AT53" s="62" t="n"/>
      <c r="AU53" s="62" t="n"/>
      <c r="AV53" s="62" t="n"/>
      <c r="AW53" s="62" t="n"/>
      <c r="AX53" s="62" t="n"/>
      <c r="AY53" s="62" t="n"/>
    </row>
    <row r="54">
      <c r="A54" s="38">
        <f>IF(D54="","",COUNTA($D$40:D54))</f>
        <v/>
      </c>
      <c r="B54" s="52" t="n"/>
      <c r="C54" s="65" t="inlineStr">
        <is>
          <t>마케팅2팀</t>
        </is>
      </c>
      <c r="D54" s="52" t="n"/>
      <c r="E54" s="54" t="n"/>
      <c r="F54" s="52" t="n"/>
      <c r="G54" s="55" t="n"/>
      <c r="H54" s="54" t="n"/>
      <c r="I54" s="54" t="n"/>
      <c r="J54" s="54" t="n"/>
      <c r="K54" s="56">
        <f>IF(SUM(U54:AY54)=0,"",SUM(U54:AY54))</f>
        <v/>
      </c>
      <c r="L54" s="57">
        <f>IFERROR(INDEX(U$2:AY$2,MATCH(TRUE,U54:AY54&lt;&gt;"",0)),"")</f>
        <v/>
      </c>
      <c r="M54" s="58">
        <f>IFERROR(LOOKUP(2,1/(U54:AY54&lt;&gt;""),U$2:AY$2),"")</f>
        <v/>
      </c>
      <c r="N54" s="59">
        <f>IF(OR(G54="",M54=""),"",G54-M54)</f>
        <v/>
      </c>
      <c r="O54" s="60" t="n"/>
      <c r="P54" s="61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  <c r="AG54" s="62" t="n"/>
      <c r="AH54" s="62" t="n"/>
      <c r="AI54" s="62" t="n"/>
      <c r="AJ54" s="62" t="n"/>
      <c r="AK54" s="62" t="n"/>
      <c r="AL54" s="62" t="n"/>
      <c r="AM54" s="62" t="n"/>
      <c r="AN54" s="62" t="n"/>
      <c r="AO54" s="62" t="n"/>
      <c r="AP54" s="62" t="n"/>
      <c r="AQ54" s="62" t="n"/>
      <c r="AR54" s="62" t="n"/>
      <c r="AS54" s="62" t="n"/>
      <c r="AT54" s="62" t="n"/>
      <c r="AU54" s="62" t="n"/>
      <c r="AV54" s="62" t="n"/>
      <c r="AW54" s="62" t="n"/>
      <c r="AX54" s="62" t="n"/>
      <c r="AY54" s="62" t="n"/>
    </row>
    <row r="55">
      <c r="A55" s="38">
        <f>IF(D55="","",COUNTA($D$40:D55))</f>
        <v/>
      </c>
      <c r="B55" s="52" t="n"/>
      <c r="C55" s="65" t="inlineStr">
        <is>
          <t>마케팅2팀</t>
        </is>
      </c>
      <c r="D55" s="52" t="n"/>
      <c r="E55" s="54" t="n"/>
      <c r="F55" s="52" t="n"/>
      <c r="G55" s="55" t="n"/>
      <c r="H55" s="54" t="n"/>
      <c r="I55" s="54" t="n"/>
      <c r="J55" s="54" t="n"/>
      <c r="K55" s="56">
        <f>IF(SUM(U55:AY55)=0,"",SUM(U55:AY55))</f>
        <v/>
      </c>
      <c r="L55" s="57">
        <f>IFERROR(INDEX(U$2:AY$2,MATCH(TRUE,U55:AY55&lt;&gt;"",0)),"")</f>
        <v/>
      </c>
      <c r="M55" s="58">
        <f>IFERROR(LOOKUP(2,1/(U55:AY55&lt;&gt;""),U$2:AY$2),"")</f>
        <v/>
      </c>
      <c r="N55" s="59">
        <f>IF(OR(G55="",M55=""),"",G55-M55)</f>
        <v/>
      </c>
      <c r="O55" s="60" t="n"/>
      <c r="P55" s="61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  <c r="AG55" s="62" t="n"/>
      <c r="AH55" s="62" t="n"/>
      <c r="AI55" s="62" t="n"/>
      <c r="AJ55" s="62" t="n"/>
      <c r="AK55" s="62" t="n"/>
      <c r="AL55" s="62" t="n"/>
      <c r="AM55" s="62" t="n"/>
      <c r="AN55" s="62" t="n"/>
      <c r="AO55" s="62" t="n"/>
      <c r="AP55" s="62" t="n"/>
      <c r="AQ55" s="62" t="n"/>
      <c r="AR55" s="62" t="n"/>
      <c r="AS55" s="62" t="n"/>
      <c r="AT55" s="62" t="n"/>
      <c r="AU55" s="62" t="n"/>
      <c r="AV55" s="62" t="n"/>
      <c r="AW55" s="62" t="n"/>
      <c r="AX55" s="62" t="n"/>
      <c r="AY55" s="62" t="n"/>
    </row>
    <row r="56">
      <c r="A56" s="38">
        <f>IF(D56="","",COUNTA($D$40:D56))</f>
        <v/>
      </c>
      <c r="B56" s="52" t="n"/>
      <c r="C56" s="65" t="inlineStr">
        <is>
          <t>마케팅2팀</t>
        </is>
      </c>
      <c r="D56" s="52" t="n"/>
      <c r="E56" s="54" t="n"/>
      <c r="F56" s="52" t="n"/>
      <c r="G56" s="55" t="n"/>
      <c r="H56" s="54" t="n"/>
      <c r="I56" s="54" t="n"/>
      <c r="J56" s="54" t="n"/>
      <c r="K56" s="56">
        <f>IF(SUM(U56:AY56)=0,"",SUM(U56:AY56))</f>
        <v/>
      </c>
      <c r="L56" s="57">
        <f>IFERROR(INDEX(U$2:AY$2,MATCH(TRUE,U56:AY56&lt;&gt;"",0)),"")</f>
        <v/>
      </c>
      <c r="M56" s="58">
        <f>IFERROR(LOOKUP(2,1/(U56:AY56&lt;&gt;""),U$2:AY$2),"")</f>
        <v/>
      </c>
      <c r="N56" s="59">
        <f>IF(OR(G56="",M56=""),"",G56-M56)</f>
        <v/>
      </c>
      <c r="O56" s="60" t="n"/>
      <c r="P56" s="61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  <c r="AG56" s="62" t="n"/>
      <c r="AH56" s="62" t="n"/>
      <c r="AI56" s="62" t="n"/>
      <c r="AJ56" s="62" t="n"/>
      <c r="AK56" s="62" t="n"/>
      <c r="AL56" s="62" t="n"/>
      <c r="AM56" s="62" t="n"/>
      <c r="AN56" s="62" t="n"/>
      <c r="AO56" s="62" t="n"/>
      <c r="AP56" s="62" t="n"/>
      <c r="AQ56" s="62" t="n"/>
      <c r="AR56" s="62" t="n"/>
      <c r="AS56" s="62" t="n"/>
      <c r="AT56" s="62" t="n"/>
      <c r="AU56" s="62" t="n"/>
      <c r="AV56" s="62" t="n"/>
      <c r="AW56" s="62" t="n"/>
      <c r="AX56" s="62" t="n"/>
      <c r="AY56" s="62" t="n"/>
    </row>
    <row r="57">
      <c r="A57" s="38">
        <f>IF(D57="","",COUNTA($D$40:D57))</f>
        <v/>
      </c>
      <c r="B57" s="52" t="n"/>
      <c r="C57" s="65" t="inlineStr">
        <is>
          <t>마케팅2팀</t>
        </is>
      </c>
      <c r="D57" s="52" t="n"/>
      <c r="E57" s="54" t="n"/>
      <c r="F57" s="52" t="n"/>
      <c r="G57" s="55" t="n"/>
      <c r="H57" s="54" t="n"/>
      <c r="I57" s="54" t="n"/>
      <c r="J57" s="54" t="n"/>
      <c r="K57" s="56">
        <f>IF(SUM(U57:AY57)=0,"",SUM(U57:AY57))</f>
        <v/>
      </c>
      <c r="L57" s="57">
        <f>IFERROR(INDEX(U$2:AY$2,MATCH(TRUE,U57:AY57&lt;&gt;"",0)),"")</f>
        <v/>
      </c>
      <c r="M57" s="58">
        <f>IFERROR(LOOKUP(2,1/(U57:AY57&lt;&gt;""),U$2:AY$2),"")</f>
        <v/>
      </c>
      <c r="N57" s="59">
        <f>IF(OR(G57="",M57=""),"",G57-M57)</f>
        <v/>
      </c>
      <c r="O57" s="60" t="n"/>
      <c r="P57" s="61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  <c r="AG57" s="62" t="n"/>
      <c r="AH57" s="62" t="n"/>
      <c r="AI57" s="62" t="n"/>
      <c r="AJ57" s="62" t="n"/>
      <c r="AK57" s="62" t="n"/>
      <c r="AL57" s="62" t="n"/>
      <c r="AM57" s="62" t="n"/>
      <c r="AN57" s="62" t="n"/>
      <c r="AO57" s="62" t="n"/>
      <c r="AP57" s="62" t="n"/>
      <c r="AQ57" s="62" t="n"/>
      <c r="AR57" s="62" t="n"/>
      <c r="AS57" s="62" t="n"/>
      <c r="AT57" s="62" t="n"/>
      <c r="AU57" s="62" t="n"/>
      <c r="AV57" s="62" t="n"/>
      <c r="AW57" s="62" t="n"/>
      <c r="AX57" s="62" t="n"/>
      <c r="AY57" s="62" t="n"/>
    </row>
    <row r="58">
      <c r="A58" s="38">
        <f>IF(D58="","",COUNTA($D$40:D58))</f>
        <v/>
      </c>
      <c r="B58" s="52" t="n"/>
      <c r="C58" s="65" t="inlineStr">
        <is>
          <t>마케팅2팀</t>
        </is>
      </c>
      <c r="D58" s="52" t="n"/>
      <c r="E58" s="54" t="n"/>
      <c r="F58" s="52" t="n"/>
      <c r="G58" s="55" t="n"/>
      <c r="H58" s="54" t="n"/>
      <c r="I58" s="54" t="n"/>
      <c r="J58" s="54" t="n"/>
      <c r="K58" s="56">
        <f>IF(SUM(U58:AY58)=0,"",SUM(U58:AY58))</f>
        <v/>
      </c>
      <c r="L58" s="57">
        <f>IFERROR(INDEX(U$2:AY$2,MATCH(TRUE,U58:AY58&lt;&gt;"",0)),"")</f>
        <v/>
      </c>
      <c r="M58" s="58">
        <f>IFERROR(LOOKUP(2,1/(U58:AY58&lt;&gt;""),U$2:AY$2),"")</f>
        <v/>
      </c>
      <c r="N58" s="59">
        <f>IF(OR(G58="",M58=""),"",G58-M58)</f>
        <v/>
      </c>
      <c r="O58" s="60" t="n"/>
      <c r="P58" s="61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  <c r="AG58" s="62" t="n"/>
      <c r="AH58" s="62" t="n"/>
      <c r="AI58" s="62" t="n"/>
      <c r="AJ58" s="62" t="n"/>
      <c r="AK58" s="62" t="n"/>
      <c r="AL58" s="62" t="n"/>
      <c r="AM58" s="62" t="n"/>
      <c r="AN58" s="62" t="n"/>
      <c r="AO58" s="62" t="n"/>
      <c r="AP58" s="62" t="n"/>
      <c r="AQ58" s="62" t="n"/>
      <c r="AR58" s="62" t="n"/>
      <c r="AS58" s="62" t="n"/>
      <c r="AT58" s="62" t="n"/>
      <c r="AU58" s="62" t="n"/>
      <c r="AV58" s="62" t="n"/>
      <c r="AW58" s="62" t="n"/>
      <c r="AX58" s="62" t="n"/>
      <c r="AY58" s="62" t="n"/>
    </row>
    <row r="59">
      <c r="A59" s="38">
        <f>IF(D59="","",COUNTA($D$40:D59))</f>
        <v/>
      </c>
      <c r="B59" s="52" t="n"/>
      <c r="C59" s="65" t="inlineStr">
        <is>
          <t>마케팅2팀</t>
        </is>
      </c>
      <c r="D59" s="52" t="n"/>
      <c r="E59" s="54" t="n"/>
      <c r="F59" s="52" t="n"/>
      <c r="G59" s="55" t="n"/>
      <c r="H59" s="54" t="n"/>
      <c r="I59" s="54" t="n"/>
      <c r="J59" s="54" t="n"/>
      <c r="K59" s="56">
        <f>IF(SUM(U59:AY59)=0,"",SUM(U59:AY59))</f>
        <v/>
      </c>
      <c r="L59" s="57">
        <f>IFERROR(INDEX(U$2:AY$2,MATCH(TRUE,U59:AY59&lt;&gt;"",0)),"")</f>
        <v/>
      </c>
      <c r="M59" s="58">
        <f>IFERROR(LOOKUP(2,1/(U59:AY59&lt;&gt;""),U$2:AY$2),"")</f>
        <v/>
      </c>
      <c r="N59" s="59">
        <f>IF(OR(G59="",M59=""),"",G59-M59)</f>
        <v/>
      </c>
      <c r="O59" s="60" t="n"/>
      <c r="P59" s="61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  <c r="AG59" s="62" t="n"/>
      <c r="AH59" s="62" t="n"/>
      <c r="AI59" s="62" t="n"/>
      <c r="AJ59" s="62" t="n"/>
      <c r="AK59" s="62" t="n"/>
      <c r="AL59" s="62" t="n"/>
      <c r="AM59" s="62" t="n"/>
      <c r="AN59" s="62" t="n"/>
      <c r="AO59" s="62" t="n"/>
      <c r="AP59" s="62" t="n"/>
      <c r="AQ59" s="62" t="n"/>
      <c r="AR59" s="62" t="n"/>
      <c r="AS59" s="62" t="n"/>
      <c r="AT59" s="62" t="n"/>
      <c r="AU59" s="62" t="n"/>
      <c r="AV59" s="62" t="n"/>
      <c r="AW59" s="62" t="n"/>
      <c r="AX59" s="62" t="n"/>
      <c r="AY59" s="62" t="n"/>
    </row>
    <row r="60">
      <c r="A60" s="38">
        <f>IF(D60="","",COUNTA($D$40:D60))</f>
        <v/>
      </c>
      <c r="B60" s="52" t="n"/>
      <c r="C60" s="65" t="inlineStr">
        <is>
          <t>마케팅2팀</t>
        </is>
      </c>
      <c r="D60" s="52" t="n"/>
      <c r="E60" s="54" t="n"/>
      <c r="F60" s="52" t="n"/>
      <c r="G60" s="55" t="n"/>
      <c r="H60" s="54" t="n"/>
      <c r="I60" s="54" t="n"/>
      <c r="J60" s="54" t="n"/>
      <c r="K60" s="56">
        <f>IF(SUM(U60:AY60)=0,"",SUM(U60:AY60))</f>
        <v/>
      </c>
      <c r="L60" s="57">
        <f>IFERROR(INDEX(U$2:AY$2,MATCH(TRUE,U60:AY60&lt;&gt;"",0)),"")</f>
        <v/>
      </c>
      <c r="M60" s="58">
        <f>IFERROR(LOOKUP(2,1/(U60:AY60&lt;&gt;""),U$2:AY$2),"")</f>
        <v/>
      </c>
      <c r="N60" s="59">
        <f>IF(OR(G60="",M60=""),"",G60-M60)</f>
        <v/>
      </c>
      <c r="O60" s="60" t="n"/>
      <c r="P60" s="61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  <c r="AG60" s="62" t="n"/>
      <c r="AH60" s="62" t="n"/>
      <c r="AI60" s="62" t="n"/>
      <c r="AJ60" s="62" t="n"/>
      <c r="AK60" s="62" t="n"/>
      <c r="AL60" s="62" t="n"/>
      <c r="AM60" s="62" t="n"/>
      <c r="AN60" s="62" t="n"/>
      <c r="AO60" s="62" t="n"/>
      <c r="AP60" s="62" t="n"/>
      <c r="AQ60" s="62" t="n"/>
      <c r="AR60" s="62" t="n"/>
      <c r="AS60" s="62" t="n"/>
      <c r="AT60" s="62" t="n"/>
      <c r="AU60" s="62" t="n"/>
      <c r="AV60" s="62" t="n"/>
      <c r="AW60" s="62" t="n"/>
      <c r="AX60" s="62" t="n"/>
      <c r="AY60" s="62" t="n"/>
    </row>
    <row r="61">
      <c r="A61" s="38">
        <f>IF(D61="","",COUNTA($D$40:D61))</f>
        <v/>
      </c>
      <c r="B61" s="52" t="n"/>
      <c r="C61" s="65" t="inlineStr">
        <is>
          <t>마케팅2팀</t>
        </is>
      </c>
      <c r="D61" s="52" t="n"/>
      <c r="E61" s="54" t="n"/>
      <c r="F61" s="52" t="n"/>
      <c r="G61" s="55" t="n"/>
      <c r="H61" s="54" t="n"/>
      <c r="I61" s="54" t="n"/>
      <c r="J61" s="54" t="n"/>
      <c r="K61" s="56">
        <f>IF(SUM(U61:AY61)=0,"",SUM(U61:AY61))</f>
        <v/>
      </c>
      <c r="L61" s="57">
        <f>IFERROR(INDEX(U$2:AY$2,MATCH(TRUE,U61:AY61&lt;&gt;"",0)),"")</f>
        <v/>
      </c>
      <c r="M61" s="58">
        <f>IFERROR(LOOKUP(2,1/(U61:AY61&lt;&gt;""),U$2:AY$2),"")</f>
        <v/>
      </c>
      <c r="N61" s="59">
        <f>IF(OR(G61="",M61=""),"",G61-M61)</f>
        <v/>
      </c>
      <c r="O61" s="60" t="n"/>
      <c r="P61" s="61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  <c r="AG61" s="62" t="n"/>
      <c r="AH61" s="62" t="n"/>
      <c r="AI61" s="62" t="n"/>
      <c r="AJ61" s="62" t="n"/>
      <c r="AK61" s="62" t="n"/>
      <c r="AL61" s="62" t="n"/>
      <c r="AM61" s="62" t="n"/>
      <c r="AN61" s="62" t="n"/>
      <c r="AO61" s="62" t="n"/>
      <c r="AP61" s="62" t="n"/>
      <c r="AQ61" s="62" t="n"/>
      <c r="AR61" s="62" t="n"/>
      <c r="AS61" s="62" t="n"/>
      <c r="AT61" s="62" t="n"/>
      <c r="AU61" s="62" t="n"/>
      <c r="AV61" s="62" t="n"/>
      <c r="AW61" s="62" t="n"/>
      <c r="AX61" s="62" t="n"/>
      <c r="AY61" s="62" t="n"/>
    </row>
    <row r="62">
      <c r="A62" s="38">
        <f>IF(D62="","",COUNTA($D$40:D62))</f>
        <v/>
      </c>
      <c r="B62" s="52" t="n"/>
      <c r="C62" s="65" t="inlineStr">
        <is>
          <t>마케팅2팀</t>
        </is>
      </c>
      <c r="D62" s="52" t="n"/>
      <c r="E62" s="54" t="n"/>
      <c r="F62" s="52" t="n"/>
      <c r="G62" s="55" t="n"/>
      <c r="H62" s="54" t="n"/>
      <c r="I62" s="54" t="n"/>
      <c r="J62" s="54" t="n"/>
      <c r="K62" s="56">
        <f>IF(SUM(U62:AY62)=0,"",SUM(U62:AY62))</f>
        <v/>
      </c>
      <c r="L62" s="57">
        <f>IFERROR(INDEX(U$2:AY$2,MATCH(TRUE,U62:AY62&lt;&gt;"",0)),"")</f>
        <v/>
      </c>
      <c r="M62" s="58">
        <f>IFERROR(LOOKUP(2,1/(U62:AY62&lt;&gt;""),U$2:AY$2),"")</f>
        <v/>
      </c>
      <c r="N62" s="59">
        <f>IF(OR(G62="",M62=""),"",G62-M62)</f>
        <v/>
      </c>
      <c r="O62" s="60" t="n"/>
      <c r="P62" s="61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  <c r="AG62" s="62" t="n"/>
      <c r="AH62" s="62" t="n"/>
      <c r="AI62" s="62" t="n"/>
      <c r="AJ62" s="62" t="n"/>
      <c r="AK62" s="62" t="n"/>
      <c r="AL62" s="62" t="n"/>
      <c r="AM62" s="62" t="n"/>
      <c r="AN62" s="62" t="n"/>
      <c r="AO62" s="62" t="n"/>
      <c r="AP62" s="62" t="n"/>
      <c r="AQ62" s="62" t="n"/>
      <c r="AR62" s="62" t="n"/>
      <c r="AS62" s="62" t="n"/>
      <c r="AT62" s="62" t="n"/>
      <c r="AU62" s="62" t="n"/>
      <c r="AV62" s="62" t="n"/>
      <c r="AW62" s="62" t="n"/>
      <c r="AX62" s="62" t="n"/>
      <c r="AY62" s="62" t="n"/>
    </row>
    <row r="63">
      <c r="A63" s="38">
        <f>IF(D63="","",COUNTA($D$40:D63))</f>
        <v/>
      </c>
      <c r="B63" s="52" t="n"/>
      <c r="C63" s="65" t="inlineStr">
        <is>
          <t>마케팅2팀</t>
        </is>
      </c>
      <c r="D63" s="52" t="n"/>
      <c r="E63" s="54" t="n"/>
      <c r="F63" s="52" t="n"/>
      <c r="G63" s="55" t="n"/>
      <c r="H63" s="54" t="n"/>
      <c r="I63" s="54" t="n"/>
      <c r="J63" s="54" t="n"/>
      <c r="K63" s="56">
        <f>IF(SUM(U63:AY63)=0,"",SUM(U63:AY63))</f>
        <v/>
      </c>
      <c r="L63" s="57">
        <f>IFERROR(INDEX(U$2:AY$2,MATCH(TRUE,U63:AY63&lt;&gt;"",0)),"")</f>
        <v/>
      </c>
      <c r="M63" s="58">
        <f>IFERROR(LOOKUP(2,1/(U63:AY63&lt;&gt;""),U$2:AY$2),"")</f>
        <v/>
      </c>
      <c r="N63" s="59">
        <f>IF(OR(G63="",M63=""),"",G63-M63)</f>
        <v/>
      </c>
      <c r="O63" s="60" t="n"/>
      <c r="P63" s="61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  <c r="AG63" s="62" t="n"/>
      <c r="AH63" s="62" t="n"/>
      <c r="AI63" s="62" t="n"/>
      <c r="AJ63" s="62" t="n"/>
      <c r="AK63" s="62" t="n"/>
      <c r="AL63" s="62" t="n"/>
      <c r="AM63" s="62" t="n"/>
      <c r="AN63" s="62" t="n"/>
      <c r="AO63" s="62" t="n"/>
      <c r="AP63" s="62" t="n"/>
      <c r="AQ63" s="62" t="n"/>
      <c r="AR63" s="62" t="n"/>
      <c r="AS63" s="62" t="n"/>
      <c r="AT63" s="62" t="n"/>
      <c r="AU63" s="62" t="n"/>
      <c r="AV63" s="62" t="n"/>
      <c r="AW63" s="62" t="n"/>
      <c r="AX63" s="62" t="n"/>
      <c r="AY63" s="62" t="n"/>
    </row>
    <row r="64">
      <c r="A64" s="38">
        <f>IF(D64="","",COUNTA($D$40:D64))</f>
        <v/>
      </c>
      <c r="B64" s="52" t="n"/>
      <c r="C64" s="65" t="inlineStr">
        <is>
          <t>마케팅2팀</t>
        </is>
      </c>
      <c r="D64" s="52" t="n"/>
      <c r="E64" s="54" t="n"/>
      <c r="F64" s="52" t="n"/>
      <c r="G64" s="55" t="n"/>
      <c r="H64" s="54" t="n"/>
      <c r="I64" s="54" t="n"/>
      <c r="J64" s="54" t="n"/>
      <c r="K64" s="56">
        <f>IF(SUM(U64:AY64)=0,"",SUM(U64:AY64))</f>
        <v/>
      </c>
      <c r="L64" s="57">
        <f>IFERROR(INDEX(U$2:AY$2,MATCH(TRUE,U64:AY64&lt;&gt;"",0)),"")</f>
        <v/>
      </c>
      <c r="M64" s="58">
        <f>IFERROR(LOOKUP(2,1/(U64:AY64&lt;&gt;""),U$2:AY$2),"")</f>
        <v/>
      </c>
      <c r="N64" s="59">
        <f>IF(OR(G64="",M64=""),"",G64-M64)</f>
        <v/>
      </c>
      <c r="O64" s="60" t="n"/>
      <c r="P64" s="61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  <c r="AG64" s="62" t="n"/>
      <c r="AH64" s="62" t="n"/>
      <c r="AI64" s="62" t="n"/>
      <c r="AJ64" s="62" t="n"/>
      <c r="AK64" s="62" t="n"/>
      <c r="AL64" s="62" t="n"/>
      <c r="AM64" s="62" t="n"/>
      <c r="AN64" s="62" t="n"/>
      <c r="AO64" s="62" t="n"/>
      <c r="AP64" s="62" t="n"/>
      <c r="AQ64" s="62" t="n"/>
      <c r="AR64" s="62" t="n"/>
      <c r="AS64" s="62" t="n"/>
      <c r="AT64" s="62" t="n"/>
      <c r="AU64" s="62" t="n"/>
      <c r="AV64" s="62" t="n"/>
      <c r="AW64" s="62" t="n"/>
      <c r="AX64" s="62" t="n"/>
      <c r="AY64" s="62" t="n"/>
    </row>
    <row r="65">
      <c r="A65" s="38">
        <f>IF(D65="","",COUNTA($D$40:D65))</f>
        <v/>
      </c>
      <c r="B65" s="52" t="n"/>
      <c r="C65" s="65" t="inlineStr">
        <is>
          <t>마케팅2팀</t>
        </is>
      </c>
      <c r="D65" s="52" t="n"/>
      <c r="E65" s="54" t="n"/>
      <c r="F65" s="52" t="n"/>
      <c r="G65" s="55" t="n"/>
      <c r="H65" s="54" t="n"/>
      <c r="I65" s="54" t="n"/>
      <c r="J65" s="54" t="n"/>
      <c r="K65" s="56">
        <f>IF(SUM(U65:AY65)=0,"",SUM(U65:AY65))</f>
        <v/>
      </c>
      <c r="L65" s="57">
        <f>IFERROR(INDEX(U$2:AY$2,MATCH(TRUE,U65:AY65&lt;&gt;"",0)),"")</f>
        <v/>
      </c>
      <c r="M65" s="58">
        <f>IFERROR(LOOKUP(2,1/(U65:AY65&lt;&gt;""),U$2:AY$2),"")</f>
        <v/>
      </c>
      <c r="N65" s="59">
        <f>IF(OR(G65="",M65=""),"",G65-M65)</f>
        <v/>
      </c>
      <c r="O65" s="60" t="n"/>
      <c r="P65" s="61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  <c r="AG65" s="62" t="n"/>
      <c r="AH65" s="62" t="n"/>
      <c r="AI65" s="62" t="n"/>
      <c r="AJ65" s="62" t="n"/>
      <c r="AK65" s="62" t="n"/>
      <c r="AL65" s="62" t="n"/>
      <c r="AM65" s="62" t="n"/>
      <c r="AN65" s="62" t="n"/>
      <c r="AO65" s="62" t="n"/>
      <c r="AP65" s="62" t="n"/>
      <c r="AQ65" s="62" t="n"/>
      <c r="AR65" s="62" t="n"/>
      <c r="AS65" s="62" t="n"/>
      <c r="AT65" s="62" t="n"/>
      <c r="AU65" s="62" t="n"/>
      <c r="AV65" s="62" t="n"/>
      <c r="AW65" s="62" t="n"/>
      <c r="AX65" s="62" t="n"/>
      <c r="AY65" s="62" t="n"/>
    </row>
    <row r="66">
      <c r="A66" s="38">
        <f>IF(D66="","",COUNTA($D$40:D66))</f>
        <v/>
      </c>
      <c r="B66" s="52" t="n"/>
      <c r="C66" s="65" t="inlineStr">
        <is>
          <t>마케팅2팀</t>
        </is>
      </c>
      <c r="D66" s="52" t="n"/>
      <c r="E66" s="54" t="n"/>
      <c r="F66" s="52" t="n"/>
      <c r="G66" s="55" t="n"/>
      <c r="H66" s="54" t="n"/>
      <c r="I66" s="54" t="n"/>
      <c r="J66" s="54" t="n"/>
      <c r="K66" s="56">
        <f>IF(SUM(U66:AY66)=0,"",SUM(U66:AY66))</f>
        <v/>
      </c>
      <c r="L66" s="57">
        <f>IFERROR(INDEX(U$2:AY$2,MATCH(TRUE,U66:AY66&lt;&gt;"",0)),"")</f>
        <v/>
      </c>
      <c r="M66" s="58">
        <f>IFERROR(LOOKUP(2,1/(U66:AY66&lt;&gt;""),U$2:AY$2),"")</f>
        <v/>
      </c>
      <c r="N66" s="59">
        <f>IF(OR(G66="",M66=""),"",G66-M66)</f>
        <v/>
      </c>
      <c r="O66" s="60" t="n"/>
      <c r="P66" s="61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  <c r="AG66" s="62" t="n"/>
      <c r="AH66" s="62" t="n"/>
      <c r="AI66" s="62" t="n"/>
      <c r="AJ66" s="62" t="n"/>
      <c r="AK66" s="62" t="n"/>
      <c r="AL66" s="62" t="n"/>
      <c r="AM66" s="62" t="n"/>
      <c r="AN66" s="62" t="n"/>
      <c r="AO66" s="62" t="n"/>
      <c r="AP66" s="62" t="n"/>
      <c r="AQ66" s="62" t="n"/>
      <c r="AR66" s="62" t="n"/>
      <c r="AS66" s="62" t="n"/>
      <c r="AT66" s="62" t="n"/>
      <c r="AU66" s="62" t="n"/>
      <c r="AV66" s="62" t="n"/>
      <c r="AW66" s="62" t="n"/>
      <c r="AX66" s="62" t="n"/>
      <c r="AY66" s="62" t="n"/>
    </row>
    <row r="67">
      <c r="A67" s="38">
        <f>IF(D67="","",COUNTA($D$40:D67))</f>
        <v/>
      </c>
      <c r="B67" s="52" t="n"/>
      <c r="C67" s="65" t="inlineStr">
        <is>
          <t>마케팅2팀</t>
        </is>
      </c>
      <c r="D67" s="52" t="n"/>
      <c r="E67" s="54" t="n"/>
      <c r="F67" s="52" t="n"/>
      <c r="G67" s="55" t="n"/>
      <c r="H67" s="54" t="n"/>
      <c r="I67" s="54" t="n"/>
      <c r="J67" s="54" t="n"/>
      <c r="K67" s="56">
        <f>IF(SUM(U67:AY67)=0,"",SUM(U67:AY67))</f>
        <v/>
      </c>
      <c r="L67" s="57">
        <f>IFERROR(INDEX(U$2:AY$2,MATCH(TRUE,U67:AY67&lt;&gt;"",0)),"")</f>
        <v/>
      </c>
      <c r="M67" s="58">
        <f>IFERROR(LOOKUP(2,1/(U67:AY67&lt;&gt;""),U$2:AY$2),"")</f>
        <v/>
      </c>
      <c r="N67" s="59">
        <f>IF(OR(G67="",M67=""),"",G67-M67)</f>
        <v/>
      </c>
      <c r="O67" s="60" t="n"/>
      <c r="P67" s="61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  <c r="AG67" s="62" t="n"/>
      <c r="AH67" s="62" t="n"/>
      <c r="AI67" s="62" t="n"/>
      <c r="AJ67" s="62" t="n"/>
      <c r="AK67" s="62" t="n"/>
      <c r="AL67" s="62" t="n"/>
      <c r="AM67" s="62" t="n"/>
      <c r="AN67" s="62" t="n"/>
      <c r="AO67" s="62" t="n"/>
      <c r="AP67" s="62" t="n"/>
      <c r="AQ67" s="62" t="n"/>
      <c r="AR67" s="62" t="n"/>
      <c r="AS67" s="62" t="n"/>
      <c r="AT67" s="62" t="n"/>
      <c r="AU67" s="62" t="n"/>
      <c r="AV67" s="62" t="n"/>
      <c r="AW67" s="62" t="n"/>
      <c r="AX67" s="62" t="n"/>
      <c r="AY67" s="62" t="n"/>
    </row>
    <row r="68">
      <c r="A68" s="38">
        <f>IF(D68="","",COUNTA($D$40:D68))</f>
        <v/>
      </c>
      <c r="B68" s="52" t="n"/>
      <c r="C68" s="65" t="inlineStr">
        <is>
          <t>마케팅2팀</t>
        </is>
      </c>
      <c r="D68" s="52" t="n"/>
      <c r="E68" s="54" t="n"/>
      <c r="F68" s="52" t="n"/>
      <c r="G68" s="55" t="n"/>
      <c r="H68" s="54" t="n"/>
      <c r="I68" s="54" t="n"/>
      <c r="J68" s="54" t="n"/>
      <c r="K68" s="56">
        <f>IF(SUM(U68:AY68)=0,"",SUM(U68:AY68))</f>
        <v/>
      </c>
      <c r="L68" s="57">
        <f>IFERROR(INDEX(U$2:AY$2,MATCH(TRUE,U68:AY68&lt;&gt;"",0)),"")</f>
        <v/>
      </c>
      <c r="M68" s="58">
        <f>IFERROR(LOOKUP(2,1/(U68:AY68&lt;&gt;""),U$2:AY$2),"")</f>
        <v/>
      </c>
      <c r="N68" s="59">
        <f>IF(OR(G68="",M68=""),"",G68-M68)</f>
        <v/>
      </c>
      <c r="O68" s="60" t="n"/>
      <c r="P68" s="61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  <c r="AG68" s="62" t="n"/>
      <c r="AH68" s="62" t="n"/>
      <c r="AI68" s="62" t="n"/>
      <c r="AJ68" s="62" t="n"/>
      <c r="AK68" s="62" t="n"/>
      <c r="AL68" s="62" t="n"/>
      <c r="AM68" s="62" t="n"/>
      <c r="AN68" s="62" t="n"/>
      <c r="AO68" s="62" t="n"/>
      <c r="AP68" s="62" t="n"/>
      <c r="AQ68" s="62" t="n"/>
      <c r="AR68" s="62" t="n"/>
      <c r="AS68" s="62" t="n"/>
      <c r="AT68" s="62" t="n"/>
      <c r="AU68" s="62" t="n"/>
      <c r="AV68" s="62" t="n"/>
      <c r="AW68" s="62" t="n"/>
      <c r="AX68" s="62" t="n"/>
      <c r="AY68" s="62" t="n"/>
    </row>
    <row r="69">
      <c r="A69" s="38">
        <f>IF(D69="","",COUNTA($D$40:D69))</f>
        <v/>
      </c>
      <c r="B69" s="52" t="n"/>
      <c r="C69" s="65" t="inlineStr">
        <is>
          <t>마케팅2팀</t>
        </is>
      </c>
      <c r="D69" s="52" t="n"/>
      <c r="E69" s="54" t="n"/>
      <c r="F69" s="52" t="n"/>
      <c r="G69" s="55" t="n"/>
      <c r="H69" s="54" t="n"/>
      <c r="I69" s="54" t="n"/>
      <c r="J69" s="54" t="n"/>
      <c r="K69" s="56">
        <f>IF(SUM(U69:AY69)=0,"",SUM(U69:AY69))</f>
        <v/>
      </c>
      <c r="L69" s="57">
        <f>IFERROR(INDEX(U$2:AY$2,MATCH(TRUE,U69:AY69&lt;&gt;"",0)),"")</f>
        <v/>
      </c>
      <c r="M69" s="58">
        <f>IFERROR(LOOKUP(2,1/(U69:AY69&lt;&gt;""),U$2:AY$2),"")</f>
        <v/>
      </c>
      <c r="N69" s="59">
        <f>IF(OR(G69="",M69=""),"",G69-M69)</f>
        <v/>
      </c>
      <c r="O69" s="60" t="n"/>
      <c r="P69" s="61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  <c r="AG69" s="62" t="n"/>
      <c r="AH69" s="62" t="n"/>
      <c r="AI69" s="62" t="n"/>
      <c r="AJ69" s="62" t="n"/>
      <c r="AK69" s="62" t="n"/>
      <c r="AL69" s="62" t="n"/>
      <c r="AM69" s="62" t="n"/>
      <c r="AN69" s="62" t="n"/>
      <c r="AO69" s="62" t="n"/>
      <c r="AP69" s="62" t="n"/>
      <c r="AQ69" s="62" t="n"/>
      <c r="AR69" s="62" t="n"/>
      <c r="AS69" s="62" t="n"/>
      <c r="AT69" s="62" t="n"/>
      <c r="AU69" s="62" t="n"/>
      <c r="AV69" s="62" t="n"/>
      <c r="AW69" s="62" t="n"/>
      <c r="AX69" s="62" t="n"/>
      <c r="AY69" s="62" t="n"/>
    </row>
    <row r="70">
      <c r="A70" s="66" t="inlineStr">
        <is>
          <t>마케팅3팀  (71~100행)</t>
        </is>
      </c>
      <c r="U70" s="67" t="n"/>
      <c r="V70" s="67" t="n"/>
      <c r="W70" s="67" t="n"/>
      <c r="X70" s="67" t="n"/>
      <c r="Y70" s="67" t="n"/>
      <c r="Z70" s="67" t="n"/>
      <c r="AA70" s="67" t="n"/>
      <c r="AB70" s="67" t="n"/>
      <c r="AC70" s="67" t="n"/>
      <c r="AD70" s="67" t="n"/>
      <c r="AE70" s="67" t="n"/>
      <c r="AF70" s="67" t="n"/>
      <c r="AG70" s="67" t="n"/>
      <c r="AH70" s="67" t="n"/>
      <c r="AI70" s="67" t="n"/>
      <c r="AJ70" s="67" t="n"/>
      <c r="AK70" s="67" t="n"/>
      <c r="AL70" s="67" t="n"/>
      <c r="AM70" s="67" t="n"/>
      <c r="AN70" s="67" t="n"/>
      <c r="AO70" s="67" t="n"/>
      <c r="AP70" s="67" t="n"/>
      <c r="AQ70" s="67" t="n"/>
      <c r="AR70" s="67" t="n"/>
      <c r="AS70" s="67" t="n"/>
      <c r="AT70" s="67" t="n"/>
      <c r="AU70" s="67" t="n"/>
      <c r="AV70" s="67" t="n"/>
      <c r="AW70" s="67" t="n"/>
      <c r="AX70" s="67" t="n"/>
      <c r="AY70" s="67" t="n"/>
    </row>
    <row r="71">
      <c r="A71" s="38">
        <f>IF(D71="","",COUNTA($D$71:D71))</f>
        <v/>
      </c>
      <c r="B71" s="52" t="n"/>
      <c r="C71" s="68" t="inlineStr">
        <is>
          <t>마케팅3팀</t>
        </is>
      </c>
      <c r="D71" s="52" t="n"/>
      <c r="E71" s="54" t="n"/>
      <c r="F71" s="52" t="n"/>
      <c r="G71" s="55" t="n"/>
      <c r="H71" s="54" t="n"/>
      <c r="I71" s="54" t="n"/>
      <c r="J71" s="54" t="n"/>
      <c r="K71" s="56">
        <f>IF(SUM(U71:AY71)=0,"",SUM(U71:AY71))</f>
        <v/>
      </c>
      <c r="L71" s="57">
        <f>IFERROR(INDEX(U$2:AY$2,MATCH(TRUE,U71:AY71&lt;&gt;"",0)),"")</f>
        <v/>
      </c>
      <c r="M71" s="58">
        <f>IFERROR(LOOKUP(2,1/(U71:AY71&lt;&gt;""),U$2:AY$2),"")</f>
        <v/>
      </c>
      <c r="N71" s="59">
        <f>IF(OR(G71="",M71=""),"",G71-M71)</f>
        <v/>
      </c>
      <c r="O71" s="60" t="n"/>
      <c r="P71" s="61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  <c r="AG71" s="62" t="n"/>
      <c r="AH71" s="62" t="n"/>
      <c r="AI71" s="62" t="n"/>
      <c r="AJ71" s="62" t="n"/>
      <c r="AK71" s="62" t="n"/>
      <c r="AL71" s="62" t="n"/>
      <c r="AM71" s="62" t="n"/>
      <c r="AN71" s="62" t="n"/>
      <c r="AO71" s="62" t="n"/>
      <c r="AP71" s="62" t="n"/>
      <c r="AQ71" s="62" t="n"/>
      <c r="AR71" s="62" t="n"/>
      <c r="AS71" s="62" t="n"/>
      <c r="AT71" s="62" t="n"/>
      <c r="AU71" s="62" t="n"/>
      <c r="AV71" s="62" t="n"/>
      <c r="AW71" s="62" t="n"/>
      <c r="AX71" s="62" t="n"/>
      <c r="AY71" s="62" t="n"/>
    </row>
    <row r="72">
      <c r="A72" s="38">
        <f>IF(D72="","",COUNTA($D$71:D72))</f>
        <v/>
      </c>
      <c r="B72" s="52" t="n"/>
      <c r="C72" s="68" t="inlineStr">
        <is>
          <t>마케팅3팀</t>
        </is>
      </c>
      <c r="D72" s="52" t="n"/>
      <c r="E72" s="54" t="n"/>
      <c r="F72" s="52" t="n"/>
      <c r="G72" s="55" t="n"/>
      <c r="H72" s="54" t="n"/>
      <c r="I72" s="54" t="n"/>
      <c r="J72" s="54" t="n"/>
      <c r="K72" s="56">
        <f>IF(SUM(U72:AY72)=0,"",SUM(U72:AY72))</f>
        <v/>
      </c>
      <c r="L72" s="57">
        <f>IFERROR(INDEX(U$2:AY$2,MATCH(TRUE,U72:AY72&lt;&gt;"",0)),"")</f>
        <v/>
      </c>
      <c r="M72" s="58">
        <f>IFERROR(LOOKUP(2,1/(U72:AY72&lt;&gt;""),U$2:AY$2),"")</f>
        <v/>
      </c>
      <c r="N72" s="59">
        <f>IF(OR(G72="",M72=""),"",G72-M72)</f>
        <v/>
      </c>
      <c r="O72" s="60" t="n"/>
      <c r="P72" s="61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  <c r="AG72" s="62" t="n"/>
      <c r="AH72" s="62" t="n"/>
      <c r="AI72" s="62" t="n"/>
      <c r="AJ72" s="62" t="n"/>
      <c r="AK72" s="62" t="n"/>
      <c r="AL72" s="62" t="n"/>
      <c r="AM72" s="62" t="n"/>
      <c r="AN72" s="62" t="n"/>
      <c r="AO72" s="62" t="n"/>
      <c r="AP72" s="62" t="n"/>
      <c r="AQ72" s="62" t="n"/>
      <c r="AR72" s="62" t="n"/>
      <c r="AS72" s="62" t="n"/>
      <c r="AT72" s="62" t="n"/>
      <c r="AU72" s="62" t="n"/>
      <c r="AV72" s="62" t="n"/>
      <c r="AW72" s="62" t="n"/>
      <c r="AX72" s="62" t="n"/>
      <c r="AY72" s="62" t="n"/>
    </row>
    <row r="73">
      <c r="A73" s="38">
        <f>IF(D73="","",COUNTA($D$71:D73))</f>
        <v/>
      </c>
      <c r="B73" s="52" t="n"/>
      <c r="C73" s="68" t="inlineStr">
        <is>
          <t>마케팅3팀</t>
        </is>
      </c>
      <c r="D73" s="52" t="n"/>
      <c r="E73" s="54" t="n"/>
      <c r="F73" s="52" t="n"/>
      <c r="G73" s="55" t="n"/>
      <c r="H73" s="54" t="n"/>
      <c r="I73" s="54" t="n"/>
      <c r="J73" s="54" t="n"/>
      <c r="K73" s="56">
        <f>IF(SUM(U73:AY73)=0,"",SUM(U73:AY73))</f>
        <v/>
      </c>
      <c r="L73" s="57">
        <f>IFERROR(INDEX(U$2:AY$2,MATCH(TRUE,U73:AY73&lt;&gt;"",0)),"")</f>
        <v/>
      </c>
      <c r="M73" s="58">
        <f>IFERROR(LOOKUP(2,1/(U73:AY73&lt;&gt;""),U$2:AY$2),"")</f>
        <v/>
      </c>
      <c r="N73" s="59">
        <f>IF(OR(G73="",M73=""),"",G73-M73)</f>
        <v/>
      </c>
      <c r="O73" s="60" t="n"/>
      <c r="P73" s="61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  <c r="AG73" s="62" t="n"/>
      <c r="AH73" s="62" t="n"/>
      <c r="AI73" s="62" t="n"/>
      <c r="AJ73" s="62" t="n"/>
      <c r="AK73" s="62" t="n"/>
      <c r="AL73" s="62" t="n"/>
      <c r="AM73" s="62" t="n"/>
      <c r="AN73" s="62" t="n"/>
      <c r="AO73" s="62" t="n"/>
      <c r="AP73" s="62" t="n"/>
      <c r="AQ73" s="62" t="n"/>
      <c r="AR73" s="62" t="n"/>
      <c r="AS73" s="62" t="n"/>
      <c r="AT73" s="62" t="n"/>
      <c r="AU73" s="62" t="n"/>
      <c r="AV73" s="62" t="n"/>
      <c r="AW73" s="62" t="n"/>
      <c r="AX73" s="62" t="n"/>
      <c r="AY73" s="62" t="n"/>
    </row>
    <row r="74">
      <c r="A74" s="38">
        <f>IF(D74="","",COUNTA($D$71:D74))</f>
        <v/>
      </c>
      <c r="B74" s="52" t="n"/>
      <c r="C74" s="68" t="inlineStr">
        <is>
          <t>마케팅3팀</t>
        </is>
      </c>
      <c r="D74" s="52" t="n"/>
      <c r="E74" s="54" t="n"/>
      <c r="F74" s="52" t="n"/>
      <c r="G74" s="55" t="n"/>
      <c r="H74" s="54" t="n"/>
      <c r="I74" s="54" t="n"/>
      <c r="J74" s="54" t="n"/>
      <c r="K74" s="56">
        <f>IF(SUM(U74:AY74)=0,"",SUM(U74:AY74))</f>
        <v/>
      </c>
      <c r="L74" s="57">
        <f>IFERROR(INDEX(U$2:AY$2,MATCH(TRUE,U74:AY74&lt;&gt;"",0)),"")</f>
        <v/>
      </c>
      <c r="M74" s="58">
        <f>IFERROR(LOOKUP(2,1/(U74:AY74&lt;&gt;""),U$2:AY$2),"")</f>
        <v/>
      </c>
      <c r="N74" s="59">
        <f>IF(OR(G74="",M74=""),"",G74-M74)</f>
        <v/>
      </c>
      <c r="O74" s="60" t="n"/>
      <c r="P74" s="61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  <c r="AG74" s="62" t="n"/>
      <c r="AH74" s="62" t="n"/>
      <c r="AI74" s="62" t="n"/>
      <c r="AJ74" s="62" t="n"/>
      <c r="AK74" s="62" t="n"/>
      <c r="AL74" s="62" t="n"/>
      <c r="AM74" s="62" t="n"/>
      <c r="AN74" s="62" t="n"/>
      <c r="AO74" s="62" t="n"/>
      <c r="AP74" s="62" t="n"/>
      <c r="AQ74" s="62" t="n"/>
      <c r="AR74" s="62" t="n"/>
      <c r="AS74" s="62" t="n"/>
      <c r="AT74" s="62" t="n"/>
      <c r="AU74" s="62" t="n"/>
      <c r="AV74" s="62" t="n"/>
      <c r="AW74" s="62" t="n"/>
      <c r="AX74" s="62" t="n"/>
      <c r="AY74" s="62" t="n"/>
    </row>
    <row r="75">
      <c r="A75" s="38">
        <f>IF(D75="","",COUNTA($D$71:D75))</f>
        <v/>
      </c>
      <c r="B75" s="52" t="n"/>
      <c r="C75" s="68" t="inlineStr">
        <is>
          <t>마케팅3팀</t>
        </is>
      </c>
      <c r="D75" s="52" t="n"/>
      <c r="E75" s="54" t="n"/>
      <c r="F75" s="52" t="n"/>
      <c r="G75" s="55" t="n"/>
      <c r="H75" s="54" t="n"/>
      <c r="I75" s="54" t="n"/>
      <c r="J75" s="54" t="n"/>
      <c r="K75" s="56">
        <f>IF(SUM(U75:AY75)=0,"",SUM(U75:AY75))</f>
        <v/>
      </c>
      <c r="L75" s="57">
        <f>IFERROR(INDEX(U$2:AY$2,MATCH(TRUE,U75:AY75&lt;&gt;"",0)),"")</f>
        <v/>
      </c>
      <c r="M75" s="58">
        <f>IFERROR(LOOKUP(2,1/(U75:AY75&lt;&gt;""),U$2:AY$2),"")</f>
        <v/>
      </c>
      <c r="N75" s="59">
        <f>IF(OR(G75="",M75=""),"",G75-M75)</f>
        <v/>
      </c>
      <c r="O75" s="60" t="n"/>
      <c r="P75" s="61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  <c r="AG75" s="62" t="n"/>
      <c r="AH75" s="62" t="n"/>
      <c r="AI75" s="62" t="n"/>
      <c r="AJ75" s="62" t="n"/>
      <c r="AK75" s="62" t="n"/>
      <c r="AL75" s="62" t="n"/>
      <c r="AM75" s="62" t="n"/>
      <c r="AN75" s="62" t="n"/>
      <c r="AO75" s="62" t="n"/>
      <c r="AP75" s="62" t="n"/>
      <c r="AQ75" s="62" t="n"/>
      <c r="AR75" s="62" t="n"/>
      <c r="AS75" s="62" t="n"/>
      <c r="AT75" s="62" t="n"/>
      <c r="AU75" s="62" t="n"/>
      <c r="AV75" s="62" t="n"/>
      <c r="AW75" s="62" t="n"/>
      <c r="AX75" s="62" t="n"/>
      <c r="AY75" s="62" t="n"/>
    </row>
    <row r="76">
      <c r="A76" s="38">
        <f>IF(D76="","",COUNTA($D$71:D76))</f>
        <v/>
      </c>
      <c r="B76" s="52" t="n"/>
      <c r="C76" s="68" t="inlineStr">
        <is>
          <t>마케팅3팀</t>
        </is>
      </c>
      <c r="D76" s="52" t="n"/>
      <c r="E76" s="54" t="n"/>
      <c r="F76" s="52" t="n"/>
      <c r="G76" s="55" t="n"/>
      <c r="H76" s="54" t="n"/>
      <c r="I76" s="54" t="n"/>
      <c r="J76" s="54" t="n"/>
      <c r="K76" s="56">
        <f>IF(SUM(U76:AY76)=0,"",SUM(U76:AY76))</f>
        <v/>
      </c>
      <c r="L76" s="57">
        <f>IFERROR(INDEX(U$2:AY$2,MATCH(TRUE,U76:AY76&lt;&gt;"",0)),"")</f>
        <v/>
      </c>
      <c r="M76" s="58">
        <f>IFERROR(LOOKUP(2,1/(U76:AY76&lt;&gt;""),U$2:AY$2),"")</f>
        <v/>
      </c>
      <c r="N76" s="59">
        <f>IF(OR(G76="",M76=""),"",G76-M76)</f>
        <v/>
      </c>
      <c r="O76" s="60" t="n"/>
      <c r="P76" s="61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  <c r="AG76" s="62" t="n"/>
      <c r="AH76" s="62" t="n"/>
      <c r="AI76" s="62" t="n"/>
      <c r="AJ76" s="62" t="n"/>
      <c r="AK76" s="62" t="n"/>
      <c r="AL76" s="62" t="n"/>
      <c r="AM76" s="62" t="n"/>
      <c r="AN76" s="62" t="n"/>
      <c r="AO76" s="62" t="n"/>
      <c r="AP76" s="62" t="n"/>
      <c r="AQ76" s="62" t="n"/>
      <c r="AR76" s="62" t="n"/>
      <c r="AS76" s="62" t="n"/>
      <c r="AT76" s="62" t="n"/>
      <c r="AU76" s="62" t="n"/>
      <c r="AV76" s="62" t="n"/>
      <c r="AW76" s="62" t="n"/>
      <c r="AX76" s="62" t="n"/>
      <c r="AY76" s="62" t="n"/>
    </row>
    <row r="77">
      <c r="A77" s="38">
        <f>IF(D77="","",COUNTA($D$71:D77))</f>
        <v/>
      </c>
      <c r="B77" s="52" t="n"/>
      <c r="C77" s="68" t="inlineStr">
        <is>
          <t>마케팅3팀</t>
        </is>
      </c>
      <c r="D77" s="52" t="n"/>
      <c r="E77" s="54" t="n"/>
      <c r="F77" s="52" t="n"/>
      <c r="G77" s="55" t="n"/>
      <c r="H77" s="54" t="n"/>
      <c r="I77" s="54" t="n"/>
      <c r="J77" s="54" t="n"/>
      <c r="K77" s="56">
        <f>IF(SUM(U77:AY77)=0,"",SUM(U77:AY77))</f>
        <v/>
      </c>
      <c r="L77" s="57">
        <f>IFERROR(INDEX(U$2:AY$2,MATCH(TRUE,U77:AY77&lt;&gt;"",0)),"")</f>
        <v/>
      </c>
      <c r="M77" s="58">
        <f>IFERROR(LOOKUP(2,1/(U77:AY77&lt;&gt;""),U$2:AY$2),"")</f>
        <v/>
      </c>
      <c r="N77" s="59">
        <f>IF(OR(G77="",M77=""),"",G77-M77)</f>
        <v/>
      </c>
      <c r="O77" s="60" t="n"/>
      <c r="P77" s="61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  <c r="AG77" s="62" t="n"/>
      <c r="AH77" s="62" t="n"/>
      <c r="AI77" s="62" t="n"/>
      <c r="AJ77" s="62" t="n"/>
      <c r="AK77" s="62" t="n"/>
      <c r="AL77" s="62" t="n"/>
      <c r="AM77" s="62" t="n"/>
      <c r="AN77" s="62" t="n"/>
      <c r="AO77" s="62" t="n"/>
      <c r="AP77" s="62" t="n"/>
      <c r="AQ77" s="62" t="n"/>
      <c r="AR77" s="62" t="n"/>
      <c r="AS77" s="62" t="n"/>
      <c r="AT77" s="62" t="n"/>
      <c r="AU77" s="62" t="n"/>
      <c r="AV77" s="62" t="n"/>
      <c r="AW77" s="62" t="n"/>
      <c r="AX77" s="62" t="n"/>
      <c r="AY77" s="62" t="n"/>
    </row>
    <row r="78">
      <c r="A78" s="38">
        <f>IF(D78="","",COUNTA($D$71:D78))</f>
        <v/>
      </c>
      <c r="B78" s="52" t="n"/>
      <c r="C78" s="68" t="inlineStr">
        <is>
          <t>마케팅3팀</t>
        </is>
      </c>
      <c r="D78" s="52" t="n"/>
      <c r="E78" s="54" t="n"/>
      <c r="F78" s="52" t="n"/>
      <c r="G78" s="55" t="n"/>
      <c r="H78" s="54" t="n"/>
      <c r="I78" s="54" t="n"/>
      <c r="J78" s="54" t="n"/>
      <c r="K78" s="56">
        <f>IF(SUM(U78:AY78)=0,"",SUM(U78:AY78))</f>
        <v/>
      </c>
      <c r="L78" s="57">
        <f>IFERROR(INDEX(U$2:AY$2,MATCH(TRUE,U78:AY78&lt;&gt;"",0)),"")</f>
        <v/>
      </c>
      <c r="M78" s="58">
        <f>IFERROR(LOOKUP(2,1/(U78:AY78&lt;&gt;""),U$2:AY$2),"")</f>
        <v/>
      </c>
      <c r="N78" s="59">
        <f>IF(OR(G78="",M78=""),"",G78-M78)</f>
        <v/>
      </c>
      <c r="O78" s="60" t="n"/>
      <c r="P78" s="61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  <c r="AG78" s="62" t="n"/>
      <c r="AH78" s="62" t="n"/>
      <c r="AI78" s="62" t="n"/>
      <c r="AJ78" s="62" t="n"/>
      <c r="AK78" s="62" t="n"/>
      <c r="AL78" s="62" t="n"/>
      <c r="AM78" s="62" t="n"/>
      <c r="AN78" s="62" t="n"/>
      <c r="AO78" s="62" t="n"/>
      <c r="AP78" s="62" t="n"/>
      <c r="AQ78" s="62" t="n"/>
      <c r="AR78" s="62" t="n"/>
      <c r="AS78" s="62" t="n"/>
      <c r="AT78" s="62" t="n"/>
      <c r="AU78" s="62" t="n"/>
      <c r="AV78" s="62" t="n"/>
      <c r="AW78" s="62" t="n"/>
      <c r="AX78" s="62" t="n"/>
      <c r="AY78" s="62" t="n"/>
    </row>
    <row r="79">
      <c r="A79" s="38">
        <f>IF(D79="","",COUNTA($D$71:D79))</f>
        <v/>
      </c>
      <c r="B79" s="52" t="n"/>
      <c r="C79" s="68" t="inlineStr">
        <is>
          <t>마케팅3팀</t>
        </is>
      </c>
      <c r="D79" s="52" t="n"/>
      <c r="E79" s="54" t="n"/>
      <c r="F79" s="52" t="n"/>
      <c r="G79" s="55" t="n"/>
      <c r="H79" s="54" t="n"/>
      <c r="I79" s="54" t="n"/>
      <c r="J79" s="54" t="n"/>
      <c r="K79" s="56">
        <f>IF(SUM(U79:AY79)=0,"",SUM(U79:AY79))</f>
        <v/>
      </c>
      <c r="L79" s="57">
        <f>IFERROR(INDEX(U$2:AY$2,MATCH(TRUE,U79:AY79&lt;&gt;"",0)),"")</f>
        <v/>
      </c>
      <c r="M79" s="58">
        <f>IFERROR(LOOKUP(2,1/(U79:AY79&lt;&gt;""),U$2:AY$2),"")</f>
        <v/>
      </c>
      <c r="N79" s="59">
        <f>IF(OR(G79="",M79=""),"",G79-M79)</f>
        <v/>
      </c>
      <c r="O79" s="60" t="n"/>
      <c r="P79" s="61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  <c r="AG79" s="62" t="n"/>
      <c r="AH79" s="62" t="n"/>
      <c r="AI79" s="62" t="n"/>
      <c r="AJ79" s="62" t="n"/>
      <c r="AK79" s="62" t="n"/>
      <c r="AL79" s="62" t="n"/>
      <c r="AM79" s="62" t="n"/>
      <c r="AN79" s="62" t="n"/>
      <c r="AO79" s="62" t="n"/>
      <c r="AP79" s="62" t="n"/>
      <c r="AQ79" s="62" t="n"/>
      <c r="AR79" s="62" t="n"/>
      <c r="AS79" s="62" t="n"/>
      <c r="AT79" s="62" t="n"/>
      <c r="AU79" s="62" t="n"/>
      <c r="AV79" s="62" t="n"/>
      <c r="AW79" s="62" t="n"/>
      <c r="AX79" s="62" t="n"/>
      <c r="AY79" s="62" t="n"/>
    </row>
    <row r="80">
      <c r="A80" s="38">
        <f>IF(D80="","",COUNTA($D$71:D80))</f>
        <v/>
      </c>
      <c r="B80" s="52" t="n"/>
      <c r="C80" s="68" t="inlineStr">
        <is>
          <t>마케팅3팀</t>
        </is>
      </c>
      <c r="D80" s="52" t="n"/>
      <c r="E80" s="54" t="n"/>
      <c r="F80" s="52" t="n"/>
      <c r="G80" s="55" t="n"/>
      <c r="H80" s="54" t="n"/>
      <c r="I80" s="54" t="n"/>
      <c r="J80" s="54" t="n"/>
      <c r="K80" s="56">
        <f>IF(SUM(U80:AY80)=0,"",SUM(U80:AY80))</f>
        <v/>
      </c>
      <c r="L80" s="57">
        <f>IFERROR(INDEX(U$2:AY$2,MATCH(TRUE,U80:AY80&lt;&gt;"",0)),"")</f>
        <v/>
      </c>
      <c r="M80" s="58">
        <f>IFERROR(LOOKUP(2,1/(U80:AY80&lt;&gt;""),U$2:AY$2),"")</f>
        <v/>
      </c>
      <c r="N80" s="59">
        <f>IF(OR(G80="",M80=""),"",G80-M80)</f>
        <v/>
      </c>
      <c r="O80" s="60" t="n"/>
      <c r="P80" s="61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  <c r="AG80" s="62" t="n"/>
      <c r="AH80" s="62" t="n"/>
      <c r="AI80" s="62" t="n"/>
      <c r="AJ80" s="62" t="n"/>
      <c r="AK80" s="62" t="n"/>
      <c r="AL80" s="62" t="n"/>
      <c r="AM80" s="62" t="n"/>
      <c r="AN80" s="62" t="n"/>
      <c r="AO80" s="62" t="n"/>
      <c r="AP80" s="62" t="n"/>
      <c r="AQ80" s="62" t="n"/>
      <c r="AR80" s="62" t="n"/>
      <c r="AS80" s="62" t="n"/>
      <c r="AT80" s="62" t="n"/>
      <c r="AU80" s="62" t="n"/>
      <c r="AV80" s="62" t="n"/>
      <c r="AW80" s="62" t="n"/>
      <c r="AX80" s="62" t="n"/>
      <c r="AY80" s="62" t="n"/>
    </row>
    <row r="81">
      <c r="A81" s="38">
        <f>IF(D81="","",COUNTA($D$71:D81))</f>
        <v/>
      </c>
      <c r="B81" s="52" t="n"/>
      <c r="C81" s="68" t="inlineStr">
        <is>
          <t>마케팅3팀</t>
        </is>
      </c>
      <c r="D81" s="52" t="n"/>
      <c r="E81" s="54" t="n"/>
      <c r="F81" s="52" t="n"/>
      <c r="G81" s="55" t="n"/>
      <c r="H81" s="54" t="n"/>
      <c r="I81" s="54" t="n"/>
      <c r="J81" s="54" t="n"/>
      <c r="K81" s="56">
        <f>IF(SUM(U81:AY81)=0,"",SUM(U81:AY81))</f>
        <v/>
      </c>
      <c r="L81" s="57">
        <f>IFERROR(INDEX(U$2:AY$2,MATCH(TRUE,U81:AY81&lt;&gt;"",0)),"")</f>
        <v/>
      </c>
      <c r="M81" s="58">
        <f>IFERROR(LOOKUP(2,1/(U81:AY81&lt;&gt;""),U$2:AY$2),"")</f>
        <v/>
      </c>
      <c r="N81" s="59">
        <f>IF(OR(G81="",M81=""),"",G81-M81)</f>
        <v/>
      </c>
      <c r="O81" s="60" t="n"/>
      <c r="P81" s="61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  <c r="AG81" s="62" t="n"/>
      <c r="AH81" s="62" t="n"/>
      <c r="AI81" s="62" t="n"/>
      <c r="AJ81" s="62" t="n"/>
      <c r="AK81" s="62" t="n"/>
      <c r="AL81" s="62" t="n"/>
      <c r="AM81" s="62" t="n"/>
      <c r="AN81" s="62" t="n"/>
      <c r="AO81" s="62" t="n"/>
      <c r="AP81" s="62" t="n"/>
      <c r="AQ81" s="62" t="n"/>
      <c r="AR81" s="62" t="n"/>
      <c r="AS81" s="62" t="n"/>
      <c r="AT81" s="62" t="n"/>
      <c r="AU81" s="62" t="n"/>
      <c r="AV81" s="62" t="n"/>
      <c r="AW81" s="62" t="n"/>
      <c r="AX81" s="62" t="n"/>
      <c r="AY81" s="62" t="n"/>
    </row>
    <row r="82">
      <c r="A82" s="38">
        <f>IF(D82="","",COUNTA($D$71:D82))</f>
        <v/>
      </c>
      <c r="B82" s="52" t="n"/>
      <c r="C82" s="68" t="inlineStr">
        <is>
          <t>마케팅3팀</t>
        </is>
      </c>
      <c r="D82" s="52" t="n"/>
      <c r="E82" s="54" t="n"/>
      <c r="F82" s="52" t="n"/>
      <c r="G82" s="55" t="n"/>
      <c r="H82" s="54" t="n"/>
      <c r="I82" s="54" t="n"/>
      <c r="J82" s="54" t="n"/>
      <c r="K82" s="56">
        <f>IF(SUM(U82:AY82)=0,"",SUM(U82:AY82))</f>
        <v/>
      </c>
      <c r="L82" s="57">
        <f>IFERROR(INDEX(U$2:AY$2,MATCH(TRUE,U82:AY82&lt;&gt;"",0)),"")</f>
        <v/>
      </c>
      <c r="M82" s="58">
        <f>IFERROR(LOOKUP(2,1/(U82:AY82&lt;&gt;""),U$2:AY$2),"")</f>
        <v/>
      </c>
      <c r="N82" s="59">
        <f>IF(OR(G82="",M82=""),"",G82-M82)</f>
        <v/>
      </c>
      <c r="O82" s="60" t="n"/>
      <c r="P82" s="61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  <c r="AG82" s="62" t="n"/>
      <c r="AH82" s="62" t="n"/>
      <c r="AI82" s="62" t="n"/>
      <c r="AJ82" s="62" t="n"/>
      <c r="AK82" s="62" t="n"/>
      <c r="AL82" s="62" t="n"/>
      <c r="AM82" s="62" t="n"/>
      <c r="AN82" s="62" t="n"/>
      <c r="AO82" s="62" t="n"/>
      <c r="AP82" s="62" t="n"/>
      <c r="AQ82" s="62" t="n"/>
      <c r="AR82" s="62" t="n"/>
      <c r="AS82" s="62" t="n"/>
      <c r="AT82" s="62" t="n"/>
      <c r="AU82" s="62" t="n"/>
      <c r="AV82" s="62" t="n"/>
      <c r="AW82" s="62" t="n"/>
      <c r="AX82" s="62" t="n"/>
      <c r="AY82" s="62" t="n"/>
    </row>
    <row r="83">
      <c r="A83" s="38">
        <f>IF(D83="","",COUNTA($D$71:D83))</f>
        <v/>
      </c>
      <c r="B83" s="52" t="n"/>
      <c r="C83" s="68" t="inlineStr">
        <is>
          <t>마케팅3팀</t>
        </is>
      </c>
      <c r="D83" s="52" t="n"/>
      <c r="E83" s="54" t="n"/>
      <c r="F83" s="52" t="n"/>
      <c r="G83" s="55" t="n"/>
      <c r="H83" s="54" t="n"/>
      <c r="I83" s="54" t="n"/>
      <c r="J83" s="54" t="n"/>
      <c r="K83" s="56">
        <f>IF(SUM(U83:AY83)=0,"",SUM(U83:AY83))</f>
        <v/>
      </c>
      <c r="L83" s="57">
        <f>IFERROR(INDEX(U$2:AY$2,MATCH(TRUE,U83:AY83&lt;&gt;"",0)),"")</f>
        <v/>
      </c>
      <c r="M83" s="58">
        <f>IFERROR(LOOKUP(2,1/(U83:AY83&lt;&gt;""),U$2:AY$2),"")</f>
        <v/>
      </c>
      <c r="N83" s="59">
        <f>IF(OR(G83="",M83=""),"",G83-M83)</f>
        <v/>
      </c>
      <c r="O83" s="60" t="n"/>
      <c r="P83" s="61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  <c r="AG83" s="62" t="n"/>
      <c r="AH83" s="62" t="n"/>
      <c r="AI83" s="62" t="n"/>
      <c r="AJ83" s="62" t="n"/>
      <c r="AK83" s="62" t="n"/>
      <c r="AL83" s="62" t="n"/>
      <c r="AM83" s="62" t="n"/>
      <c r="AN83" s="62" t="n"/>
      <c r="AO83" s="62" t="n"/>
      <c r="AP83" s="62" t="n"/>
      <c r="AQ83" s="62" t="n"/>
      <c r="AR83" s="62" t="n"/>
      <c r="AS83" s="62" t="n"/>
      <c r="AT83" s="62" t="n"/>
      <c r="AU83" s="62" t="n"/>
      <c r="AV83" s="62" t="n"/>
      <c r="AW83" s="62" t="n"/>
      <c r="AX83" s="62" t="n"/>
      <c r="AY83" s="62" t="n"/>
    </row>
    <row r="84">
      <c r="A84" s="38">
        <f>IF(D84="","",COUNTA($D$71:D84))</f>
        <v/>
      </c>
      <c r="B84" s="52" t="n"/>
      <c r="C84" s="68" t="inlineStr">
        <is>
          <t>마케팅3팀</t>
        </is>
      </c>
      <c r="D84" s="52" t="n"/>
      <c r="E84" s="54" t="n"/>
      <c r="F84" s="52" t="n"/>
      <c r="G84" s="55" t="n"/>
      <c r="H84" s="54" t="n"/>
      <c r="I84" s="54" t="n"/>
      <c r="J84" s="54" t="n"/>
      <c r="K84" s="56">
        <f>IF(SUM(U84:AY84)=0,"",SUM(U84:AY84))</f>
        <v/>
      </c>
      <c r="L84" s="57">
        <f>IFERROR(INDEX(U$2:AY$2,MATCH(TRUE,U84:AY84&lt;&gt;"",0)),"")</f>
        <v/>
      </c>
      <c r="M84" s="58">
        <f>IFERROR(LOOKUP(2,1/(U84:AY84&lt;&gt;""),U$2:AY$2),"")</f>
        <v/>
      </c>
      <c r="N84" s="59">
        <f>IF(OR(G84="",M84=""),"",G84-M84)</f>
        <v/>
      </c>
      <c r="O84" s="60" t="n"/>
      <c r="P84" s="61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  <c r="AG84" s="62" t="n"/>
      <c r="AH84" s="62" t="n"/>
      <c r="AI84" s="62" t="n"/>
      <c r="AJ84" s="62" t="n"/>
      <c r="AK84" s="62" t="n"/>
      <c r="AL84" s="62" t="n"/>
      <c r="AM84" s="62" t="n"/>
      <c r="AN84" s="62" t="n"/>
      <c r="AO84" s="62" t="n"/>
      <c r="AP84" s="62" t="n"/>
      <c r="AQ84" s="62" t="n"/>
      <c r="AR84" s="62" t="n"/>
      <c r="AS84" s="62" t="n"/>
      <c r="AT84" s="62" t="n"/>
      <c r="AU84" s="62" t="n"/>
      <c r="AV84" s="62" t="n"/>
      <c r="AW84" s="62" t="n"/>
      <c r="AX84" s="62" t="n"/>
      <c r="AY84" s="62" t="n"/>
    </row>
    <row r="85">
      <c r="A85" s="38">
        <f>IF(D85="","",COUNTA($D$71:D85))</f>
        <v/>
      </c>
      <c r="B85" s="52" t="n"/>
      <c r="C85" s="68" t="inlineStr">
        <is>
          <t>마케팅3팀</t>
        </is>
      </c>
      <c r="D85" s="52" t="n"/>
      <c r="E85" s="54" t="n"/>
      <c r="F85" s="52" t="n"/>
      <c r="G85" s="55" t="n"/>
      <c r="H85" s="54" t="n"/>
      <c r="I85" s="54" t="n"/>
      <c r="J85" s="54" t="n"/>
      <c r="K85" s="56">
        <f>IF(SUM(U85:AY85)=0,"",SUM(U85:AY85))</f>
        <v/>
      </c>
      <c r="L85" s="57">
        <f>IFERROR(INDEX(U$2:AY$2,MATCH(TRUE,U85:AY85&lt;&gt;"",0)),"")</f>
        <v/>
      </c>
      <c r="M85" s="58">
        <f>IFERROR(LOOKUP(2,1/(U85:AY85&lt;&gt;""),U$2:AY$2),"")</f>
        <v/>
      </c>
      <c r="N85" s="59">
        <f>IF(OR(G85="",M85=""),"",G85-M85)</f>
        <v/>
      </c>
      <c r="O85" s="60" t="n"/>
      <c r="P85" s="61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  <c r="AG85" s="62" t="n"/>
      <c r="AH85" s="62" t="n"/>
      <c r="AI85" s="62" t="n"/>
      <c r="AJ85" s="62" t="n"/>
      <c r="AK85" s="62" t="n"/>
      <c r="AL85" s="62" t="n"/>
      <c r="AM85" s="62" t="n"/>
      <c r="AN85" s="62" t="n"/>
      <c r="AO85" s="62" t="n"/>
      <c r="AP85" s="62" t="n"/>
      <c r="AQ85" s="62" t="n"/>
      <c r="AR85" s="62" t="n"/>
      <c r="AS85" s="62" t="n"/>
      <c r="AT85" s="62" t="n"/>
      <c r="AU85" s="62" t="n"/>
      <c r="AV85" s="62" t="n"/>
      <c r="AW85" s="62" t="n"/>
      <c r="AX85" s="62" t="n"/>
      <c r="AY85" s="62" t="n"/>
    </row>
    <row r="86">
      <c r="A86" s="38">
        <f>IF(D86="","",COUNTA($D$71:D86))</f>
        <v/>
      </c>
      <c r="B86" s="52" t="n"/>
      <c r="C86" s="68" t="inlineStr">
        <is>
          <t>마케팅3팀</t>
        </is>
      </c>
      <c r="D86" s="52" t="n"/>
      <c r="E86" s="54" t="n"/>
      <c r="F86" s="52" t="n"/>
      <c r="G86" s="55" t="n"/>
      <c r="H86" s="54" t="n"/>
      <c r="I86" s="54" t="n"/>
      <c r="J86" s="54" t="n"/>
      <c r="K86" s="56">
        <f>IF(SUM(U86:AY86)=0,"",SUM(U86:AY86))</f>
        <v/>
      </c>
      <c r="L86" s="57">
        <f>IFERROR(INDEX(U$2:AY$2,MATCH(TRUE,U86:AY86&lt;&gt;"",0)),"")</f>
        <v/>
      </c>
      <c r="M86" s="58">
        <f>IFERROR(LOOKUP(2,1/(U86:AY86&lt;&gt;""),U$2:AY$2),"")</f>
        <v/>
      </c>
      <c r="N86" s="59">
        <f>IF(OR(G86="",M86=""),"",G86-M86)</f>
        <v/>
      </c>
      <c r="O86" s="60" t="n"/>
      <c r="P86" s="61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  <c r="AG86" s="62" t="n"/>
      <c r="AH86" s="62" t="n"/>
      <c r="AI86" s="62" t="n"/>
      <c r="AJ86" s="62" t="n"/>
      <c r="AK86" s="62" t="n"/>
      <c r="AL86" s="62" t="n"/>
      <c r="AM86" s="62" t="n"/>
      <c r="AN86" s="62" t="n"/>
      <c r="AO86" s="62" t="n"/>
      <c r="AP86" s="62" t="n"/>
      <c r="AQ86" s="62" t="n"/>
      <c r="AR86" s="62" t="n"/>
      <c r="AS86" s="62" t="n"/>
      <c r="AT86" s="62" t="n"/>
      <c r="AU86" s="62" t="n"/>
      <c r="AV86" s="62" t="n"/>
      <c r="AW86" s="62" t="n"/>
      <c r="AX86" s="62" t="n"/>
      <c r="AY86" s="62" t="n"/>
    </row>
    <row r="87">
      <c r="A87" s="38">
        <f>IF(D87="","",COUNTA($D$71:D87))</f>
        <v/>
      </c>
      <c r="B87" s="52" t="n"/>
      <c r="C87" s="68" t="inlineStr">
        <is>
          <t>마케팅3팀</t>
        </is>
      </c>
      <c r="D87" s="52" t="n"/>
      <c r="E87" s="54" t="n"/>
      <c r="F87" s="52" t="n"/>
      <c r="G87" s="55" t="n"/>
      <c r="H87" s="54" t="n"/>
      <c r="I87" s="54" t="n"/>
      <c r="J87" s="54" t="n"/>
      <c r="K87" s="56">
        <f>IF(SUM(U87:AY87)=0,"",SUM(U87:AY87))</f>
        <v/>
      </c>
      <c r="L87" s="57">
        <f>IFERROR(INDEX(U$2:AY$2,MATCH(TRUE,U87:AY87&lt;&gt;"",0)),"")</f>
        <v/>
      </c>
      <c r="M87" s="58">
        <f>IFERROR(LOOKUP(2,1/(U87:AY87&lt;&gt;""),U$2:AY$2),"")</f>
        <v/>
      </c>
      <c r="N87" s="59">
        <f>IF(OR(G87="",M87=""),"",G87-M87)</f>
        <v/>
      </c>
      <c r="O87" s="60" t="n"/>
      <c r="P87" s="61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  <c r="AG87" s="62" t="n"/>
      <c r="AH87" s="62" t="n"/>
      <c r="AI87" s="62" t="n"/>
      <c r="AJ87" s="62" t="n"/>
      <c r="AK87" s="62" t="n"/>
      <c r="AL87" s="62" t="n"/>
      <c r="AM87" s="62" t="n"/>
      <c r="AN87" s="62" t="n"/>
      <c r="AO87" s="62" t="n"/>
      <c r="AP87" s="62" t="n"/>
      <c r="AQ87" s="62" t="n"/>
      <c r="AR87" s="62" t="n"/>
      <c r="AS87" s="62" t="n"/>
      <c r="AT87" s="62" t="n"/>
      <c r="AU87" s="62" t="n"/>
      <c r="AV87" s="62" t="n"/>
      <c r="AW87" s="62" t="n"/>
      <c r="AX87" s="62" t="n"/>
      <c r="AY87" s="62" t="n"/>
    </row>
    <row r="88">
      <c r="A88" s="38">
        <f>IF(D88="","",COUNTA($D$71:D88))</f>
        <v/>
      </c>
      <c r="B88" s="52" t="n"/>
      <c r="C88" s="68" t="inlineStr">
        <is>
          <t>마케팅3팀</t>
        </is>
      </c>
      <c r="D88" s="52" t="n"/>
      <c r="E88" s="54" t="n"/>
      <c r="F88" s="52" t="n"/>
      <c r="G88" s="55" t="n"/>
      <c r="H88" s="54" t="n"/>
      <c r="I88" s="54" t="n"/>
      <c r="J88" s="54" t="n"/>
      <c r="K88" s="56">
        <f>IF(SUM(U88:AY88)=0,"",SUM(U88:AY88))</f>
        <v/>
      </c>
      <c r="L88" s="57">
        <f>IFERROR(INDEX(U$2:AY$2,MATCH(TRUE,U88:AY88&lt;&gt;"",0)),"")</f>
        <v/>
      </c>
      <c r="M88" s="58">
        <f>IFERROR(LOOKUP(2,1/(U88:AY88&lt;&gt;""),U$2:AY$2),"")</f>
        <v/>
      </c>
      <c r="N88" s="59">
        <f>IF(OR(G88="",M88=""),"",G88-M88)</f>
        <v/>
      </c>
      <c r="O88" s="60" t="n"/>
      <c r="P88" s="61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  <c r="AG88" s="62" t="n"/>
      <c r="AH88" s="62" t="n"/>
      <c r="AI88" s="62" t="n"/>
      <c r="AJ88" s="62" t="n"/>
      <c r="AK88" s="62" t="n"/>
      <c r="AL88" s="62" t="n"/>
      <c r="AM88" s="62" t="n"/>
      <c r="AN88" s="62" t="n"/>
      <c r="AO88" s="62" t="n"/>
      <c r="AP88" s="62" t="n"/>
      <c r="AQ88" s="62" t="n"/>
      <c r="AR88" s="62" t="n"/>
      <c r="AS88" s="62" t="n"/>
      <c r="AT88" s="62" t="n"/>
      <c r="AU88" s="62" t="n"/>
      <c r="AV88" s="62" t="n"/>
      <c r="AW88" s="62" t="n"/>
      <c r="AX88" s="62" t="n"/>
      <c r="AY88" s="62" t="n"/>
    </row>
    <row r="89">
      <c r="A89" s="38">
        <f>IF(D89="","",COUNTA($D$71:D89))</f>
        <v/>
      </c>
      <c r="B89" s="52" t="n"/>
      <c r="C89" s="68" t="inlineStr">
        <is>
          <t>마케팅3팀</t>
        </is>
      </c>
      <c r="D89" s="52" t="n"/>
      <c r="E89" s="54" t="n"/>
      <c r="F89" s="52" t="n"/>
      <c r="G89" s="55" t="n"/>
      <c r="H89" s="54" t="n"/>
      <c r="I89" s="54" t="n"/>
      <c r="J89" s="54" t="n"/>
      <c r="K89" s="56">
        <f>IF(SUM(U89:AY89)=0,"",SUM(U89:AY89))</f>
        <v/>
      </c>
      <c r="L89" s="57">
        <f>IFERROR(INDEX(U$2:AY$2,MATCH(TRUE,U89:AY89&lt;&gt;"",0)),"")</f>
        <v/>
      </c>
      <c r="M89" s="58">
        <f>IFERROR(LOOKUP(2,1/(U89:AY89&lt;&gt;""),U$2:AY$2),"")</f>
        <v/>
      </c>
      <c r="N89" s="59">
        <f>IF(OR(G89="",M89=""),"",G89-M89)</f>
        <v/>
      </c>
      <c r="O89" s="60" t="n"/>
      <c r="P89" s="61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  <c r="AG89" s="62" t="n"/>
      <c r="AH89" s="62" t="n"/>
      <c r="AI89" s="62" t="n"/>
      <c r="AJ89" s="62" t="n"/>
      <c r="AK89" s="62" t="n"/>
      <c r="AL89" s="62" t="n"/>
      <c r="AM89" s="62" t="n"/>
      <c r="AN89" s="62" t="n"/>
      <c r="AO89" s="62" t="n"/>
      <c r="AP89" s="62" t="n"/>
      <c r="AQ89" s="62" t="n"/>
      <c r="AR89" s="62" t="n"/>
      <c r="AS89" s="62" t="n"/>
      <c r="AT89" s="62" t="n"/>
      <c r="AU89" s="62" t="n"/>
      <c r="AV89" s="62" t="n"/>
      <c r="AW89" s="62" t="n"/>
      <c r="AX89" s="62" t="n"/>
      <c r="AY89" s="62" t="n"/>
    </row>
    <row r="90">
      <c r="A90" s="38">
        <f>IF(D90="","",COUNTA($D$71:D90))</f>
        <v/>
      </c>
      <c r="B90" s="52" t="n"/>
      <c r="C90" s="68" t="inlineStr">
        <is>
          <t>마케팅3팀</t>
        </is>
      </c>
      <c r="D90" s="52" t="n"/>
      <c r="E90" s="54" t="n"/>
      <c r="F90" s="52" t="n"/>
      <c r="G90" s="55" t="n"/>
      <c r="H90" s="54" t="n"/>
      <c r="I90" s="54" t="n"/>
      <c r="J90" s="54" t="n"/>
      <c r="K90" s="56">
        <f>IF(SUM(U90:AY90)=0,"",SUM(U90:AY90))</f>
        <v/>
      </c>
      <c r="L90" s="57">
        <f>IFERROR(INDEX(U$2:AY$2,MATCH(TRUE,U90:AY90&lt;&gt;"",0)),"")</f>
        <v/>
      </c>
      <c r="M90" s="58">
        <f>IFERROR(LOOKUP(2,1/(U90:AY90&lt;&gt;""),U$2:AY$2),"")</f>
        <v/>
      </c>
      <c r="N90" s="59">
        <f>IF(OR(G90="",M90=""),"",G90-M90)</f>
        <v/>
      </c>
      <c r="O90" s="60" t="n"/>
      <c r="P90" s="61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  <c r="AG90" s="62" t="n"/>
      <c r="AH90" s="62" t="n"/>
      <c r="AI90" s="62" t="n"/>
      <c r="AJ90" s="62" t="n"/>
      <c r="AK90" s="62" t="n"/>
      <c r="AL90" s="62" t="n"/>
      <c r="AM90" s="62" t="n"/>
      <c r="AN90" s="62" t="n"/>
      <c r="AO90" s="62" t="n"/>
      <c r="AP90" s="62" t="n"/>
      <c r="AQ90" s="62" t="n"/>
      <c r="AR90" s="62" t="n"/>
      <c r="AS90" s="62" t="n"/>
      <c r="AT90" s="62" t="n"/>
      <c r="AU90" s="62" t="n"/>
      <c r="AV90" s="62" t="n"/>
      <c r="AW90" s="62" t="n"/>
      <c r="AX90" s="62" t="n"/>
      <c r="AY90" s="62" t="n"/>
    </row>
    <row r="91">
      <c r="A91" s="38">
        <f>IF(D91="","",COUNTA($D$71:D91))</f>
        <v/>
      </c>
      <c r="B91" s="52" t="n"/>
      <c r="C91" s="68" t="inlineStr">
        <is>
          <t>마케팅3팀</t>
        </is>
      </c>
      <c r="D91" s="52" t="n"/>
      <c r="E91" s="54" t="n"/>
      <c r="F91" s="52" t="n"/>
      <c r="G91" s="55" t="n"/>
      <c r="H91" s="54" t="n"/>
      <c r="I91" s="54" t="n"/>
      <c r="J91" s="54" t="n"/>
      <c r="K91" s="56">
        <f>IF(SUM(U91:AY91)=0,"",SUM(U91:AY91))</f>
        <v/>
      </c>
      <c r="L91" s="57">
        <f>IFERROR(INDEX(U$2:AY$2,MATCH(TRUE,U91:AY91&lt;&gt;"",0)),"")</f>
        <v/>
      </c>
      <c r="M91" s="58">
        <f>IFERROR(LOOKUP(2,1/(U91:AY91&lt;&gt;""),U$2:AY$2),"")</f>
        <v/>
      </c>
      <c r="N91" s="59">
        <f>IF(OR(G91="",M91=""),"",G91-M91)</f>
        <v/>
      </c>
      <c r="O91" s="60" t="n"/>
      <c r="P91" s="61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  <c r="AG91" s="62" t="n"/>
      <c r="AH91" s="62" t="n"/>
      <c r="AI91" s="62" t="n"/>
      <c r="AJ91" s="62" t="n"/>
      <c r="AK91" s="62" t="n"/>
      <c r="AL91" s="62" t="n"/>
      <c r="AM91" s="62" t="n"/>
      <c r="AN91" s="62" t="n"/>
      <c r="AO91" s="62" t="n"/>
      <c r="AP91" s="62" t="n"/>
      <c r="AQ91" s="62" t="n"/>
      <c r="AR91" s="62" t="n"/>
      <c r="AS91" s="62" t="n"/>
      <c r="AT91" s="62" t="n"/>
      <c r="AU91" s="62" t="n"/>
      <c r="AV91" s="62" t="n"/>
      <c r="AW91" s="62" t="n"/>
      <c r="AX91" s="62" t="n"/>
      <c r="AY91" s="62" t="n"/>
    </row>
    <row r="92">
      <c r="A92" s="38">
        <f>IF(D92="","",COUNTA($D$71:D92))</f>
        <v/>
      </c>
      <c r="B92" s="52" t="n"/>
      <c r="C92" s="68" t="inlineStr">
        <is>
          <t>마케팅3팀</t>
        </is>
      </c>
      <c r="D92" s="52" t="n"/>
      <c r="E92" s="54" t="n"/>
      <c r="F92" s="52" t="n"/>
      <c r="G92" s="55" t="n"/>
      <c r="H92" s="54" t="n"/>
      <c r="I92" s="54" t="n"/>
      <c r="J92" s="54" t="n"/>
      <c r="K92" s="56">
        <f>IF(SUM(U92:AY92)=0,"",SUM(U92:AY92))</f>
        <v/>
      </c>
      <c r="L92" s="57">
        <f>IFERROR(INDEX(U$2:AY$2,MATCH(TRUE,U92:AY92&lt;&gt;"",0)),"")</f>
        <v/>
      </c>
      <c r="M92" s="58">
        <f>IFERROR(LOOKUP(2,1/(U92:AY92&lt;&gt;""),U$2:AY$2),"")</f>
        <v/>
      </c>
      <c r="N92" s="59">
        <f>IF(OR(G92="",M92=""),"",G92-M92)</f>
        <v/>
      </c>
      <c r="O92" s="60" t="n"/>
      <c r="P92" s="61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  <c r="AG92" s="62" t="n"/>
      <c r="AH92" s="62" t="n"/>
      <c r="AI92" s="62" t="n"/>
      <c r="AJ92" s="62" t="n"/>
      <c r="AK92" s="62" t="n"/>
      <c r="AL92" s="62" t="n"/>
      <c r="AM92" s="62" t="n"/>
      <c r="AN92" s="62" t="n"/>
      <c r="AO92" s="62" t="n"/>
      <c r="AP92" s="62" t="n"/>
      <c r="AQ92" s="62" t="n"/>
      <c r="AR92" s="62" t="n"/>
      <c r="AS92" s="62" t="n"/>
      <c r="AT92" s="62" t="n"/>
      <c r="AU92" s="62" t="n"/>
      <c r="AV92" s="62" t="n"/>
      <c r="AW92" s="62" t="n"/>
      <c r="AX92" s="62" t="n"/>
      <c r="AY92" s="62" t="n"/>
    </row>
    <row r="93">
      <c r="A93" s="38">
        <f>IF(D93="","",COUNTA($D$71:D93))</f>
        <v/>
      </c>
      <c r="B93" s="52" t="n"/>
      <c r="C93" s="68" t="inlineStr">
        <is>
          <t>마케팅3팀</t>
        </is>
      </c>
      <c r="D93" s="52" t="n"/>
      <c r="E93" s="54" t="n"/>
      <c r="F93" s="52" t="n"/>
      <c r="G93" s="55" t="n"/>
      <c r="H93" s="54" t="n"/>
      <c r="I93" s="54" t="n"/>
      <c r="J93" s="54" t="n"/>
      <c r="K93" s="56">
        <f>IF(SUM(U93:AY93)=0,"",SUM(U93:AY93))</f>
        <v/>
      </c>
      <c r="L93" s="57">
        <f>IFERROR(INDEX(U$2:AY$2,MATCH(TRUE,U93:AY93&lt;&gt;"",0)),"")</f>
        <v/>
      </c>
      <c r="M93" s="58">
        <f>IFERROR(LOOKUP(2,1/(U93:AY93&lt;&gt;""),U$2:AY$2),"")</f>
        <v/>
      </c>
      <c r="N93" s="59">
        <f>IF(OR(G93="",M93=""),"",G93-M93)</f>
        <v/>
      </c>
      <c r="O93" s="60" t="n"/>
      <c r="P93" s="61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  <c r="AG93" s="62" t="n"/>
      <c r="AH93" s="62" t="n"/>
      <c r="AI93" s="62" t="n"/>
      <c r="AJ93" s="62" t="n"/>
      <c r="AK93" s="62" t="n"/>
      <c r="AL93" s="62" t="n"/>
      <c r="AM93" s="62" t="n"/>
      <c r="AN93" s="62" t="n"/>
      <c r="AO93" s="62" t="n"/>
      <c r="AP93" s="62" t="n"/>
      <c r="AQ93" s="62" t="n"/>
      <c r="AR93" s="62" t="n"/>
      <c r="AS93" s="62" t="n"/>
      <c r="AT93" s="62" t="n"/>
      <c r="AU93" s="62" t="n"/>
      <c r="AV93" s="62" t="n"/>
      <c r="AW93" s="62" t="n"/>
      <c r="AX93" s="62" t="n"/>
      <c r="AY93" s="62" t="n"/>
    </row>
    <row r="94">
      <c r="A94" s="38">
        <f>IF(D94="","",COUNTA($D$71:D94))</f>
        <v/>
      </c>
      <c r="B94" s="52" t="n"/>
      <c r="C94" s="68" t="inlineStr">
        <is>
          <t>마케팅3팀</t>
        </is>
      </c>
      <c r="D94" s="52" t="n"/>
      <c r="E94" s="54" t="n"/>
      <c r="F94" s="52" t="n"/>
      <c r="G94" s="55" t="n"/>
      <c r="H94" s="54" t="n"/>
      <c r="I94" s="54" t="n"/>
      <c r="J94" s="54" t="n"/>
      <c r="K94" s="56">
        <f>IF(SUM(U94:AY94)=0,"",SUM(U94:AY94))</f>
        <v/>
      </c>
      <c r="L94" s="57">
        <f>IFERROR(INDEX(U$2:AY$2,MATCH(TRUE,U94:AY94&lt;&gt;"",0)),"")</f>
        <v/>
      </c>
      <c r="M94" s="58">
        <f>IFERROR(LOOKUP(2,1/(U94:AY94&lt;&gt;""),U$2:AY$2),"")</f>
        <v/>
      </c>
      <c r="N94" s="59">
        <f>IF(OR(G94="",M94=""),"",G94-M94)</f>
        <v/>
      </c>
      <c r="O94" s="60" t="n"/>
      <c r="P94" s="61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  <c r="AG94" s="62" t="n"/>
      <c r="AH94" s="62" t="n"/>
      <c r="AI94" s="62" t="n"/>
      <c r="AJ94" s="62" t="n"/>
      <c r="AK94" s="62" t="n"/>
      <c r="AL94" s="62" t="n"/>
      <c r="AM94" s="62" t="n"/>
      <c r="AN94" s="62" t="n"/>
      <c r="AO94" s="62" t="n"/>
      <c r="AP94" s="62" t="n"/>
      <c r="AQ94" s="62" t="n"/>
      <c r="AR94" s="62" t="n"/>
      <c r="AS94" s="62" t="n"/>
      <c r="AT94" s="62" t="n"/>
      <c r="AU94" s="62" t="n"/>
      <c r="AV94" s="62" t="n"/>
      <c r="AW94" s="62" t="n"/>
      <c r="AX94" s="62" t="n"/>
      <c r="AY94" s="62" t="n"/>
    </row>
    <row r="95">
      <c r="A95" s="38">
        <f>IF(D95="","",COUNTA($D$71:D95))</f>
        <v/>
      </c>
      <c r="B95" s="52" t="n"/>
      <c r="C95" s="68" t="inlineStr">
        <is>
          <t>마케팅3팀</t>
        </is>
      </c>
      <c r="D95" s="52" t="n"/>
      <c r="E95" s="54" t="n"/>
      <c r="F95" s="52" t="n"/>
      <c r="G95" s="55" t="n"/>
      <c r="H95" s="54" t="n"/>
      <c r="I95" s="54" t="n"/>
      <c r="J95" s="54" t="n"/>
      <c r="K95" s="56">
        <f>IF(SUM(U95:AY95)=0,"",SUM(U95:AY95))</f>
        <v/>
      </c>
      <c r="L95" s="57">
        <f>IFERROR(INDEX(U$2:AY$2,MATCH(TRUE,U95:AY95&lt;&gt;"",0)),"")</f>
        <v/>
      </c>
      <c r="M95" s="58">
        <f>IFERROR(LOOKUP(2,1/(U95:AY95&lt;&gt;""),U$2:AY$2),"")</f>
        <v/>
      </c>
      <c r="N95" s="59">
        <f>IF(OR(G95="",M95=""),"",G95-M95)</f>
        <v/>
      </c>
      <c r="O95" s="60" t="n"/>
      <c r="P95" s="61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  <c r="AG95" s="62" t="n"/>
      <c r="AH95" s="62" t="n"/>
      <c r="AI95" s="62" t="n"/>
      <c r="AJ95" s="62" t="n"/>
      <c r="AK95" s="62" t="n"/>
      <c r="AL95" s="62" t="n"/>
      <c r="AM95" s="62" t="n"/>
      <c r="AN95" s="62" t="n"/>
      <c r="AO95" s="62" t="n"/>
      <c r="AP95" s="62" t="n"/>
      <c r="AQ95" s="62" t="n"/>
      <c r="AR95" s="62" t="n"/>
      <c r="AS95" s="62" t="n"/>
      <c r="AT95" s="62" t="n"/>
      <c r="AU95" s="62" t="n"/>
      <c r="AV95" s="62" t="n"/>
      <c r="AW95" s="62" t="n"/>
      <c r="AX95" s="62" t="n"/>
      <c r="AY95" s="62" t="n"/>
    </row>
    <row r="96">
      <c r="A96" s="38">
        <f>IF(D96="","",COUNTA($D$71:D96))</f>
        <v/>
      </c>
      <c r="B96" s="52" t="n"/>
      <c r="C96" s="68" t="inlineStr">
        <is>
          <t>마케팅3팀</t>
        </is>
      </c>
      <c r="D96" s="52" t="n"/>
      <c r="E96" s="54" t="n"/>
      <c r="F96" s="52" t="n"/>
      <c r="G96" s="55" t="n"/>
      <c r="H96" s="54" t="n"/>
      <c r="I96" s="54" t="n"/>
      <c r="J96" s="54" t="n"/>
      <c r="K96" s="56">
        <f>IF(SUM(U96:AY96)=0,"",SUM(U96:AY96))</f>
        <v/>
      </c>
      <c r="L96" s="57">
        <f>IFERROR(INDEX(U$2:AY$2,MATCH(TRUE,U96:AY96&lt;&gt;"",0)),"")</f>
        <v/>
      </c>
      <c r="M96" s="58">
        <f>IFERROR(LOOKUP(2,1/(U96:AY96&lt;&gt;""),U$2:AY$2),"")</f>
        <v/>
      </c>
      <c r="N96" s="59">
        <f>IF(OR(G96="",M96=""),"",G96-M96)</f>
        <v/>
      </c>
      <c r="O96" s="60" t="n"/>
      <c r="P96" s="61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  <c r="AG96" s="62" t="n"/>
      <c r="AH96" s="62" t="n"/>
      <c r="AI96" s="62" t="n"/>
      <c r="AJ96" s="62" t="n"/>
      <c r="AK96" s="62" t="n"/>
      <c r="AL96" s="62" t="n"/>
      <c r="AM96" s="62" t="n"/>
      <c r="AN96" s="62" t="n"/>
      <c r="AO96" s="62" t="n"/>
      <c r="AP96" s="62" t="n"/>
      <c r="AQ96" s="62" t="n"/>
      <c r="AR96" s="62" t="n"/>
      <c r="AS96" s="62" t="n"/>
      <c r="AT96" s="62" t="n"/>
      <c r="AU96" s="62" t="n"/>
      <c r="AV96" s="62" t="n"/>
      <c r="AW96" s="62" t="n"/>
      <c r="AX96" s="62" t="n"/>
      <c r="AY96" s="62" t="n"/>
    </row>
    <row r="97">
      <c r="A97" s="38">
        <f>IF(D97="","",COUNTA($D$71:D97))</f>
        <v/>
      </c>
      <c r="B97" s="52" t="n"/>
      <c r="C97" s="68" t="inlineStr">
        <is>
          <t>마케팅3팀</t>
        </is>
      </c>
      <c r="D97" s="52" t="n"/>
      <c r="E97" s="54" t="n"/>
      <c r="F97" s="52" t="n"/>
      <c r="G97" s="55" t="n"/>
      <c r="H97" s="54" t="n"/>
      <c r="I97" s="54" t="n"/>
      <c r="J97" s="54" t="n"/>
      <c r="K97" s="56">
        <f>IF(SUM(U97:AY97)=0,"",SUM(U97:AY97))</f>
        <v/>
      </c>
      <c r="L97" s="57">
        <f>IFERROR(INDEX(U$2:AY$2,MATCH(TRUE,U97:AY97&lt;&gt;"",0)),"")</f>
        <v/>
      </c>
      <c r="M97" s="58">
        <f>IFERROR(LOOKUP(2,1/(U97:AY97&lt;&gt;""),U$2:AY$2),"")</f>
        <v/>
      </c>
      <c r="N97" s="59">
        <f>IF(OR(G97="",M97=""),"",G97-M97)</f>
        <v/>
      </c>
      <c r="O97" s="60" t="n"/>
      <c r="P97" s="61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  <c r="AG97" s="62" t="n"/>
      <c r="AH97" s="62" t="n"/>
      <c r="AI97" s="62" t="n"/>
      <c r="AJ97" s="62" t="n"/>
      <c r="AK97" s="62" t="n"/>
      <c r="AL97" s="62" t="n"/>
      <c r="AM97" s="62" t="n"/>
      <c r="AN97" s="62" t="n"/>
      <c r="AO97" s="62" t="n"/>
      <c r="AP97" s="62" t="n"/>
      <c r="AQ97" s="62" t="n"/>
      <c r="AR97" s="62" t="n"/>
      <c r="AS97" s="62" t="n"/>
      <c r="AT97" s="62" t="n"/>
      <c r="AU97" s="62" t="n"/>
      <c r="AV97" s="62" t="n"/>
      <c r="AW97" s="62" t="n"/>
      <c r="AX97" s="62" t="n"/>
      <c r="AY97" s="62" t="n"/>
    </row>
    <row r="98">
      <c r="A98" s="38">
        <f>IF(D98="","",COUNTA($D$71:D98))</f>
        <v/>
      </c>
      <c r="B98" s="52" t="n"/>
      <c r="C98" s="68" t="inlineStr">
        <is>
          <t>마케팅3팀</t>
        </is>
      </c>
      <c r="D98" s="52" t="n"/>
      <c r="E98" s="54" t="n"/>
      <c r="F98" s="52" t="n"/>
      <c r="G98" s="55" t="n"/>
      <c r="H98" s="54" t="n"/>
      <c r="I98" s="54" t="n"/>
      <c r="J98" s="54" t="n"/>
      <c r="K98" s="56">
        <f>IF(SUM(U98:AY98)=0,"",SUM(U98:AY98))</f>
        <v/>
      </c>
      <c r="L98" s="57">
        <f>IFERROR(INDEX(U$2:AY$2,MATCH(TRUE,U98:AY98&lt;&gt;"",0)),"")</f>
        <v/>
      </c>
      <c r="M98" s="58">
        <f>IFERROR(LOOKUP(2,1/(U98:AY98&lt;&gt;""),U$2:AY$2),"")</f>
        <v/>
      </c>
      <c r="N98" s="59">
        <f>IF(OR(G98="",M98=""),"",G98-M98)</f>
        <v/>
      </c>
      <c r="O98" s="60" t="n"/>
      <c r="P98" s="61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  <c r="AG98" s="62" t="n"/>
      <c r="AH98" s="62" t="n"/>
      <c r="AI98" s="62" t="n"/>
      <c r="AJ98" s="62" t="n"/>
      <c r="AK98" s="62" t="n"/>
      <c r="AL98" s="62" t="n"/>
      <c r="AM98" s="62" t="n"/>
      <c r="AN98" s="62" t="n"/>
      <c r="AO98" s="62" t="n"/>
      <c r="AP98" s="62" t="n"/>
      <c r="AQ98" s="62" t="n"/>
      <c r="AR98" s="62" t="n"/>
      <c r="AS98" s="62" t="n"/>
      <c r="AT98" s="62" t="n"/>
      <c r="AU98" s="62" t="n"/>
      <c r="AV98" s="62" t="n"/>
      <c r="AW98" s="62" t="n"/>
      <c r="AX98" s="62" t="n"/>
      <c r="AY98" s="62" t="n"/>
    </row>
    <row r="99">
      <c r="A99" s="38">
        <f>IF(D99="","",COUNTA($D$71:D99))</f>
        <v/>
      </c>
      <c r="B99" s="52" t="n"/>
      <c r="C99" s="68" t="inlineStr">
        <is>
          <t>마케팅3팀</t>
        </is>
      </c>
      <c r="D99" s="52" t="n"/>
      <c r="E99" s="54" t="n"/>
      <c r="F99" s="52" t="n"/>
      <c r="G99" s="55" t="n"/>
      <c r="H99" s="54" t="n"/>
      <c r="I99" s="54" t="n"/>
      <c r="J99" s="54" t="n"/>
      <c r="K99" s="56">
        <f>IF(SUM(U99:AY99)=0,"",SUM(U99:AY99))</f>
        <v/>
      </c>
      <c r="L99" s="57">
        <f>IFERROR(INDEX(U$2:AY$2,MATCH(TRUE,U99:AY99&lt;&gt;"",0)),"")</f>
        <v/>
      </c>
      <c r="M99" s="58">
        <f>IFERROR(LOOKUP(2,1/(U99:AY99&lt;&gt;""),U$2:AY$2),"")</f>
        <v/>
      </c>
      <c r="N99" s="59">
        <f>IF(OR(G99="",M99=""),"",G99-M99)</f>
        <v/>
      </c>
      <c r="O99" s="60" t="n"/>
      <c r="P99" s="61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  <c r="AG99" s="62" t="n"/>
      <c r="AH99" s="62" t="n"/>
      <c r="AI99" s="62" t="n"/>
      <c r="AJ99" s="62" t="n"/>
      <c r="AK99" s="62" t="n"/>
      <c r="AL99" s="62" t="n"/>
      <c r="AM99" s="62" t="n"/>
      <c r="AN99" s="62" t="n"/>
      <c r="AO99" s="62" t="n"/>
      <c r="AP99" s="62" t="n"/>
      <c r="AQ99" s="62" t="n"/>
      <c r="AR99" s="62" t="n"/>
      <c r="AS99" s="62" t="n"/>
      <c r="AT99" s="62" t="n"/>
      <c r="AU99" s="62" t="n"/>
      <c r="AV99" s="62" t="n"/>
      <c r="AW99" s="62" t="n"/>
      <c r="AX99" s="62" t="n"/>
      <c r="AY99" s="62" t="n"/>
    </row>
    <row r="100">
      <c r="A100" s="38">
        <f>IF(D100="","",COUNTA($D$71:D100))</f>
        <v/>
      </c>
      <c r="B100" s="52" t="n"/>
      <c r="C100" s="68" t="inlineStr">
        <is>
          <t>마케팅3팀</t>
        </is>
      </c>
      <c r="D100" s="52" t="n"/>
      <c r="E100" s="54" t="n"/>
      <c r="F100" s="52" t="n"/>
      <c r="G100" s="55" t="n"/>
      <c r="H100" s="54" t="n"/>
      <c r="I100" s="54" t="n"/>
      <c r="J100" s="54" t="n"/>
      <c r="K100" s="56">
        <f>IF(SUM(U100:AY100)=0,"",SUM(U100:AY100))</f>
        <v/>
      </c>
      <c r="L100" s="57">
        <f>IFERROR(INDEX(U$2:AY$2,MATCH(TRUE,U100:AY100&lt;&gt;"",0)),"")</f>
        <v/>
      </c>
      <c r="M100" s="58">
        <f>IFERROR(LOOKUP(2,1/(U100:AY100&lt;&gt;""),U$2:AY$2),"")</f>
        <v/>
      </c>
      <c r="N100" s="59">
        <f>IF(OR(G100="",M100=""),"",G100-M100)</f>
        <v/>
      </c>
      <c r="O100" s="60" t="n"/>
      <c r="P100" s="61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  <c r="AG100" s="62" t="n"/>
      <c r="AH100" s="62" t="n"/>
      <c r="AI100" s="62" t="n"/>
      <c r="AJ100" s="62" t="n"/>
      <c r="AK100" s="62" t="n"/>
      <c r="AL100" s="62" t="n"/>
      <c r="AM100" s="62" t="n"/>
      <c r="AN100" s="62" t="n"/>
      <c r="AO100" s="62" t="n"/>
      <c r="AP100" s="62" t="n"/>
      <c r="AQ100" s="62" t="n"/>
      <c r="AR100" s="62" t="n"/>
      <c r="AS100" s="62" t="n"/>
      <c r="AT100" s="62" t="n"/>
      <c r="AU100" s="62" t="n"/>
      <c r="AV100" s="62" t="n"/>
      <c r="AW100" s="62" t="n"/>
      <c r="AX100" s="62" t="n"/>
      <c r="AY100" s="62" t="n"/>
    </row>
    <row r="101">
      <c r="A101" s="69" t="inlineStr">
        <is>
          <t>마케팅4팀  (102~131행)</t>
        </is>
      </c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  <c r="AJ101" s="70" t="n"/>
      <c r="AK101" s="70" t="n"/>
      <c r="AL101" s="70" t="n"/>
      <c r="AM101" s="70" t="n"/>
      <c r="AN101" s="70" t="n"/>
      <c r="AO101" s="70" t="n"/>
      <c r="AP101" s="70" t="n"/>
      <c r="AQ101" s="70" t="n"/>
      <c r="AR101" s="70" t="n"/>
      <c r="AS101" s="70" t="n"/>
      <c r="AT101" s="70" t="n"/>
      <c r="AU101" s="70" t="n"/>
      <c r="AV101" s="70" t="n"/>
      <c r="AW101" s="70" t="n"/>
      <c r="AX101" s="70" t="n"/>
      <c r="AY101" s="70" t="n"/>
    </row>
    <row r="102">
      <c r="A102" s="38">
        <f>IF(D102="","",COUNTA($D$102:D102))</f>
        <v/>
      </c>
      <c r="B102" s="52" t="n"/>
      <c r="C102" s="71" t="inlineStr">
        <is>
          <t>마케팅4팀</t>
        </is>
      </c>
      <c r="D102" s="52" t="n"/>
      <c r="E102" s="54" t="n"/>
      <c r="F102" s="52" t="n"/>
      <c r="G102" s="55" t="n"/>
      <c r="H102" s="54" t="n"/>
      <c r="I102" s="54" t="n"/>
      <c r="J102" s="54" t="n"/>
      <c r="K102" s="56">
        <f>IF(SUM(U102:AY102)=0,"",SUM(U102:AY102))</f>
        <v/>
      </c>
      <c r="L102" s="57">
        <f>IFERROR(INDEX(U$2:AY$2,MATCH(TRUE,U102:AY102&lt;&gt;"",0)),"")</f>
        <v/>
      </c>
      <c r="M102" s="58">
        <f>IFERROR(LOOKUP(2,1/(U102:AY102&lt;&gt;""),U$2:AY$2),"")</f>
        <v/>
      </c>
      <c r="N102" s="59">
        <f>IF(OR(G102="",M102=""),"",G102-M102)</f>
        <v/>
      </c>
      <c r="O102" s="60" t="n"/>
      <c r="P102" s="61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  <c r="AG102" s="62" t="n"/>
      <c r="AH102" s="62" t="n"/>
      <c r="AI102" s="62" t="n"/>
      <c r="AJ102" s="62" t="n"/>
      <c r="AK102" s="62" t="n"/>
      <c r="AL102" s="62" t="n"/>
      <c r="AM102" s="62" t="n"/>
      <c r="AN102" s="62" t="n"/>
      <c r="AO102" s="62" t="n"/>
      <c r="AP102" s="62" t="n"/>
      <c r="AQ102" s="62" t="n"/>
      <c r="AR102" s="62" t="n"/>
      <c r="AS102" s="62" t="n"/>
      <c r="AT102" s="62" t="n"/>
      <c r="AU102" s="62" t="n"/>
      <c r="AV102" s="62" t="n"/>
      <c r="AW102" s="62" t="n"/>
      <c r="AX102" s="62" t="n"/>
      <c r="AY102" s="62" t="n"/>
    </row>
    <row r="103">
      <c r="A103" s="38">
        <f>IF(D103="","",COUNTA($D$102:D103))</f>
        <v/>
      </c>
      <c r="B103" s="52" t="n"/>
      <c r="C103" s="71" t="inlineStr">
        <is>
          <t>마케팅4팀</t>
        </is>
      </c>
      <c r="D103" s="52" t="n"/>
      <c r="E103" s="54" t="n"/>
      <c r="F103" s="52" t="n"/>
      <c r="G103" s="55" t="n"/>
      <c r="H103" s="54" t="n"/>
      <c r="I103" s="54" t="n"/>
      <c r="J103" s="54" t="n"/>
      <c r="K103" s="56">
        <f>IF(SUM(U103:AY103)=0,"",SUM(U103:AY103))</f>
        <v/>
      </c>
      <c r="L103" s="57">
        <f>IFERROR(INDEX(U$2:AY$2,MATCH(TRUE,U103:AY103&lt;&gt;"",0)),"")</f>
        <v/>
      </c>
      <c r="M103" s="58">
        <f>IFERROR(LOOKUP(2,1/(U103:AY103&lt;&gt;""),U$2:AY$2),"")</f>
        <v/>
      </c>
      <c r="N103" s="59">
        <f>IF(OR(G103="",M103=""),"",G103-M103)</f>
        <v/>
      </c>
      <c r="O103" s="60" t="n"/>
      <c r="P103" s="61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  <c r="AG103" s="62" t="n"/>
      <c r="AH103" s="62" t="n"/>
      <c r="AI103" s="62" t="n"/>
      <c r="AJ103" s="62" t="n"/>
      <c r="AK103" s="62" t="n"/>
      <c r="AL103" s="62" t="n"/>
      <c r="AM103" s="62" t="n"/>
      <c r="AN103" s="62" t="n"/>
      <c r="AO103" s="62" t="n"/>
      <c r="AP103" s="62" t="n"/>
      <c r="AQ103" s="62" t="n"/>
      <c r="AR103" s="62" t="n"/>
      <c r="AS103" s="62" t="n"/>
      <c r="AT103" s="62" t="n"/>
      <c r="AU103" s="62" t="n"/>
      <c r="AV103" s="62" t="n"/>
      <c r="AW103" s="62" t="n"/>
      <c r="AX103" s="62" t="n"/>
      <c r="AY103" s="62" t="n"/>
    </row>
    <row r="104">
      <c r="A104" s="38">
        <f>IF(D104="","",COUNTA($D$102:D104))</f>
        <v/>
      </c>
      <c r="B104" s="52" t="n"/>
      <c r="C104" s="71" t="inlineStr">
        <is>
          <t>마케팅4팀</t>
        </is>
      </c>
      <c r="D104" s="52" t="n"/>
      <c r="E104" s="54" t="n"/>
      <c r="F104" s="52" t="n"/>
      <c r="G104" s="55" t="n"/>
      <c r="H104" s="54" t="n"/>
      <c r="I104" s="54" t="n"/>
      <c r="J104" s="54" t="n"/>
      <c r="K104" s="56">
        <f>IF(SUM(U104:AY104)=0,"",SUM(U104:AY104))</f>
        <v/>
      </c>
      <c r="L104" s="57">
        <f>IFERROR(INDEX(U$2:AY$2,MATCH(TRUE,U104:AY104&lt;&gt;"",0)),"")</f>
        <v/>
      </c>
      <c r="M104" s="58">
        <f>IFERROR(LOOKUP(2,1/(U104:AY104&lt;&gt;""),U$2:AY$2),"")</f>
        <v/>
      </c>
      <c r="N104" s="59">
        <f>IF(OR(G104="",M104=""),"",G104-M104)</f>
        <v/>
      </c>
      <c r="O104" s="60" t="n"/>
      <c r="P104" s="61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  <c r="AG104" s="62" t="n"/>
      <c r="AH104" s="62" t="n"/>
      <c r="AI104" s="62" t="n"/>
      <c r="AJ104" s="62" t="n"/>
      <c r="AK104" s="62" t="n"/>
      <c r="AL104" s="62" t="n"/>
      <c r="AM104" s="62" t="n"/>
      <c r="AN104" s="62" t="n"/>
      <c r="AO104" s="62" t="n"/>
      <c r="AP104" s="62" t="n"/>
      <c r="AQ104" s="62" t="n"/>
      <c r="AR104" s="62" t="n"/>
      <c r="AS104" s="62" t="n"/>
      <c r="AT104" s="62" t="n"/>
      <c r="AU104" s="62" t="n"/>
      <c r="AV104" s="62" t="n"/>
      <c r="AW104" s="62" t="n"/>
      <c r="AX104" s="62" t="n"/>
      <c r="AY104" s="62" t="n"/>
    </row>
    <row r="105">
      <c r="A105" s="38">
        <f>IF(D105="","",COUNTA($D$102:D105))</f>
        <v/>
      </c>
      <c r="B105" s="52" t="n"/>
      <c r="C105" s="71" t="inlineStr">
        <is>
          <t>마케팅4팀</t>
        </is>
      </c>
      <c r="D105" s="52" t="n"/>
      <c r="E105" s="54" t="n"/>
      <c r="F105" s="52" t="n"/>
      <c r="G105" s="55" t="n"/>
      <c r="H105" s="54" t="n"/>
      <c r="I105" s="54" t="n"/>
      <c r="J105" s="54" t="n"/>
      <c r="K105" s="56">
        <f>IF(SUM(U105:AY105)=0,"",SUM(U105:AY105))</f>
        <v/>
      </c>
      <c r="L105" s="57">
        <f>IFERROR(INDEX(U$2:AY$2,MATCH(TRUE,U105:AY105&lt;&gt;"",0)),"")</f>
        <v/>
      </c>
      <c r="M105" s="58">
        <f>IFERROR(LOOKUP(2,1/(U105:AY105&lt;&gt;""),U$2:AY$2),"")</f>
        <v/>
      </c>
      <c r="N105" s="59">
        <f>IF(OR(G105="",M105=""),"",G105-M105)</f>
        <v/>
      </c>
      <c r="O105" s="60" t="n"/>
      <c r="P105" s="61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  <c r="AG105" s="62" t="n"/>
      <c r="AH105" s="62" t="n"/>
      <c r="AI105" s="62" t="n"/>
      <c r="AJ105" s="62" t="n"/>
      <c r="AK105" s="62" t="n"/>
      <c r="AL105" s="62" t="n"/>
      <c r="AM105" s="62" t="n"/>
      <c r="AN105" s="62" t="n"/>
      <c r="AO105" s="62" t="n"/>
      <c r="AP105" s="62" t="n"/>
      <c r="AQ105" s="62" t="n"/>
      <c r="AR105" s="62" t="n"/>
      <c r="AS105" s="62" t="n"/>
      <c r="AT105" s="62" t="n"/>
      <c r="AU105" s="62" t="n"/>
      <c r="AV105" s="62" t="n"/>
      <c r="AW105" s="62" t="n"/>
      <c r="AX105" s="62" t="n"/>
      <c r="AY105" s="62" t="n"/>
    </row>
    <row r="106">
      <c r="A106" s="38">
        <f>IF(D106="","",COUNTA($D$102:D106))</f>
        <v/>
      </c>
      <c r="B106" s="52" t="n"/>
      <c r="C106" s="71" t="inlineStr">
        <is>
          <t>마케팅4팀</t>
        </is>
      </c>
      <c r="D106" s="52" t="n"/>
      <c r="E106" s="54" t="n"/>
      <c r="F106" s="52" t="n"/>
      <c r="G106" s="55" t="n"/>
      <c r="H106" s="54" t="n"/>
      <c r="I106" s="54" t="n"/>
      <c r="J106" s="54" t="n"/>
      <c r="K106" s="56">
        <f>IF(SUM(U106:AY106)=0,"",SUM(U106:AY106))</f>
        <v/>
      </c>
      <c r="L106" s="57">
        <f>IFERROR(INDEX(U$2:AY$2,MATCH(TRUE,U106:AY106&lt;&gt;"",0)),"")</f>
        <v/>
      </c>
      <c r="M106" s="58">
        <f>IFERROR(LOOKUP(2,1/(U106:AY106&lt;&gt;""),U$2:AY$2),"")</f>
        <v/>
      </c>
      <c r="N106" s="59">
        <f>IF(OR(G106="",M106=""),"",G106-M106)</f>
        <v/>
      </c>
      <c r="O106" s="60" t="n"/>
      <c r="P106" s="61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  <c r="AG106" s="62" t="n"/>
      <c r="AH106" s="62" t="n"/>
      <c r="AI106" s="62" t="n"/>
      <c r="AJ106" s="62" t="n"/>
      <c r="AK106" s="62" t="n"/>
      <c r="AL106" s="62" t="n"/>
      <c r="AM106" s="62" t="n"/>
      <c r="AN106" s="62" t="n"/>
      <c r="AO106" s="62" t="n"/>
      <c r="AP106" s="62" t="n"/>
      <c r="AQ106" s="62" t="n"/>
      <c r="AR106" s="62" t="n"/>
      <c r="AS106" s="62" t="n"/>
      <c r="AT106" s="62" t="n"/>
      <c r="AU106" s="62" t="n"/>
      <c r="AV106" s="62" t="n"/>
      <c r="AW106" s="62" t="n"/>
      <c r="AX106" s="62" t="n"/>
      <c r="AY106" s="62" t="n"/>
    </row>
    <row r="107">
      <c r="A107" s="38">
        <f>IF(D107="","",COUNTA($D$102:D107))</f>
        <v/>
      </c>
      <c r="B107" s="52" t="n"/>
      <c r="C107" s="71" t="inlineStr">
        <is>
          <t>마케팅4팀</t>
        </is>
      </c>
      <c r="D107" s="52" t="n"/>
      <c r="E107" s="54" t="n"/>
      <c r="F107" s="52" t="n"/>
      <c r="G107" s="55" t="n"/>
      <c r="H107" s="54" t="n"/>
      <c r="I107" s="54" t="n"/>
      <c r="J107" s="54" t="n"/>
      <c r="K107" s="56">
        <f>IF(SUM(U107:AY107)=0,"",SUM(U107:AY107))</f>
        <v/>
      </c>
      <c r="L107" s="57">
        <f>IFERROR(INDEX(U$2:AY$2,MATCH(TRUE,U107:AY107&lt;&gt;"",0)),"")</f>
        <v/>
      </c>
      <c r="M107" s="58">
        <f>IFERROR(LOOKUP(2,1/(U107:AY107&lt;&gt;""),U$2:AY$2),"")</f>
        <v/>
      </c>
      <c r="N107" s="59">
        <f>IF(OR(G107="",M107=""),"",G107-M107)</f>
        <v/>
      </c>
      <c r="O107" s="60" t="n"/>
      <c r="P107" s="61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  <c r="AG107" s="62" t="n"/>
      <c r="AH107" s="62" t="n"/>
      <c r="AI107" s="62" t="n"/>
      <c r="AJ107" s="62" t="n"/>
      <c r="AK107" s="62" t="n"/>
      <c r="AL107" s="62" t="n"/>
      <c r="AM107" s="62" t="n"/>
      <c r="AN107" s="62" t="n"/>
      <c r="AO107" s="62" t="n"/>
      <c r="AP107" s="62" t="n"/>
      <c r="AQ107" s="62" t="n"/>
      <c r="AR107" s="62" t="n"/>
      <c r="AS107" s="62" t="n"/>
      <c r="AT107" s="62" t="n"/>
      <c r="AU107" s="62" t="n"/>
      <c r="AV107" s="62" t="n"/>
      <c r="AW107" s="62" t="n"/>
      <c r="AX107" s="62" t="n"/>
      <c r="AY107" s="62" t="n"/>
    </row>
    <row r="108">
      <c r="A108" s="38">
        <f>IF(D108="","",COUNTA($D$102:D108))</f>
        <v/>
      </c>
      <c r="B108" s="52" t="n"/>
      <c r="C108" s="71" t="inlineStr">
        <is>
          <t>마케팅4팀</t>
        </is>
      </c>
      <c r="D108" s="52" t="n"/>
      <c r="E108" s="54" t="n"/>
      <c r="F108" s="52" t="n"/>
      <c r="G108" s="55" t="n"/>
      <c r="H108" s="54" t="n"/>
      <c r="I108" s="54" t="n"/>
      <c r="J108" s="54" t="n"/>
      <c r="K108" s="56">
        <f>IF(SUM(U108:AY108)=0,"",SUM(U108:AY108))</f>
        <v/>
      </c>
      <c r="L108" s="57">
        <f>IFERROR(INDEX(U$2:AY$2,MATCH(TRUE,U108:AY108&lt;&gt;"",0)),"")</f>
        <v/>
      </c>
      <c r="M108" s="58">
        <f>IFERROR(LOOKUP(2,1/(U108:AY108&lt;&gt;""),U$2:AY$2),"")</f>
        <v/>
      </c>
      <c r="N108" s="59">
        <f>IF(OR(G108="",M108=""),"",G108-M108)</f>
        <v/>
      </c>
      <c r="O108" s="60" t="n"/>
      <c r="P108" s="61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  <c r="AG108" s="62" t="n"/>
      <c r="AH108" s="62" t="n"/>
      <c r="AI108" s="62" t="n"/>
      <c r="AJ108" s="62" t="n"/>
      <c r="AK108" s="62" t="n"/>
      <c r="AL108" s="62" t="n"/>
      <c r="AM108" s="62" t="n"/>
      <c r="AN108" s="62" t="n"/>
      <c r="AO108" s="62" t="n"/>
      <c r="AP108" s="62" t="n"/>
      <c r="AQ108" s="62" t="n"/>
      <c r="AR108" s="62" t="n"/>
      <c r="AS108" s="62" t="n"/>
      <c r="AT108" s="62" t="n"/>
      <c r="AU108" s="62" t="n"/>
      <c r="AV108" s="62" t="n"/>
      <c r="AW108" s="62" t="n"/>
      <c r="AX108" s="62" t="n"/>
      <c r="AY108" s="62" t="n"/>
    </row>
    <row r="109">
      <c r="A109" s="38">
        <f>IF(D109="","",COUNTA($D$102:D109))</f>
        <v/>
      </c>
      <c r="B109" s="52" t="n"/>
      <c r="C109" s="71" t="inlineStr">
        <is>
          <t>마케팅4팀</t>
        </is>
      </c>
      <c r="D109" s="52" t="n"/>
      <c r="E109" s="54" t="n"/>
      <c r="F109" s="52" t="n"/>
      <c r="G109" s="55" t="n"/>
      <c r="H109" s="54" t="n"/>
      <c r="I109" s="54" t="n"/>
      <c r="J109" s="54" t="n"/>
      <c r="K109" s="56">
        <f>IF(SUM(U109:AY109)=0,"",SUM(U109:AY109))</f>
        <v/>
      </c>
      <c r="L109" s="57">
        <f>IFERROR(INDEX(U$2:AY$2,MATCH(TRUE,U109:AY109&lt;&gt;"",0)),"")</f>
        <v/>
      </c>
      <c r="M109" s="58">
        <f>IFERROR(LOOKUP(2,1/(U109:AY109&lt;&gt;""),U$2:AY$2),"")</f>
        <v/>
      </c>
      <c r="N109" s="59">
        <f>IF(OR(G109="",M109=""),"",G109-M109)</f>
        <v/>
      </c>
      <c r="O109" s="60" t="n"/>
      <c r="P109" s="61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  <c r="AG109" s="62" t="n"/>
      <c r="AH109" s="62" t="n"/>
      <c r="AI109" s="62" t="n"/>
      <c r="AJ109" s="62" t="n"/>
      <c r="AK109" s="62" t="n"/>
      <c r="AL109" s="62" t="n"/>
      <c r="AM109" s="62" t="n"/>
      <c r="AN109" s="62" t="n"/>
      <c r="AO109" s="62" t="n"/>
      <c r="AP109" s="62" t="n"/>
      <c r="AQ109" s="62" t="n"/>
      <c r="AR109" s="62" t="n"/>
      <c r="AS109" s="62" t="n"/>
      <c r="AT109" s="62" t="n"/>
      <c r="AU109" s="62" t="n"/>
      <c r="AV109" s="62" t="n"/>
      <c r="AW109" s="62" t="n"/>
      <c r="AX109" s="62" t="n"/>
      <c r="AY109" s="62" t="n"/>
    </row>
    <row r="110">
      <c r="A110" s="38">
        <f>IF(D110="","",COUNTA($D$102:D110))</f>
        <v/>
      </c>
      <c r="B110" s="52" t="n"/>
      <c r="C110" s="71" t="inlineStr">
        <is>
          <t>마케팅4팀</t>
        </is>
      </c>
      <c r="D110" s="52" t="n"/>
      <c r="E110" s="54" t="n"/>
      <c r="F110" s="52" t="n"/>
      <c r="G110" s="55" t="n"/>
      <c r="H110" s="54" t="n"/>
      <c r="I110" s="54" t="n"/>
      <c r="J110" s="54" t="n"/>
      <c r="K110" s="56">
        <f>IF(SUM(U110:AY110)=0,"",SUM(U110:AY110))</f>
        <v/>
      </c>
      <c r="L110" s="57">
        <f>IFERROR(INDEX(U$2:AY$2,MATCH(TRUE,U110:AY110&lt;&gt;"",0)),"")</f>
        <v/>
      </c>
      <c r="M110" s="58">
        <f>IFERROR(LOOKUP(2,1/(U110:AY110&lt;&gt;""),U$2:AY$2),"")</f>
        <v/>
      </c>
      <c r="N110" s="59">
        <f>IF(OR(G110="",M110=""),"",G110-M110)</f>
        <v/>
      </c>
      <c r="O110" s="60" t="n"/>
      <c r="P110" s="61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  <c r="AG110" s="62" t="n"/>
      <c r="AH110" s="62" t="n"/>
      <c r="AI110" s="62" t="n"/>
      <c r="AJ110" s="62" t="n"/>
      <c r="AK110" s="62" t="n"/>
      <c r="AL110" s="62" t="n"/>
      <c r="AM110" s="62" t="n"/>
      <c r="AN110" s="62" t="n"/>
      <c r="AO110" s="62" t="n"/>
      <c r="AP110" s="62" t="n"/>
      <c r="AQ110" s="62" t="n"/>
      <c r="AR110" s="62" t="n"/>
      <c r="AS110" s="62" t="n"/>
      <c r="AT110" s="62" t="n"/>
      <c r="AU110" s="62" t="n"/>
      <c r="AV110" s="62" t="n"/>
      <c r="AW110" s="62" t="n"/>
      <c r="AX110" s="62" t="n"/>
      <c r="AY110" s="62" t="n"/>
    </row>
    <row r="111">
      <c r="A111" s="38">
        <f>IF(D111="","",COUNTA($D$102:D111))</f>
        <v/>
      </c>
      <c r="B111" s="52" t="n"/>
      <c r="C111" s="71" t="inlineStr">
        <is>
          <t>마케팅4팀</t>
        </is>
      </c>
      <c r="D111" s="52" t="n"/>
      <c r="E111" s="54" t="n"/>
      <c r="F111" s="52" t="n"/>
      <c r="G111" s="55" t="n"/>
      <c r="H111" s="54" t="n"/>
      <c r="I111" s="54" t="n"/>
      <c r="J111" s="54" t="n"/>
      <c r="K111" s="56">
        <f>IF(SUM(U111:AY111)=0,"",SUM(U111:AY111))</f>
        <v/>
      </c>
      <c r="L111" s="57">
        <f>IFERROR(INDEX(U$2:AY$2,MATCH(TRUE,U111:AY111&lt;&gt;"",0)),"")</f>
        <v/>
      </c>
      <c r="M111" s="58">
        <f>IFERROR(LOOKUP(2,1/(U111:AY111&lt;&gt;""),U$2:AY$2),"")</f>
        <v/>
      </c>
      <c r="N111" s="59">
        <f>IF(OR(G111="",M111=""),"",G111-M111)</f>
        <v/>
      </c>
      <c r="O111" s="60" t="n"/>
      <c r="P111" s="61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  <c r="AG111" s="62" t="n"/>
      <c r="AH111" s="62" t="n"/>
      <c r="AI111" s="62" t="n"/>
      <c r="AJ111" s="62" t="n"/>
      <c r="AK111" s="62" t="n"/>
      <c r="AL111" s="62" t="n"/>
      <c r="AM111" s="62" t="n"/>
      <c r="AN111" s="62" t="n"/>
      <c r="AO111" s="62" t="n"/>
      <c r="AP111" s="62" t="n"/>
      <c r="AQ111" s="62" t="n"/>
      <c r="AR111" s="62" t="n"/>
      <c r="AS111" s="62" t="n"/>
      <c r="AT111" s="62" t="n"/>
      <c r="AU111" s="62" t="n"/>
      <c r="AV111" s="62" t="n"/>
      <c r="AW111" s="62" t="n"/>
      <c r="AX111" s="62" t="n"/>
      <c r="AY111" s="62" t="n"/>
    </row>
    <row r="112">
      <c r="A112" s="38">
        <f>IF(D112="","",COUNTA($D$102:D112))</f>
        <v/>
      </c>
      <c r="B112" s="52" t="n"/>
      <c r="C112" s="71" t="inlineStr">
        <is>
          <t>마케팅4팀</t>
        </is>
      </c>
      <c r="D112" s="52" t="n"/>
      <c r="E112" s="54" t="n"/>
      <c r="F112" s="52" t="n"/>
      <c r="G112" s="55" t="n"/>
      <c r="H112" s="54" t="n"/>
      <c r="I112" s="54" t="n"/>
      <c r="J112" s="54" t="n"/>
      <c r="K112" s="56">
        <f>IF(SUM(U112:AY112)=0,"",SUM(U112:AY112))</f>
        <v/>
      </c>
      <c r="L112" s="57">
        <f>IFERROR(INDEX(U$2:AY$2,MATCH(TRUE,U112:AY112&lt;&gt;"",0)),"")</f>
        <v/>
      </c>
      <c r="M112" s="58">
        <f>IFERROR(LOOKUP(2,1/(U112:AY112&lt;&gt;""),U$2:AY$2),"")</f>
        <v/>
      </c>
      <c r="N112" s="59">
        <f>IF(OR(G112="",M112=""),"",G112-M112)</f>
        <v/>
      </c>
      <c r="O112" s="60" t="n"/>
      <c r="P112" s="61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  <c r="AG112" s="62" t="n"/>
      <c r="AH112" s="62" t="n"/>
      <c r="AI112" s="62" t="n"/>
      <c r="AJ112" s="62" t="n"/>
      <c r="AK112" s="62" t="n"/>
      <c r="AL112" s="62" t="n"/>
      <c r="AM112" s="62" t="n"/>
      <c r="AN112" s="62" t="n"/>
      <c r="AO112" s="62" t="n"/>
      <c r="AP112" s="62" t="n"/>
      <c r="AQ112" s="62" t="n"/>
      <c r="AR112" s="62" t="n"/>
      <c r="AS112" s="62" t="n"/>
      <c r="AT112" s="62" t="n"/>
      <c r="AU112" s="62" t="n"/>
      <c r="AV112" s="62" t="n"/>
      <c r="AW112" s="62" t="n"/>
      <c r="AX112" s="62" t="n"/>
      <c r="AY112" s="62" t="n"/>
    </row>
    <row r="113">
      <c r="A113" s="38">
        <f>IF(D113="","",COUNTA($D$102:D113))</f>
        <v/>
      </c>
      <c r="B113" s="52" t="n"/>
      <c r="C113" s="71" t="inlineStr">
        <is>
          <t>마케팅4팀</t>
        </is>
      </c>
      <c r="D113" s="52" t="n"/>
      <c r="E113" s="54" t="n"/>
      <c r="F113" s="52" t="n"/>
      <c r="G113" s="55" t="n"/>
      <c r="H113" s="54" t="n"/>
      <c r="I113" s="54" t="n"/>
      <c r="J113" s="54" t="n"/>
      <c r="K113" s="56">
        <f>IF(SUM(U113:AY113)=0,"",SUM(U113:AY113))</f>
        <v/>
      </c>
      <c r="L113" s="57">
        <f>IFERROR(INDEX(U$2:AY$2,MATCH(TRUE,U113:AY113&lt;&gt;"",0)),"")</f>
        <v/>
      </c>
      <c r="M113" s="58">
        <f>IFERROR(LOOKUP(2,1/(U113:AY113&lt;&gt;""),U$2:AY$2),"")</f>
        <v/>
      </c>
      <c r="N113" s="59">
        <f>IF(OR(G113="",M113=""),"",G113-M113)</f>
        <v/>
      </c>
      <c r="O113" s="60" t="n"/>
      <c r="P113" s="61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  <c r="AG113" s="62" t="n"/>
      <c r="AH113" s="62" t="n"/>
      <c r="AI113" s="62" t="n"/>
      <c r="AJ113" s="62" t="n"/>
      <c r="AK113" s="62" t="n"/>
      <c r="AL113" s="62" t="n"/>
      <c r="AM113" s="62" t="n"/>
      <c r="AN113" s="62" t="n"/>
      <c r="AO113" s="62" t="n"/>
      <c r="AP113" s="62" t="n"/>
      <c r="AQ113" s="62" t="n"/>
      <c r="AR113" s="62" t="n"/>
      <c r="AS113" s="62" t="n"/>
      <c r="AT113" s="62" t="n"/>
      <c r="AU113" s="62" t="n"/>
      <c r="AV113" s="62" t="n"/>
      <c r="AW113" s="62" t="n"/>
      <c r="AX113" s="62" t="n"/>
      <c r="AY113" s="62" t="n"/>
    </row>
    <row r="114">
      <c r="A114" s="38">
        <f>IF(D114="","",COUNTA($D$102:D114))</f>
        <v/>
      </c>
      <c r="B114" s="52" t="n"/>
      <c r="C114" s="71" t="inlineStr">
        <is>
          <t>마케팅4팀</t>
        </is>
      </c>
      <c r="D114" s="52" t="n"/>
      <c r="E114" s="54" t="n"/>
      <c r="F114" s="52" t="n"/>
      <c r="G114" s="55" t="n"/>
      <c r="H114" s="54" t="n"/>
      <c r="I114" s="54" t="n"/>
      <c r="J114" s="54" t="n"/>
      <c r="K114" s="56">
        <f>IF(SUM(U114:AY114)=0,"",SUM(U114:AY114))</f>
        <v/>
      </c>
      <c r="L114" s="57">
        <f>IFERROR(INDEX(U$2:AY$2,MATCH(TRUE,U114:AY114&lt;&gt;"",0)),"")</f>
        <v/>
      </c>
      <c r="M114" s="58">
        <f>IFERROR(LOOKUP(2,1/(U114:AY114&lt;&gt;""),U$2:AY$2),"")</f>
        <v/>
      </c>
      <c r="N114" s="59">
        <f>IF(OR(G114="",M114=""),"",G114-M114)</f>
        <v/>
      </c>
      <c r="O114" s="60" t="n"/>
      <c r="P114" s="61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  <c r="AG114" s="62" t="n"/>
      <c r="AH114" s="62" t="n"/>
      <c r="AI114" s="62" t="n"/>
      <c r="AJ114" s="62" t="n"/>
      <c r="AK114" s="62" t="n"/>
      <c r="AL114" s="62" t="n"/>
      <c r="AM114" s="62" t="n"/>
      <c r="AN114" s="62" t="n"/>
      <c r="AO114" s="62" t="n"/>
      <c r="AP114" s="62" t="n"/>
      <c r="AQ114" s="62" t="n"/>
      <c r="AR114" s="62" t="n"/>
      <c r="AS114" s="62" t="n"/>
      <c r="AT114" s="62" t="n"/>
      <c r="AU114" s="62" t="n"/>
      <c r="AV114" s="62" t="n"/>
      <c r="AW114" s="62" t="n"/>
      <c r="AX114" s="62" t="n"/>
      <c r="AY114" s="62" t="n"/>
    </row>
    <row r="115">
      <c r="A115" s="38">
        <f>IF(D115="","",COUNTA($D$102:D115))</f>
        <v/>
      </c>
      <c r="B115" s="52" t="n"/>
      <c r="C115" s="71" t="inlineStr">
        <is>
          <t>마케팅4팀</t>
        </is>
      </c>
      <c r="D115" s="52" t="n"/>
      <c r="E115" s="54" t="n"/>
      <c r="F115" s="52" t="n"/>
      <c r="G115" s="55" t="n"/>
      <c r="H115" s="54" t="n"/>
      <c r="I115" s="54" t="n"/>
      <c r="J115" s="54" t="n"/>
      <c r="K115" s="56">
        <f>IF(SUM(U115:AY115)=0,"",SUM(U115:AY115))</f>
        <v/>
      </c>
      <c r="L115" s="57">
        <f>IFERROR(INDEX(U$2:AY$2,MATCH(TRUE,U115:AY115&lt;&gt;"",0)),"")</f>
        <v/>
      </c>
      <c r="M115" s="58">
        <f>IFERROR(LOOKUP(2,1/(U115:AY115&lt;&gt;""),U$2:AY$2),"")</f>
        <v/>
      </c>
      <c r="N115" s="59">
        <f>IF(OR(G115="",M115=""),"",G115-M115)</f>
        <v/>
      </c>
      <c r="O115" s="60" t="n"/>
      <c r="P115" s="61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  <c r="AG115" s="62" t="n"/>
      <c r="AH115" s="62" t="n"/>
      <c r="AI115" s="62" t="n"/>
      <c r="AJ115" s="62" t="n"/>
      <c r="AK115" s="62" t="n"/>
      <c r="AL115" s="62" t="n"/>
      <c r="AM115" s="62" t="n"/>
      <c r="AN115" s="62" t="n"/>
      <c r="AO115" s="62" t="n"/>
      <c r="AP115" s="62" t="n"/>
      <c r="AQ115" s="62" t="n"/>
      <c r="AR115" s="62" t="n"/>
      <c r="AS115" s="62" t="n"/>
      <c r="AT115" s="62" t="n"/>
      <c r="AU115" s="62" t="n"/>
      <c r="AV115" s="62" t="n"/>
      <c r="AW115" s="62" t="n"/>
      <c r="AX115" s="62" t="n"/>
      <c r="AY115" s="62" t="n"/>
    </row>
    <row r="116">
      <c r="A116" s="38">
        <f>IF(D116="","",COUNTA($D$102:D116))</f>
        <v/>
      </c>
      <c r="B116" s="52" t="n"/>
      <c r="C116" s="71" t="inlineStr">
        <is>
          <t>마케팅4팀</t>
        </is>
      </c>
      <c r="D116" s="52" t="n"/>
      <c r="E116" s="54" t="n"/>
      <c r="F116" s="52" t="n"/>
      <c r="G116" s="55" t="n"/>
      <c r="H116" s="54" t="n"/>
      <c r="I116" s="54" t="n"/>
      <c r="J116" s="54" t="n"/>
      <c r="K116" s="56">
        <f>IF(SUM(U116:AY116)=0,"",SUM(U116:AY116))</f>
        <v/>
      </c>
      <c r="L116" s="57">
        <f>IFERROR(INDEX(U$2:AY$2,MATCH(TRUE,U116:AY116&lt;&gt;"",0)),"")</f>
        <v/>
      </c>
      <c r="M116" s="58">
        <f>IFERROR(LOOKUP(2,1/(U116:AY116&lt;&gt;""),U$2:AY$2),"")</f>
        <v/>
      </c>
      <c r="N116" s="59">
        <f>IF(OR(G116="",M116=""),"",G116-M116)</f>
        <v/>
      </c>
      <c r="O116" s="60" t="n"/>
      <c r="P116" s="61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  <c r="AG116" s="62" t="n"/>
      <c r="AH116" s="62" t="n"/>
      <c r="AI116" s="62" t="n"/>
      <c r="AJ116" s="62" t="n"/>
      <c r="AK116" s="62" t="n"/>
      <c r="AL116" s="62" t="n"/>
      <c r="AM116" s="62" t="n"/>
      <c r="AN116" s="62" t="n"/>
      <c r="AO116" s="62" t="n"/>
      <c r="AP116" s="62" t="n"/>
      <c r="AQ116" s="62" t="n"/>
      <c r="AR116" s="62" t="n"/>
      <c r="AS116" s="62" t="n"/>
      <c r="AT116" s="62" t="n"/>
      <c r="AU116" s="62" t="n"/>
      <c r="AV116" s="62" t="n"/>
      <c r="AW116" s="62" t="n"/>
      <c r="AX116" s="62" t="n"/>
      <c r="AY116" s="62" t="n"/>
    </row>
    <row r="117">
      <c r="A117" s="38">
        <f>IF(D117="","",COUNTA($D$102:D117))</f>
        <v/>
      </c>
      <c r="B117" s="52" t="n"/>
      <c r="C117" s="71" t="inlineStr">
        <is>
          <t>마케팅4팀</t>
        </is>
      </c>
      <c r="D117" s="52" t="n"/>
      <c r="E117" s="54" t="n"/>
      <c r="F117" s="52" t="n"/>
      <c r="G117" s="55" t="n"/>
      <c r="H117" s="54" t="n"/>
      <c r="I117" s="54" t="n"/>
      <c r="J117" s="54" t="n"/>
      <c r="K117" s="56">
        <f>IF(SUM(U117:AY117)=0,"",SUM(U117:AY117))</f>
        <v/>
      </c>
      <c r="L117" s="57">
        <f>IFERROR(INDEX(U$2:AY$2,MATCH(TRUE,U117:AY117&lt;&gt;"",0)),"")</f>
        <v/>
      </c>
      <c r="M117" s="58">
        <f>IFERROR(LOOKUP(2,1/(U117:AY117&lt;&gt;""),U$2:AY$2),"")</f>
        <v/>
      </c>
      <c r="N117" s="59">
        <f>IF(OR(G117="",M117=""),"",G117-M117)</f>
        <v/>
      </c>
      <c r="O117" s="60" t="n"/>
      <c r="P117" s="61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  <c r="AG117" s="62" t="n"/>
      <c r="AH117" s="62" t="n"/>
      <c r="AI117" s="62" t="n"/>
      <c r="AJ117" s="62" t="n"/>
      <c r="AK117" s="62" t="n"/>
      <c r="AL117" s="62" t="n"/>
      <c r="AM117" s="62" t="n"/>
      <c r="AN117" s="62" t="n"/>
      <c r="AO117" s="62" t="n"/>
      <c r="AP117" s="62" t="n"/>
      <c r="AQ117" s="62" t="n"/>
      <c r="AR117" s="62" t="n"/>
      <c r="AS117" s="62" t="n"/>
      <c r="AT117" s="62" t="n"/>
      <c r="AU117" s="62" t="n"/>
      <c r="AV117" s="62" t="n"/>
      <c r="AW117" s="62" t="n"/>
      <c r="AX117" s="62" t="n"/>
      <c r="AY117" s="62" t="n"/>
    </row>
    <row r="118">
      <c r="A118" s="38">
        <f>IF(D118="","",COUNTA($D$102:D118))</f>
        <v/>
      </c>
      <c r="B118" s="52" t="n"/>
      <c r="C118" s="71" t="inlineStr">
        <is>
          <t>마케팅4팀</t>
        </is>
      </c>
      <c r="D118" s="52" t="n"/>
      <c r="E118" s="54" t="n"/>
      <c r="F118" s="52" t="n"/>
      <c r="G118" s="55" t="n"/>
      <c r="H118" s="54" t="n"/>
      <c r="I118" s="54" t="n"/>
      <c r="J118" s="54" t="n"/>
      <c r="K118" s="56">
        <f>IF(SUM(U118:AY118)=0,"",SUM(U118:AY118))</f>
        <v/>
      </c>
      <c r="L118" s="57">
        <f>IFERROR(INDEX(U$2:AY$2,MATCH(TRUE,U118:AY118&lt;&gt;"",0)),"")</f>
        <v/>
      </c>
      <c r="M118" s="58">
        <f>IFERROR(LOOKUP(2,1/(U118:AY118&lt;&gt;""),U$2:AY$2),"")</f>
        <v/>
      </c>
      <c r="N118" s="59">
        <f>IF(OR(G118="",M118=""),"",G118-M118)</f>
        <v/>
      </c>
      <c r="O118" s="60" t="n"/>
      <c r="P118" s="61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  <c r="AG118" s="62" t="n"/>
      <c r="AH118" s="62" t="n"/>
      <c r="AI118" s="62" t="n"/>
      <c r="AJ118" s="62" t="n"/>
      <c r="AK118" s="62" t="n"/>
      <c r="AL118" s="62" t="n"/>
      <c r="AM118" s="62" t="n"/>
      <c r="AN118" s="62" t="n"/>
      <c r="AO118" s="62" t="n"/>
      <c r="AP118" s="62" t="n"/>
      <c r="AQ118" s="62" t="n"/>
      <c r="AR118" s="62" t="n"/>
      <c r="AS118" s="62" t="n"/>
      <c r="AT118" s="62" t="n"/>
      <c r="AU118" s="62" t="n"/>
      <c r="AV118" s="62" t="n"/>
      <c r="AW118" s="62" t="n"/>
      <c r="AX118" s="62" t="n"/>
      <c r="AY118" s="62" t="n"/>
    </row>
    <row r="119">
      <c r="A119" s="38">
        <f>IF(D119="","",COUNTA($D$102:D119))</f>
        <v/>
      </c>
      <c r="B119" s="52" t="n"/>
      <c r="C119" s="71" t="inlineStr">
        <is>
          <t>마케팅4팀</t>
        </is>
      </c>
      <c r="D119" s="52" t="n"/>
      <c r="E119" s="54" t="n"/>
      <c r="F119" s="52" t="n"/>
      <c r="G119" s="55" t="n"/>
      <c r="H119" s="54" t="n"/>
      <c r="I119" s="54" t="n"/>
      <c r="J119" s="54" t="n"/>
      <c r="K119" s="56">
        <f>IF(SUM(U119:AY119)=0,"",SUM(U119:AY119))</f>
        <v/>
      </c>
      <c r="L119" s="57">
        <f>IFERROR(INDEX(U$2:AY$2,MATCH(TRUE,U119:AY119&lt;&gt;"",0)),"")</f>
        <v/>
      </c>
      <c r="M119" s="58">
        <f>IFERROR(LOOKUP(2,1/(U119:AY119&lt;&gt;""),U$2:AY$2),"")</f>
        <v/>
      </c>
      <c r="N119" s="59">
        <f>IF(OR(G119="",M119=""),"",G119-M119)</f>
        <v/>
      </c>
      <c r="O119" s="60" t="n"/>
      <c r="P119" s="61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  <c r="AG119" s="62" t="n"/>
      <c r="AH119" s="62" t="n"/>
      <c r="AI119" s="62" t="n"/>
      <c r="AJ119" s="62" t="n"/>
      <c r="AK119" s="62" t="n"/>
      <c r="AL119" s="62" t="n"/>
      <c r="AM119" s="62" t="n"/>
      <c r="AN119" s="62" t="n"/>
      <c r="AO119" s="62" t="n"/>
      <c r="AP119" s="62" t="n"/>
      <c r="AQ119" s="62" t="n"/>
      <c r="AR119" s="62" t="n"/>
      <c r="AS119" s="62" t="n"/>
      <c r="AT119" s="62" t="n"/>
      <c r="AU119" s="62" t="n"/>
      <c r="AV119" s="62" t="n"/>
      <c r="AW119" s="62" t="n"/>
      <c r="AX119" s="62" t="n"/>
      <c r="AY119" s="62" t="n"/>
    </row>
    <row r="120">
      <c r="A120" s="38">
        <f>IF(D120="","",COUNTA($D$102:D120))</f>
        <v/>
      </c>
      <c r="B120" s="52" t="n"/>
      <c r="C120" s="71" t="inlineStr">
        <is>
          <t>마케팅4팀</t>
        </is>
      </c>
      <c r="D120" s="52" t="n"/>
      <c r="E120" s="54" t="n"/>
      <c r="F120" s="52" t="n"/>
      <c r="G120" s="55" t="n"/>
      <c r="H120" s="54" t="n"/>
      <c r="I120" s="54" t="n"/>
      <c r="J120" s="54" t="n"/>
      <c r="K120" s="56">
        <f>IF(SUM(U120:AY120)=0,"",SUM(U120:AY120))</f>
        <v/>
      </c>
      <c r="L120" s="57">
        <f>IFERROR(INDEX(U$2:AY$2,MATCH(TRUE,U120:AY120&lt;&gt;"",0)),"")</f>
        <v/>
      </c>
      <c r="M120" s="58">
        <f>IFERROR(LOOKUP(2,1/(U120:AY120&lt;&gt;""),U$2:AY$2),"")</f>
        <v/>
      </c>
      <c r="N120" s="59">
        <f>IF(OR(G120="",M120=""),"",G120-M120)</f>
        <v/>
      </c>
      <c r="O120" s="60" t="n"/>
      <c r="P120" s="61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  <c r="AG120" s="62" t="n"/>
      <c r="AH120" s="62" t="n"/>
      <c r="AI120" s="62" t="n"/>
      <c r="AJ120" s="62" t="n"/>
      <c r="AK120" s="62" t="n"/>
      <c r="AL120" s="62" t="n"/>
      <c r="AM120" s="62" t="n"/>
      <c r="AN120" s="62" t="n"/>
      <c r="AO120" s="62" t="n"/>
      <c r="AP120" s="62" t="n"/>
      <c r="AQ120" s="62" t="n"/>
      <c r="AR120" s="62" t="n"/>
      <c r="AS120" s="62" t="n"/>
      <c r="AT120" s="62" t="n"/>
      <c r="AU120" s="62" t="n"/>
      <c r="AV120" s="62" t="n"/>
      <c r="AW120" s="62" t="n"/>
      <c r="AX120" s="62" t="n"/>
      <c r="AY120" s="62" t="n"/>
    </row>
    <row r="121">
      <c r="A121" s="38">
        <f>IF(D121="","",COUNTA($D$102:D121))</f>
        <v/>
      </c>
      <c r="B121" s="52" t="n"/>
      <c r="C121" s="71" t="inlineStr">
        <is>
          <t>마케팅4팀</t>
        </is>
      </c>
      <c r="D121" s="52" t="n"/>
      <c r="E121" s="54" t="n"/>
      <c r="F121" s="52" t="n"/>
      <c r="G121" s="55" t="n"/>
      <c r="H121" s="54" t="n"/>
      <c r="I121" s="54" t="n"/>
      <c r="J121" s="54" t="n"/>
      <c r="K121" s="56">
        <f>IF(SUM(U121:AY121)=0,"",SUM(U121:AY121))</f>
        <v/>
      </c>
      <c r="L121" s="57">
        <f>IFERROR(INDEX(U$2:AY$2,MATCH(TRUE,U121:AY121&lt;&gt;"",0)),"")</f>
        <v/>
      </c>
      <c r="M121" s="58">
        <f>IFERROR(LOOKUP(2,1/(U121:AY121&lt;&gt;""),U$2:AY$2),"")</f>
        <v/>
      </c>
      <c r="N121" s="59">
        <f>IF(OR(G121="",M121=""),"",G121-M121)</f>
        <v/>
      </c>
      <c r="O121" s="60" t="n"/>
      <c r="P121" s="61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  <c r="AG121" s="62" t="n"/>
      <c r="AH121" s="62" t="n"/>
      <c r="AI121" s="62" t="n"/>
      <c r="AJ121" s="62" t="n"/>
      <c r="AK121" s="62" t="n"/>
      <c r="AL121" s="62" t="n"/>
      <c r="AM121" s="62" t="n"/>
      <c r="AN121" s="62" t="n"/>
      <c r="AO121" s="62" t="n"/>
      <c r="AP121" s="62" t="n"/>
      <c r="AQ121" s="62" t="n"/>
      <c r="AR121" s="62" t="n"/>
      <c r="AS121" s="62" t="n"/>
      <c r="AT121" s="62" t="n"/>
      <c r="AU121" s="62" t="n"/>
      <c r="AV121" s="62" t="n"/>
      <c r="AW121" s="62" t="n"/>
      <c r="AX121" s="62" t="n"/>
      <c r="AY121" s="62" t="n"/>
    </row>
    <row r="122">
      <c r="A122" s="38">
        <f>IF(D122="","",COUNTA($D$102:D122))</f>
        <v/>
      </c>
      <c r="B122" s="52" t="n"/>
      <c r="C122" s="71" t="inlineStr">
        <is>
          <t>마케팅4팀</t>
        </is>
      </c>
      <c r="D122" s="52" t="n"/>
      <c r="E122" s="54" t="n"/>
      <c r="F122" s="52" t="n"/>
      <c r="G122" s="55" t="n"/>
      <c r="H122" s="54" t="n"/>
      <c r="I122" s="54" t="n"/>
      <c r="J122" s="54" t="n"/>
      <c r="K122" s="56">
        <f>IF(SUM(U122:AY122)=0,"",SUM(U122:AY122))</f>
        <v/>
      </c>
      <c r="L122" s="57">
        <f>IFERROR(INDEX(U$2:AY$2,MATCH(TRUE,U122:AY122&lt;&gt;"",0)),"")</f>
        <v/>
      </c>
      <c r="M122" s="58">
        <f>IFERROR(LOOKUP(2,1/(U122:AY122&lt;&gt;""),U$2:AY$2),"")</f>
        <v/>
      </c>
      <c r="N122" s="59">
        <f>IF(OR(G122="",M122=""),"",G122-M122)</f>
        <v/>
      </c>
      <c r="O122" s="60" t="n"/>
      <c r="P122" s="61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  <c r="AG122" s="62" t="n"/>
      <c r="AH122" s="62" t="n"/>
      <c r="AI122" s="62" t="n"/>
      <c r="AJ122" s="62" t="n"/>
      <c r="AK122" s="62" t="n"/>
      <c r="AL122" s="62" t="n"/>
      <c r="AM122" s="62" t="n"/>
      <c r="AN122" s="62" t="n"/>
      <c r="AO122" s="62" t="n"/>
      <c r="AP122" s="62" t="n"/>
      <c r="AQ122" s="62" t="n"/>
      <c r="AR122" s="62" t="n"/>
      <c r="AS122" s="62" t="n"/>
      <c r="AT122" s="62" t="n"/>
      <c r="AU122" s="62" t="n"/>
      <c r="AV122" s="62" t="n"/>
      <c r="AW122" s="62" t="n"/>
      <c r="AX122" s="62" t="n"/>
      <c r="AY122" s="62" t="n"/>
    </row>
    <row r="123">
      <c r="A123" s="38">
        <f>IF(D123="","",COUNTA($D$102:D123))</f>
        <v/>
      </c>
      <c r="B123" s="52" t="n"/>
      <c r="C123" s="71" t="inlineStr">
        <is>
          <t>마케팅4팀</t>
        </is>
      </c>
      <c r="D123" s="52" t="n"/>
      <c r="E123" s="54" t="n"/>
      <c r="F123" s="52" t="n"/>
      <c r="G123" s="55" t="n"/>
      <c r="H123" s="54" t="n"/>
      <c r="I123" s="54" t="n"/>
      <c r="J123" s="54" t="n"/>
      <c r="K123" s="56">
        <f>IF(SUM(U123:AY123)=0,"",SUM(U123:AY123))</f>
        <v/>
      </c>
      <c r="L123" s="57">
        <f>IFERROR(INDEX(U$2:AY$2,MATCH(TRUE,U123:AY123&lt;&gt;"",0)),"")</f>
        <v/>
      </c>
      <c r="M123" s="58">
        <f>IFERROR(LOOKUP(2,1/(U123:AY123&lt;&gt;""),U$2:AY$2),"")</f>
        <v/>
      </c>
      <c r="N123" s="59">
        <f>IF(OR(G123="",M123=""),"",G123-M123)</f>
        <v/>
      </c>
      <c r="O123" s="60" t="n"/>
      <c r="P123" s="61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  <c r="AG123" s="62" t="n"/>
      <c r="AH123" s="62" t="n"/>
      <c r="AI123" s="62" t="n"/>
      <c r="AJ123" s="62" t="n"/>
      <c r="AK123" s="62" t="n"/>
      <c r="AL123" s="62" t="n"/>
      <c r="AM123" s="62" t="n"/>
      <c r="AN123" s="62" t="n"/>
      <c r="AO123" s="62" t="n"/>
      <c r="AP123" s="62" t="n"/>
      <c r="AQ123" s="62" t="n"/>
      <c r="AR123" s="62" t="n"/>
      <c r="AS123" s="62" t="n"/>
      <c r="AT123" s="62" t="n"/>
      <c r="AU123" s="62" t="n"/>
      <c r="AV123" s="62" t="n"/>
      <c r="AW123" s="62" t="n"/>
      <c r="AX123" s="62" t="n"/>
      <c r="AY123" s="62" t="n"/>
    </row>
    <row r="124">
      <c r="A124" s="38">
        <f>IF(D124="","",COUNTA($D$102:D124))</f>
        <v/>
      </c>
      <c r="B124" s="52" t="n"/>
      <c r="C124" s="71" t="inlineStr">
        <is>
          <t>마케팅4팀</t>
        </is>
      </c>
      <c r="D124" s="52" t="n"/>
      <c r="E124" s="54" t="n"/>
      <c r="F124" s="52" t="n"/>
      <c r="G124" s="55" t="n"/>
      <c r="H124" s="54" t="n"/>
      <c r="I124" s="54" t="n"/>
      <c r="J124" s="54" t="n"/>
      <c r="K124" s="56">
        <f>IF(SUM(U124:AY124)=0,"",SUM(U124:AY124))</f>
        <v/>
      </c>
      <c r="L124" s="57">
        <f>IFERROR(INDEX(U$2:AY$2,MATCH(TRUE,U124:AY124&lt;&gt;"",0)),"")</f>
        <v/>
      </c>
      <c r="M124" s="58">
        <f>IFERROR(LOOKUP(2,1/(U124:AY124&lt;&gt;""),U$2:AY$2),"")</f>
        <v/>
      </c>
      <c r="N124" s="59">
        <f>IF(OR(G124="",M124=""),"",G124-M124)</f>
        <v/>
      </c>
      <c r="O124" s="60" t="n"/>
      <c r="P124" s="61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  <c r="AG124" s="62" t="n"/>
      <c r="AH124" s="62" t="n"/>
      <c r="AI124" s="62" t="n"/>
      <c r="AJ124" s="62" t="n"/>
      <c r="AK124" s="62" t="n"/>
      <c r="AL124" s="62" t="n"/>
      <c r="AM124" s="62" t="n"/>
      <c r="AN124" s="62" t="n"/>
      <c r="AO124" s="62" t="n"/>
      <c r="AP124" s="62" t="n"/>
      <c r="AQ124" s="62" t="n"/>
      <c r="AR124" s="62" t="n"/>
      <c r="AS124" s="62" t="n"/>
      <c r="AT124" s="62" t="n"/>
      <c r="AU124" s="62" t="n"/>
      <c r="AV124" s="62" t="n"/>
      <c r="AW124" s="62" t="n"/>
      <c r="AX124" s="62" t="n"/>
      <c r="AY124" s="62" t="n"/>
    </row>
    <row r="125">
      <c r="A125" s="38">
        <f>IF(D125="","",COUNTA($D$102:D125))</f>
        <v/>
      </c>
      <c r="B125" s="52" t="n"/>
      <c r="C125" s="71" t="inlineStr">
        <is>
          <t>마케팅4팀</t>
        </is>
      </c>
      <c r="D125" s="52" t="n"/>
      <c r="E125" s="54" t="n"/>
      <c r="F125" s="52" t="n"/>
      <c r="G125" s="55" t="n"/>
      <c r="H125" s="54" t="n"/>
      <c r="I125" s="54" t="n"/>
      <c r="J125" s="54" t="n"/>
      <c r="K125" s="56">
        <f>IF(SUM(U125:AY125)=0,"",SUM(U125:AY125))</f>
        <v/>
      </c>
      <c r="L125" s="57">
        <f>IFERROR(INDEX(U$2:AY$2,MATCH(TRUE,U125:AY125&lt;&gt;"",0)),"")</f>
        <v/>
      </c>
      <c r="M125" s="58">
        <f>IFERROR(LOOKUP(2,1/(U125:AY125&lt;&gt;""),U$2:AY$2),"")</f>
        <v/>
      </c>
      <c r="N125" s="59">
        <f>IF(OR(G125="",M125=""),"",G125-M125)</f>
        <v/>
      </c>
      <c r="O125" s="60" t="n"/>
      <c r="P125" s="61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  <c r="AG125" s="62" t="n"/>
      <c r="AH125" s="62" t="n"/>
      <c r="AI125" s="62" t="n"/>
      <c r="AJ125" s="62" t="n"/>
      <c r="AK125" s="62" t="n"/>
      <c r="AL125" s="62" t="n"/>
      <c r="AM125" s="62" t="n"/>
      <c r="AN125" s="62" t="n"/>
      <c r="AO125" s="62" t="n"/>
      <c r="AP125" s="62" t="n"/>
      <c r="AQ125" s="62" t="n"/>
      <c r="AR125" s="62" t="n"/>
      <c r="AS125" s="62" t="n"/>
      <c r="AT125" s="62" t="n"/>
      <c r="AU125" s="62" t="n"/>
      <c r="AV125" s="62" t="n"/>
      <c r="AW125" s="62" t="n"/>
      <c r="AX125" s="62" t="n"/>
      <c r="AY125" s="62" t="n"/>
    </row>
    <row r="126">
      <c r="A126" s="38">
        <f>IF(D126="","",COUNTA($D$102:D126))</f>
        <v/>
      </c>
      <c r="B126" s="52" t="n"/>
      <c r="C126" s="71" t="inlineStr">
        <is>
          <t>마케팅4팀</t>
        </is>
      </c>
      <c r="D126" s="52" t="n"/>
      <c r="E126" s="54" t="n"/>
      <c r="F126" s="52" t="n"/>
      <c r="G126" s="55" t="n"/>
      <c r="H126" s="54" t="n"/>
      <c r="I126" s="54" t="n"/>
      <c r="J126" s="54" t="n"/>
      <c r="K126" s="56">
        <f>IF(SUM(U126:AY126)=0,"",SUM(U126:AY126))</f>
        <v/>
      </c>
      <c r="L126" s="57">
        <f>IFERROR(INDEX(U$2:AY$2,MATCH(TRUE,U126:AY126&lt;&gt;"",0)),"")</f>
        <v/>
      </c>
      <c r="M126" s="58">
        <f>IFERROR(LOOKUP(2,1/(U126:AY126&lt;&gt;""),U$2:AY$2),"")</f>
        <v/>
      </c>
      <c r="N126" s="59">
        <f>IF(OR(G126="",M126=""),"",G126-M126)</f>
        <v/>
      </c>
      <c r="O126" s="60" t="n"/>
      <c r="P126" s="61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  <c r="AG126" s="62" t="n"/>
      <c r="AH126" s="62" t="n"/>
      <c r="AI126" s="62" t="n"/>
      <c r="AJ126" s="62" t="n"/>
      <c r="AK126" s="62" t="n"/>
      <c r="AL126" s="62" t="n"/>
      <c r="AM126" s="62" t="n"/>
      <c r="AN126" s="62" t="n"/>
      <c r="AO126" s="62" t="n"/>
      <c r="AP126" s="62" t="n"/>
      <c r="AQ126" s="62" t="n"/>
      <c r="AR126" s="62" t="n"/>
      <c r="AS126" s="62" t="n"/>
      <c r="AT126" s="62" t="n"/>
      <c r="AU126" s="62" t="n"/>
      <c r="AV126" s="62" t="n"/>
      <c r="AW126" s="62" t="n"/>
      <c r="AX126" s="62" t="n"/>
      <c r="AY126" s="62" t="n"/>
    </row>
    <row r="127">
      <c r="A127" s="38">
        <f>IF(D127="","",COUNTA($D$102:D127))</f>
        <v/>
      </c>
      <c r="B127" s="52" t="n"/>
      <c r="C127" s="71" t="inlineStr">
        <is>
          <t>마케팅4팀</t>
        </is>
      </c>
      <c r="D127" s="52" t="n"/>
      <c r="E127" s="54" t="n"/>
      <c r="F127" s="52" t="n"/>
      <c r="G127" s="55" t="n"/>
      <c r="H127" s="54" t="n"/>
      <c r="I127" s="54" t="n"/>
      <c r="J127" s="54" t="n"/>
      <c r="K127" s="56">
        <f>IF(SUM(U127:AY127)=0,"",SUM(U127:AY127))</f>
        <v/>
      </c>
      <c r="L127" s="57">
        <f>IFERROR(INDEX(U$2:AY$2,MATCH(TRUE,U127:AY127&lt;&gt;"",0)),"")</f>
        <v/>
      </c>
      <c r="M127" s="58">
        <f>IFERROR(LOOKUP(2,1/(U127:AY127&lt;&gt;""),U$2:AY$2),"")</f>
        <v/>
      </c>
      <c r="N127" s="59">
        <f>IF(OR(G127="",M127=""),"",G127-M127)</f>
        <v/>
      </c>
      <c r="O127" s="60" t="n"/>
      <c r="P127" s="61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  <c r="AG127" s="62" t="n"/>
      <c r="AH127" s="62" t="n"/>
      <c r="AI127" s="62" t="n"/>
      <c r="AJ127" s="62" t="n"/>
      <c r="AK127" s="62" t="n"/>
      <c r="AL127" s="62" t="n"/>
      <c r="AM127" s="62" t="n"/>
      <c r="AN127" s="62" t="n"/>
      <c r="AO127" s="62" t="n"/>
      <c r="AP127" s="62" t="n"/>
      <c r="AQ127" s="62" t="n"/>
      <c r="AR127" s="62" t="n"/>
      <c r="AS127" s="62" t="n"/>
      <c r="AT127" s="62" t="n"/>
      <c r="AU127" s="62" t="n"/>
      <c r="AV127" s="62" t="n"/>
      <c r="AW127" s="62" t="n"/>
      <c r="AX127" s="62" t="n"/>
      <c r="AY127" s="62" t="n"/>
    </row>
    <row r="128">
      <c r="A128" s="38">
        <f>IF(D128="","",COUNTA($D$102:D128))</f>
        <v/>
      </c>
      <c r="B128" s="52" t="n"/>
      <c r="C128" s="71" t="inlineStr">
        <is>
          <t>마케팅4팀</t>
        </is>
      </c>
      <c r="D128" s="52" t="n"/>
      <c r="E128" s="54" t="n"/>
      <c r="F128" s="52" t="n"/>
      <c r="G128" s="55" t="n"/>
      <c r="H128" s="54" t="n"/>
      <c r="I128" s="54" t="n"/>
      <c r="J128" s="54" t="n"/>
      <c r="K128" s="56">
        <f>IF(SUM(U128:AY128)=0,"",SUM(U128:AY128))</f>
        <v/>
      </c>
      <c r="L128" s="57">
        <f>IFERROR(INDEX(U$2:AY$2,MATCH(TRUE,U128:AY128&lt;&gt;"",0)),"")</f>
        <v/>
      </c>
      <c r="M128" s="58">
        <f>IFERROR(LOOKUP(2,1/(U128:AY128&lt;&gt;""),U$2:AY$2),"")</f>
        <v/>
      </c>
      <c r="N128" s="59">
        <f>IF(OR(G128="",M128=""),"",G128-M128)</f>
        <v/>
      </c>
      <c r="O128" s="60" t="n"/>
      <c r="P128" s="61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  <c r="AG128" s="62" t="n"/>
      <c r="AH128" s="62" t="n"/>
      <c r="AI128" s="62" t="n"/>
      <c r="AJ128" s="62" t="n"/>
      <c r="AK128" s="62" t="n"/>
      <c r="AL128" s="62" t="n"/>
      <c r="AM128" s="62" t="n"/>
      <c r="AN128" s="62" t="n"/>
      <c r="AO128" s="62" t="n"/>
      <c r="AP128" s="62" t="n"/>
      <c r="AQ128" s="62" t="n"/>
      <c r="AR128" s="62" t="n"/>
      <c r="AS128" s="62" t="n"/>
      <c r="AT128" s="62" t="n"/>
      <c r="AU128" s="62" t="n"/>
      <c r="AV128" s="62" t="n"/>
      <c r="AW128" s="62" t="n"/>
      <c r="AX128" s="62" t="n"/>
      <c r="AY128" s="62" t="n"/>
    </row>
    <row r="129">
      <c r="A129" s="38">
        <f>IF(D129="","",COUNTA($D$102:D129))</f>
        <v/>
      </c>
      <c r="B129" s="52" t="n"/>
      <c r="C129" s="71" t="inlineStr">
        <is>
          <t>마케팅4팀</t>
        </is>
      </c>
      <c r="D129" s="52" t="n"/>
      <c r="E129" s="54" t="n"/>
      <c r="F129" s="52" t="n"/>
      <c r="G129" s="55" t="n"/>
      <c r="H129" s="54" t="n"/>
      <c r="I129" s="54" t="n"/>
      <c r="J129" s="54" t="n"/>
      <c r="K129" s="56">
        <f>IF(SUM(U129:AY129)=0,"",SUM(U129:AY129))</f>
        <v/>
      </c>
      <c r="L129" s="57">
        <f>IFERROR(INDEX(U$2:AY$2,MATCH(TRUE,U129:AY129&lt;&gt;"",0)),"")</f>
        <v/>
      </c>
      <c r="M129" s="58">
        <f>IFERROR(LOOKUP(2,1/(U129:AY129&lt;&gt;""),U$2:AY$2),"")</f>
        <v/>
      </c>
      <c r="N129" s="59">
        <f>IF(OR(G129="",M129=""),"",G129-M129)</f>
        <v/>
      </c>
      <c r="O129" s="60" t="n"/>
      <c r="P129" s="61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  <c r="AG129" s="62" t="n"/>
      <c r="AH129" s="62" t="n"/>
      <c r="AI129" s="62" t="n"/>
      <c r="AJ129" s="62" t="n"/>
      <c r="AK129" s="62" t="n"/>
      <c r="AL129" s="62" t="n"/>
      <c r="AM129" s="62" t="n"/>
      <c r="AN129" s="62" t="n"/>
      <c r="AO129" s="62" t="n"/>
      <c r="AP129" s="62" t="n"/>
      <c r="AQ129" s="62" t="n"/>
      <c r="AR129" s="62" t="n"/>
      <c r="AS129" s="62" t="n"/>
      <c r="AT129" s="62" t="n"/>
      <c r="AU129" s="62" t="n"/>
      <c r="AV129" s="62" t="n"/>
      <c r="AW129" s="62" t="n"/>
      <c r="AX129" s="62" t="n"/>
      <c r="AY129" s="62" t="n"/>
    </row>
    <row r="130">
      <c r="A130" s="38">
        <f>IF(D130="","",COUNTA($D$102:D130))</f>
        <v/>
      </c>
      <c r="B130" s="52" t="n"/>
      <c r="C130" s="71" t="inlineStr">
        <is>
          <t>마케팅4팀</t>
        </is>
      </c>
      <c r="D130" s="52" t="n"/>
      <c r="E130" s="54" t="n"/>
      <c r="F130" s="52" t="n"/>
      <c r="G130" s="55" t="n"/>
      <c r="H130" s="54" t="n"/>
      <c r="I130" s="54" t="n"/>
      <c r="J130" s="54" t="n"/>
      <c r="K130" s="56">
        <f>IF(SUM(U130:AY130)=0,"",SUM(U130:AY130))</f>
        <v/>
      </c>
      <c r="L130" s="57">
        <f>IFERROR(INDEX(U$2:AY$2,MATCH(TRUE,U130:AY130&lt;&gt;"",0)),"")</f>
        <v/>
      </c>
      <c r="M130" s="58">
        <f>IFERROR(LOOKUP(2,1/(U130:AY130&lt;&gt;""),U$2:AY$2),"")</f>
        <v/>
      </c>
      <c r="N130" s="59">
        <f>IF(OR(G130="",M130=""),"",G130-M130)</f>
        <v/>
      </c>
      <c r="O130" s="60" t="n"/>
      <c r="P130" s="61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  <c r="AG130" s="62" t="n"/>
      <c r="AH130" s="62" t="n"/>
      <c r="AI130" s="62" t="n"/>
      <c r="AJ130" s="62" t="n"/>
      <c r="AK130" s="62" t="n"/>
      <c r="AL130" s="62" t="n"/>
      <c r="AM130" s="62" t="n"/>
      <c r="AN130" s="62" t="n"/>
      <c r="AO130" s="62" t="n"/>
      <c r="AP130" s="62" t="n"/>
      <c r="AQ130" s="62" t="n"/>
      <c r="AR130" s="62" t="n"/>
      <c r="AS130" s="62" t="n"/>
      <c r="AT130" s="62" t="n"/>
      <c r="AU130" s="62" t="n"/>
      <c r="AV130" s="62" t="n"/>
      <c r="AW130" s="62" t="n"/>
      <c r="AX130" s="62" t="n"/>
      <c r="AY130" s="62" t="n"/>
    </row>
    <row r="131">
      <c r="A131" s="38">
        <f>IF(D131="","",COUNTA($D$102:D131))</f>
        <v/>
      </c>
      <c r="B131" s="52" t="n"/>
      <c r="C131" s="71" t="inlineStr">
        <is>
          <t>마케팅4팀</t>
        </is>
      </c>
      <c r="D131" s="52" t="n"/>
      <c r="E131" s="54" t="n"/>
      <c r="F131" s="52" t="n"/>
      <c r="G131" s="55" t="n"/>
      <c r="H131" s="54" t="n"/>
      <c r="I131" s="54" t="n"/>
      <c r="J131" s="54" t="n"/>
      <c r="K131" s="56">
        <f>IF(SUM(U131:AY131)=0,"",SUM(U131:AY131))</f>
        <v/>
      </c>
      <c r="L131" s="57">
        <f>IFERROR(INDEX(U$2:AY$2,MATCH(TRUE,U131:AY131&lt;&gt;"",0)),"")</f>
        <v/>
      </c>
      <c r="M131" s="58">
        <f>IFERROR(LOOKUP(2,1/(U131:AY131&lt;&gt;""),U$2:AY$2),"")</f>
        <v/>
      </c>
      <c r="N131" s="59">
        <f>IF(OR(G131="",M131=""),"",G131-M131)</f>
        <v/>
      </c>
      <c r="O131" s="60" t="n"/>
      <c r="P131" s="61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  <c r="AG131" s="62" t="n"/>
      <c r="AH131" s="62" t="n"/>
      <c r="AI131" s="62" t="n"/>
      <c r="AJ131" s="62" t="n"/>
      <c r="AK131" s="62" t="n"/>
      <c r="AL131" s="62" t="n"/>
      <c r="AM131" s="62" t="n"/>
      <c r="AN131" s="62" t="n"/>
      <c r="AO131" s="62" t="n"/>
      <c r="AP131" s="62" t="n"/>
      <c r="AQ131" s="62" t="n"/>
      <c r="AR131" s="62" t="n"/>
      <c r="AS131" s="62" t="n"/>
      <c r="AT131" s="62" t="n"/>
      <c r="AU131" s="62" t="n"/>
      <c r="AV131" s="62" t="n"/>
      <c r="AW131" s="62" t="n"/>
      <c r="AX131" s="62" t="n"/>
      <c r="AY131" s="62" t="n"/>
    </row>
    <row r="132">
      <c r="A132" s="72" t="inlineStr">
        <is>
          <t>기타  (133~162행)</t>
        </is>
      </c>
      <c r="U132" s="34" t="n"/>
      <c r="V132" s="34" t="n"/>
      <c r="W132" s="34" t="n"/>
      <c r="X132" s="34" t="n"/>
      <c r="Y132" s="34" t="n"/>
      <c r="Z132" s="34" t="n"/>
      <c r="AA132" s="34" t="n"/>
      <c r="AB132" s="34" t="n"/>
      <c r="AC132" s="34" t="n"/>
      <c r="AD132" s="34" t="n"/>
      <c r="AE132" s="34" t="n"/>
      <c r="AF132" s="34" t="n"/>
      <c r="AG132" s="34" t="n"/>
      <c r="AH132" s="34" t="n"/>
      <c r="AI132" s="34" t="n"/>
      <c r="AJ132" s="34" t="n"/>
      <c r="AK132" s="34" t="n"/>
      <c r="AL132" s="34" t="n"/>
      <c r="AM132" s="34" t="n"/>
      <c r="AN132" s="34" t="n"/>
      <c r="AO132" s="34" t="n"/>
      <c r="AP132" s="34" t="n"/>
      <c r="AQ132" s="34" t="n"/>
      <c r="AR132" s="34" t="n"/>
      <c r="AS132" s="34" t="n"/>
      <c r="AT132" s="34" t="n"/>
      <c r="AU132" s="34" t="n"/>
      <c r="AV132" s="34" t="n"/>
      <c r="AW132" s="34" t="n"/>
      <c r="AX132" s="34" t="n"/>
      <c r="AY132" s="34" t="n"/>
    </row>
    <row r="133">
      <c r="A133" s="38">
        <f>IF(D133="","",COUNTA($D$133:D133))</f>
        <v/>
      </c>
      <c r="B133" s="52" t="n"/>
      <c r="C133" s="73" t="inlineStr">
        <is>
          <t>기타</t>
        </is>
      </c>
      <c r="D133" s="52" t="n"/>
      <c r="E133" s="54" t="n"/>
      <c r="F133" s="52" t="n"/>
      <c r="G133" s="55" t="n"/>
      <c r="H133" s="54" t="n"/>
      <c r="I133" s="54" t="n"/>
      <c r="J133" s="54" t="n"/>
      <c r="K133" s="56">
        <f>IF(SUM(U133:AY133)=0,"",SUM(U133:AY133))</f>
        <v/>
      </c>
      <c r="L133" s="57">
        <f>IFERROR(INDEX(U$2:AY$2,MATCH(TRUE,U133:AY133&lt;&gt;"",0)),"")</f>
        <v/>
      </c>
      <c r="M133" s="58">
        <f>IFERROR(LOOKUP(2,1/(U133:AY133&lt;&gt;""),U$2:AY$2),"")</f>
        <v/>
      </c>
      <c r="N133" s="59">
        <f>IF(OR(G133="",M133=""),"",G133-M133)</f>
        <v/>
      </c>
      <c r="O133" s="60" t="n"/>
      <c r="P133" s="61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  <c r="AG133" s="62" t="n"/>
      <c r="AH133" s="62" t="n"/>
      <c r="AI133" s="62" t="n"/>
      <c r="AJ133" s="62" t="n"/>
      <c r="AK133" s="62" t="n"/>
      <c r="AL133" s="62" t="n"/>
      <c r="AM133" s="62" t="n"/>
      <c r="AN133" s="62" t="n"/>
      <c r="AO133" s="62" t="n"/>
      <c r="AP133" s="62" t="n"/>
      <c r="AQ133" s="62" t="n"/>
      <c r="AR133" s="62" t="n"/>
      <c r="AS133" s="62" t="n"/>
      <c r="AT133" s="62" t="n"/>
      <c r="AU133" s="62" t="n"/>
      <c r="AV133" s="62" t="n"/>
      <c r="AW133" s="62" t="n"/>
      <c r="AX133" s="62" t="n"/>
      <c r="AY133" s="62" t="n"/>
    </row>
    <row r="134">
      <c r="A134" s="38">
        <f>IF(D134="","",COUNTA($D$133:D134))</f>
        <v/>
      </c>
      <c r="B134" s="52" t="n"/>
      <c r="C134" s="73" t="inlineStr">
        <is>
          <t>기타</t>
        </is>
      </c>
      <c r="D134" s="52" t="n"/>
      <c r="E134" s="54" t="n"/>
      <c r="F134" s="52" t="n"/>
      <c r="G134" s="55" t="n"/>
      <c r="H134" s="54" t="n"/>
      <c r="I134" s="54" t="n"/>
      <c r="J134" s="54" t="n"/>
      <c r="K134" s="56">
        <f>IF(SUM(U134:AY134)=0,"",SUM(U134:AY134))</f>
        <v/>
      </c>
      <c r="L134" s="57">
        <f>IFERROR(INDEX(U$2:AY$2,MATCH(TRUE,U134:AY134&lt;&gt;"",0)),"")</f>
        <v/>
      </c>
      <c r="M134" s="58">
        <f>IFERROR(LOOKUP(2,1/(U134:AY134&lt;&gt;""),U$2:AY$2),"")</f>
        <v/>
      </c>
      <c r="N134" s="59">
        <f>IF(OR(G134="",M134=""),"",G134-M134)</f>
        <v/>
      </c>
      <c r="O134" s="60" t="n"/>
      <c r="P134" s="61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  <c r="AG134" s="62" t="n"/>
      <c r="AH134" s="62" t="n"/>
      <c r="AI134" s="62" t="n"/>
      <c r="AJ134" s="62" t="n"/>
      <c r="AK134" s="62" t="n"/>
      <c r="AL134" s="62" t="n"/>
      <c r="AM134" s="62" t="n"/>
      <c r="AN134" s="62" t="n"/>
      <c r="AO134" s="62" t="n"/>
      <c r="AP134" s="62" t="n"/>
      <c r="AQ134" s="62" t="n"/>
      <c r="AR134" s="62" t="n"/>
      <c r="AS134" s="62" t="n"/>
      <c r="AT134" s="62" t="n"/>
      <c r="AU134" s="62" t="n"/>
      <c r="AV134" s="62" t="n"/>
      <c r="AW134" s="62" t="n"/>
      <c r="AX134" s="62" t="n"/>
      <c r="AY134" s="62" t="n"/>
    </row>
    <row r="135">
      <c r="A135" s="38">
        <f>IF(D135="","",COUNTA($D$133:D135))</f>
        <v/>
      </c>
      <c r="B135" s="52" t="n"/>
      <c r="C135" s="73" t="inlineStr">
        <is>
          <t>기타</t>
        </is>
      </c>
      <c r="D135" s="52" t="n"/>
      <c r="E135" s="54" t="n"/>
      <c r="F135" s="52" t="n"/>
      <c r="G135" s="55" t="n"/>
      <c r="H135" s="54" t="n"/>
      <c r="I135" s="54" t="n"/>
      <c r="J135" s="54" t="n"/>
      <c r="K135" s="56">
        <f>IF(SUM(U135:AY135)=0,"",SUM(U135:AY135))</f>
        <v/>
      </c>
      <c r="L135" s="57">
        <f>IFERROR(INDEX(U$2:AY$2,MATCH(TRUE,U135:AY135&lt;&gt;"",0)),"")</f>
        <v/>
      </c>
      <c r="M135" s="58">
        <f>IFERROR(LOOKUP(2,1/(U135:AY135&lt;&gt;""),U$2:AY$2),"")</f>
        <v/>
      </c>
      <c r="N135" s="59">
        <f>IF(OR(G135="",M135=""),"",G135-M135)</f>
        <v/>
      </c>
      <c r="O135" s="60" t="n"/>
      <c r="P135" s="61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  <c r="AG135" s="62" t="n"/>
      <c r="AH135" s="62" t="n"/>
      <c r="AI135" s="62" t="n"/>
      <c r="AJ135" s="62" t="n"/>
      <c r="AK135" s="62" t="n"/>
      <c r="AL135" s="62" t="n"/>
      <c r="AM135" s="62" t="n"/>
      <c r="AN135" s="62" t="n"/>
      <c r="AO135" s="62" t="n"/>
      <c r="AP135" s="62" t="n"/>
      <c r="AQ135" s="62" t="n"/>
      <c r="AR135" s="62" t="n"/>
      <c r="AS135" s="62" t="n"/>
      <c r="AT135" s="62" t="n"/>
      <c r="AU135" s="62" t="n"/>
      <c r="AV135" s="62" t="n"/>
      <c r="AW135" s="62" t="n"/>
      <c r="AX135" s="62" t="n"/>
      <c r="AY135" s="62" t="n"/>
    </row>
    <row r="136">
      <c r="A136" s="38">
        <f>IF(D136="","",COUNTA($D$133:D136))</f>
        <v/>
      </c>
      <c r="B136" s="52" t="n"/>
      <c r="C136" s="73" t="inlineStr">
        <is>
          <t>기타</t>
        </is>
      </c>
      <c r="D136" s="52" t="n"/>
      <c r="E136" s="54" t="n"/>
      <c r="F136" s="52" t="n"/>
      <c r="G136" s="55" t="n"/>
      <c r="H136" s="54" t="n"/>
      <c r="I136" s="54" t="n"/>
      <c r="J136" s="54" t="n"/>
      <c r="K136" s="56">
        <f>IF(SUM(U136:AY136)=0,"",SUM(U136:AY136))</f>
        <v/>
      </c>
      <c r="L136" s="57">
        <f>IFERROR(INDEX(U$2:AY$2,MATCH(TRUE,U136:AY136&lt;&gt;"",0)),"")</f>
        <v/>
      </c>
      <c r="M136" s="58">
        <f>IFERROR(LOOKUP(2,1/(U136:AY136&lt;&gt;""),U$2:AY$2),"")</f>
        <v/>
      </c>
      <c r="N136" s="59">
        <f>IF(OR(G136="",M136=""),"",G136-M136)</f>
        <v/>
      </c>
      <c r="O136" s="60" t="n"/>
      <c r="P136" s="61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  <c r="AG136" s="62" t="n"/>
      <c r="AH136" s="62" t="n"/>
      <c r="AI136" s="62" t="n"/>
      <c r="AJ136" s="62" t="n"/>
      <c r="AK136" s="62" t="n"/>
      <c r="AL136" s="62" t="n"/>
      <c r="AM136" s="62" t="n"/>
      <c r="AN136" s="62" t="n"/>
      <c r="AO136" s="62" t="n"/>
      <c r="AP136" s="62" t="n"/>
      <c r="AQ136" s="62" t="n"/>
      <c r="AR136" s="62" t="n"/>
      <c r="AS136" s="62" t="n"/>
      <c r="AT136" s="62" t="n"/>
      <c r="AU136" s="62" t="n"/>
      <c r="AV136" s="62" t="n"/>
      <c r="AW136" s="62" t="n"/>
      <c r="AX136" s="62" t="n"/>
      <c r="AY136" s="62" t="n"/>
    </row>
    <row r="137">
      <c r="A137" s="38">
        <f>IF(D137="","",COUNTA($D$133:D137))</f>
        <v/>
      </c>
      <c r="B137" s="52" t="n"/>
      <c r="C137" s="73" t="inlineStr">
        <is>
          <t>기타</t>
        </is>
      </c>
      <c r="D137" s="52" t="n"/>
      <c r="E137" s="54" t="n"/>
      <c r="F137" s="52" t="n"/>
      <c r="G137" s="55" t="n"/>
      <c r="H137" s="54" t="n"/>
      <c r="I137" s="54" t="n"/>
      <c r="J137" s="54" t="n"/>
      <c r="K137" s="56">
        <f>IF(SUM(U137:AY137)=0,"",SUM(U137:AY137))</f>
        <v/>
      </c>
      <c r="L137" s="57">
        <f>IFERROR(INDEX(U$2:AY$2,MATCH(TRUE,U137:AY137&lt;&gt;"",0)),"")</f>
        <v/>
      </c>
      <c r="M137" s="58">
        <f>IFERROR(LOOKUP(2,1/(U137:AY137&lt;&gt;""),U$2:AY$2),"")</f>
        <v/>
      </c>
      <c r="N137" s="59">
        <f>IF(OR(G137="",M137=""),"",G137-M137)</f>
        <v/>
      </c>
      <c r="O137" s="60" t="n"/>
      <c r="P137" s="61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  <c r="AG137" s="62" t="n"/>
      <c r="AH137" s="62" t="n"/>
      <c r="AI137" s="62" t="n"/>
      <c r="AJ137" s="62" t="n"/>
      <c r="AK137" s="62" t="n"/>
      <c r="AL137" s="62" t="n"/>
      <c r="AM137" s="62" t="n"/>
      <c r="AN137" s="62" t="n"/>
      <c r="AO137" s="62" t="n"/>
      <c r="AP137" s="62" t="n"/>
      <c r="AQ137" s="62" t="n"/>
      <c r="AR137" s="62" t="n"/>
      <c r="AS137" s="62" t="n"/>
      <c r="AT137" s="62" t="n"/>
      <c r="AU137" s="62" t="n"/>
      <c r="AV137" s="62" t="n"/>
      <c r="AW137" s="62" t="n"/>
      <c r="AX137" s="62" t="n"/>
      <c r="AY137" s="62" t="n"/>
    </row>
    <row r="138">
      <c r="A138" s="38">
        <f>IF(D138="","",COUNTA($D$133:D138))</f>
        <v/>
      </c>
      <c r="B138" s="52" t="n"/>
      <c r="C138" s="73" t="inlineStr">
        <is>
          <t>기타</t>
        </is>
      </c>
      <c r="D138" s="52" t="n"/>
      <c r="E138" s="54" t="n"/>
      <c r="F138" s="52" t="n"/>
      <c r="G138" s="55" t="n"/>
      <c r="H138" s="54" t="n"/>
      <c r="I138" s="54" t="n"/>
      <c r="J138" s="54" t="n"/>
      <c r="K138" s="56">
        <f>IF(SUM(U138:AY138)=0,"",SUM(U138:AY138))</f>
        <v/>
      </c>
      <c r="L138" s="57">
        <f>IFERROR(INDEX(U$2:AY$2,MATCH(TRUE,U138:AY138&lt;&gt;"",0)),"")</f>
        <v/>
      </c>
      <c r="M138" s="58">
        <f>IFERROR(LOOKUP(2,1/(U138:AY138&lt;&gt;""),U$2:AY$2),"")</f>
        <v/>
      </c>
      <c r="N138" s="59">
        <f>IF(OR(G138="",M138=""),"",G138-M138)</f>
        <v/>
      </c>
      <c r="O138" s="60" t="n"/>
      <c r="P138" s="61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  <c r="AG138" s="62" t="n"/>
      <c r="AH138" s="62" t="n"/>
      <c r="AI138" s="62" t="n"/>
      <c r="AJ138" s="62" t="n"/>
      <c r="AK138" s="62" t="n"/>
      <c r="AL138" s="62" t="n"/>
      <c r="AM138" s="62" t="n"/>
      <c r="AN138" s="62" t="n"/>
      <c r="AO138" s="62" t="n"/>
      <c r="AP138" s="62" t="n"/>
      <c r="AQ138" s="62" t="n"/>
      <c r="AR138" s="62" t="n"/>
      <c r="AS138" s="62" t="n"/>
      <c r="AT138" s="62" t="n"/>
      <c r="AU138" s="62" t="n"/>
      <c r="AV138" s="62" t="n"/>
      <c r="AW138" s="62" t="n"/>
      <c r="AX138" s="62" t="n"/>
      <c r="AY138" s="62" t="n"/>
    </row>
    <row r="139">
      <c r="A139" s="38">
        <f>IF(D139="","",COUNTA($D$133:D139))</f>
        <v/>
      </c>
      <c r="B139" s="52" t="n"/>
      <c r="C139" s="73" t="inlineStr">
        <is>
          <t>기타</t>
        </is>
      </c>
      <c r="D139" s="52" t="n"/>
      <c r="E139" s="54" t="n"/>
      <c r="F139" s="52" t="n"/>
      <c r="G139" s="55" t="n"/>
      <c r="H139" s="54" t="n"/>
      <c r="I139" s="54" t="n"/>
      <c r="J139" s="54" t="n"/>
      <c r="K139" s="56">
        <f>IF(SUM(U139:AY139)=0,"",SUM(U139:AY139))</f>
        <v/>
      </c>
      <c r="L139" s="57">
        <f>IFERROR(INDEX(U$2:AY$2,MATCH(TRUE,U139:AY139&lt;&gt;"",0)),"")</f>
        <v/>
      </c>
      <c r="M139" s="58">
        <f>IFERROR(LOOKUP(2,1/(U139:AY139&lt;&gt;""),U$2:AY$2),"")</f>
        <v/>
      </c>
      <c r="N139" s="59">
        <f>IF(OR(G139="",M139=""),"",G139-M139)</f>
        <v/>
      </c>
      <c r="O139" s="60" t="n"/>
      <c r="P139" s="61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  <c r="AG139" s="62" t="n"/>
      <c r="AH139" s="62" t="n"/>
      <c r="AI139" s="62" t="n"/>
      <c r="AJ139" s="62" t="n"/>
      <c r="AK139" s="62" t="n"/>
      <c r="AL139" s="62" t="n"/>
      <c r="AM139" s="62" t="n"/>
      <c r="AN139" s="62" t="n"/>
      <c r="AO139" s="62" t="n"/>
      <c r="AP139" s="62" t="n"/>
      <c r="AQ139" s="62" t="n"/>
      <c r="AR139" s="62" t="n"/>
      <c r="AS139" s="62" t="n"/>
      <c r="AT139" s="62" t="n"/>
      <c r="AU139" s="62" t="n"/>
      <c r="AV139" s="62" t="n"/>
      <c r="AW139" s="62" t="n"/>
      <c r="AX139" s="62" t="n"/>
      <c r="AY139" s="62" t="n"/>
    </row>
    <row r="140">
      <c r="A140" s="38">
        <f>IF(D140="","",COUNTA($D$133:D140))</f>
        <v/>
      </c>
      <c r="B140" s="52" t="n"/>
      <c r="C140" s="73" t="inlineStr">
        <is>
          <t>기타</t>
        </is>
      </c>
      <c r="D140" s="52" t="n"/>
      <c r="E140" s="54" t="n"/>
      <c r="F140" s="52" t="n"/>
      <c r="G140" s="55" t="n"/>
      <c r="H140" s="54" t="n"/>
      <c r="I140" s="54" t="n"/>
      <c r="J140" s="54" t="n"/>
      <c r="K140" s="56">
        <f>IF(SUM(U140:AY140)=0,"",SUM(U140:AY140))</f>
        <v/>
      </c>
      <c r="L140" s="57">
        <f>IFERROR(INDEX(U$2:AY$2,MATCH(TRUE,U140:AY140&lt;&gt;"",0)),"")</f>
        <v/>
      </c>
      <c r="M140" s="58">
        <f>IFERROR(LOOKUP(2,1/(U140:AY140&lt;&gt;""),U$2:AY$2),"")</f>
        <v/>
      </c>
      <c r="N140" s="59">
        <f>IF(OR(G140="",M140=""),"",G140-M140)</f>
        <v/>
      </c>
      <c r="O140" s="60" t="n"/>
      <c r="P140" s="61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  <c r="AG140" s="62" t="n"/>
      <c r="AH140" s="62" t="n"/>
      <c r="AI140" s="62" t="n"/>
      <c r="AJ140" s="62" t="n"/>
      <c r="AK140" s="62" t="n"/>
      <c r="AL140" s="62" t="n"/>
      <c r="AM140" s="62" t="n"/>
      <c r="AN140" s="62" t="n"/>
      <c r="AO140" s="62" t="n"/>
      <c r="AP140" s="62" t="n"/>
      <c r="AQ140" s="62" t="n"/>
      <c r="AR140" s="62" t="n"/>
      <c r="AS140" s="62" t="n"/>
      <c r="AT140" s="62" t="n"/>
      <c r="AU140" s="62" t="n"/>
      <c r="AV140" s="62" t="n"/>
      <c r="AW140" s="62" t="n"/>
      <c r="AX140" s="62" t="n"/>
      <c r="AY140" s="62" t="n"/>
    </row>
    <row r="141">
      <c r="A141" s="38">
        <f>IF(D141="","",COUNTA($D$133:D141))</f>
        <v/>
      </c>
      <c r="B141" s="52" t="n"/>
      <c r="C141" s="73" t="inlineStr">
        <is>
          <t>기타</t>
        </is>
      </c>
      <c r="D141" s="52" t="n"/>
      <c r="E141" s="54" t="n"/>
      <c r="F141" s="52" t="n"/>
      <c r="G141" s="55" t="n"/>
      <c r="H141" s="54" t="n"/>
      <c r="I141" s="54" t="n"/>
      <c r="J141" s="54" t="n"/>
      <c r="K141" s="56">
        <f>IF(SUM(U141:AY141)=0,"",SUM(U141:AY141))</f>
        <v/>
      </c>
      <c r="L141" s="57">
        <f>IFERROR(INDEX(U$2:AY$2,MATCH(TRUE,U141:AY141&lt;&gt;"",0)),"")</f>
        <v/>
      </c>
      <c r="M141" s="58">
        <f>IFERROR(LOOKUP(2,1/(U141:AY141&lt;&gt;""),U$2:AY$2),"")</f>
        <v/>
      </c>
      <c r="N141" s="59">
        <f>IF(OR(G141="",M141=""),"",G141-M141)</f>
        <v/>
      </c>
      <c r="O141" s="60" t="n"/>
      <c r="P141" s="61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  <c r="AG141" s="62" t="n"/>
      <c r="AH141" s="62" t="n"/>
      <c r="AI141" s="62" t="n"/>
      <c r="AJ141" s="62" t="n"/>
      <c r="AK141" s="62" t="n"/>
      <c r="AL141" s="62" t="n"/>
      <c r="AM141" s="62" t="n"/>
      <c r="AN141" s="62" t="n"/>
      <c r="AO141" s="62" t="n"/>
      <c r="AP141" s="62" t="n"/>
      <c r="AQ141" s="62" t="n"/>
      <c r="AR141" s="62" t="n"/>
      <c r="AS141" s="62" t="n"/>
      <c r="AT141" s="62" t="n"/>
      <c r="AU141" s="62" t="n"/>
      <c r="AV141" s="62" t="n"/>
      <c r="AW141" s="62" t="n"/>
      <c r="AX141" s="62" t="n"/>
      <c r="AY141" s="62" t="n"/>
    </row>
    <row r="142">
      <c r="A142" s="38">
        <f>IF(D142="","",COUNTA($D$133:D142))</f>
        <v/>
      </c>
      <c r="B142" s="52" t="n"/>
      <c r="C142" s="73" t="inlineStr">
        <is>
          <t>기타</t>
        </is>
      </c>
      <c r="D142" s="52" t="n"/>
      <c r="E142" s="54" t="n"/>
      <c r="F142" s="52" t="n"/>
      <c r="G142" s="55" t="n"/>
      <c r="H142" s="54" t="n"/>
      <c r="I142" s="54" t="n"/>
      <c r="J142" s="54" t="n"/>
      <c r="K142" s="56">
        <f>IF(SUM(U142:AY142)=0,"",SUM(U142:AY142))</f>
        <v/>
      </c>
      <c r="L142" s="57">
        <f>IFERROR(INDEX(U$2:AY$2,MATCH(TRUE,U142:AY142&lt;&gt;"",0)),"")</f>
        <v/>
      </c>
      <c r="M142" s="58">
        <f>IFERROR(LOOKUP(2,1/(U142:AY142&lt;&gt;""),U$2:AY$2),"")</f>
        <v/>
      </c>
      <c r="N142" s="59">
        <f>IF(OR(G142="",M142=""),"",G142-M142)</f>
        <v/>
      </c>
      <c r="O142" s="60" t="n"/>
      <c r="P142" s="61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  <c r="AG142" s="62" t="n"/>
      <c r="AH142" s="62" t="n"/>
      <c r="AI142" s="62" t="n"/>
      <c r="AJ142" s="62" t="n"/>
      <c r="AK142" s="62" t="n"/>
      <c r="AL142" s="62" t="n"/>
      <c r="AM142" s="62" t="n"/>
      <c r="AN142" s="62" t="n"/>
      <c r="AO142" s="62" t="n"/>
      <c r="AP142" s="62" t="n"/>
      <c r="AQ142" s="62" t="n"/>
      <c r="AR142" s="62" t="n"/>
      <c r="AS142" s="62" t="n"/>
      <c r="AT142" s="62" t="n"/>
      <c r="AU142" s="62" t="n"/>
      <c r="AV142" s="62" t="n"/>
      <c r="AW142" s="62" t="n"/>
      <c r="AX142" s="62" t="n"/>
      <c r="AY142" s="62" t="n"/>
    </row>
    <row r="143">
      <c r="A143" s="38">
        <f>IF(D143="","",COUNTA($D$133:D143))</f>
        <v/>
      </c>
      <c r="B143" s="52" t="n"/>
      <c r="C143" s="73" t="inlineStr">
        <is>
          <t>기타</t>
        </is>
      </c>
      <c r="D143" s="52" t="n"/>
      <c r="E143" s="54" t="n"/>
      <c r="F143" s="52" t="n"/>
      <c r="G143" s="55" t="n"/>
      <c r="H143" s="54" t="n"/>
      <c r="I143" s="54" t="n"/>
      <c r="J143" s="54" t="n"/>
      <c r="K143" s="56">
        <f>IF(SUM(U143:AY143)=0,"",SUM(U143:AY143))</f>
        <v/>
      </c>
      <c r="L143" s="57">
        <f>IFERROR(INDEX(U$2:AY$2,MATCH(TRUE,U143:AY143&lt;&gt;"",0)),"")</f>
        <v/>
      </c>
      <c r="M143" s="58">
        <f>IFERROR(LOOKUP(2,1/(U143:AY143&lt;&gt;""),U$2:AY$2),"")</f>
        <v/>
      </c>
      <c r="N143" s="59">
        <f>IF(OR(G143="",M143=""),"",G143-M143)</f>
        <v/>
      </c>
      <c r="O143" s="60" t="n"/>
      <c r="P143" s="61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  <c r="AG143" s="62" t="n"/>
      <c r="AH143" s="62" t="n"/>
      <c r="AI143" s="62" t="n"/>
      <c r="AJ143" s="62" t="n"/>
      <c r="AK143" s="62" t="n"/>
      <c r="AL143" s="62" t="n"/>
      <c r="AM143" s="62" t="n"/>
      <c r="AN143" s="62" t="n"/>
      <c r="AO143" s="62" t="n"/>
      <c r="AP143" s="62" t="n"/>
      <c r="AQ143" s="62" t="n"/>
      <c r="AR143" s="62" t="n"/>
      <c r="AS143" s="62" t="n"/>
      <c r="AT143" s="62" t="n"/>
      <c r="AU143" s="62" t="n"/>
      <c r="AV143" s="62" t="n"/>
      <c r="AW143" s="62" t="n"/>
      <c r="AX143" s="62" t="n"/>
      <c r="AY143" s="62" t="n"/>
    </row>
    <row r="144">
      <c r="A144" s="38">
        <f>IF(D144="","",COUNTA($D$133:D144))</f>
        <v/>
      </c>
      <c r="B144" s="52" t="n"/>
      <c r="C144" s="73" t="inlineStr">
        <is>
          <t>기타</t>
        </is>
      </c>
      <c r="D144" s="52" t="n"/>
      <c r="E144" s="54" t="n"/>
      <c r="F144" s="52" t="n"/>
      <c r="G144" s="55" t="n"/>
      <c r="H144" s="54" t="n"/>
      <c r="I144" s="54" t="n"/>
      <c r="J144" s="54" t="n"/>
      <c r="K144" s="56">
        <f>IF(SUM(U144:AY144)=0,"",SUM(U144:AY144))</f>
        <v/>
      </c>
      <c r="L144" s="57">
        <f>IFERROR(INDEX(U$2:AY$2,MATCH(TRUE,U144:AY144&lt;&gt;"",0)),"")</f>
        <v/>
      </c>
      <c r="M144" s="58">
        <f>IFERROR(LOOKUP(2,1/(U144:AY144&lt;&gt;""),U$2:AY$2),"")</f>
        <v/>
      </c>
      <c r="N144" s="59">
        <f>IF(OR(G144="",M144=""),"",G144-M144)</f>
        <v/>
      </c>
      <c r="O144" s="60" t="n"/>
      <c r="P144" s="61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  <c r="AG144" s="62" t="n"/>
      <c r="AH144" s="62" t="n"/>
      <c r="AI144" s="62" t="n"/>
      <c r="AJ144" s="62" t="n"/>
      <c r="AK144" s="62" t="n"/>
      <c r="AL144" s="62" t="n"/>
      <c r="AM144" s="62" t="n"/>
      <c r="AN144" s="62" t="n"/>
      <c r="AO144" s="62" t="n"/>
      <c r="AP144" s="62" t="n"/>
      <c r="AQ144" s="62" t="n"/>
      <c r="AR144" s="62" t="n"/>
      <c r="AS144" s="62" t="n"/>
      <c r="AT144" s="62" t="n"/>
      <c r="AU144" s="62" t="n"/>
      <c r="AV144" s="62" t="n"/>
      <c r="AW144" s="62" t="n"/>
      <c r="AX144" s="62" t="n"/>
      <c r="AY144" s="62" t="n"/>
    </row>
    <row r="145">
      <c r="A145" s="38">
        <f>IF(D145="","",COUNTA($D$133:D145))</f>
        <v/>
      </c>
      <c r="B145" s="52" t="n"/>
      <c r="C145" s="73" t="inlineStr">
        <is>
          <t>기타</t>
        </is>
      </c>
      <c r="D145" s="52" t="n"/>
      <c r="E145" s="54" t="n"/>
      <c r="F145" s="52" t="n"/>
      <c r="G145" s="55" t="n"/>
      <c r="H145" s="54" t="n"/>
      <c r="I145" s="54" t="n"/>
      <c r="J145" s="54" t="n"/>
      <c r="K145" s="56">
        <f>IF(SUM(U145:AY145)=0,"",SUM(U145:AY145))</f>
        <v/>
      </c>
      <c r="L145" s="57">
        <f>IFERROR(INDEX(U$2:AY$2,MATCH(TRUE,U145:AY145&lt;&gt;"",0)),"")</f>
        <v/>
      </c>
      <c r="M145" s="58">
        <f>IFERROR(LOOKUP(2,1/(U145:AY145&lt;&gt;""),U$2:AY$2),"")</f>
        <v/>
      </c>
      <c r="N145" s="59">
        <f>IF(OR(G145="",M145=""),"",G145-M145)</f>
        <v/>
      </c>
      <c r="O145" s="60" t="n"/>
      <c r="P145" s="61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  <c r="AG145" s="62" t="n"/>
      <c r="AH145" s="62" t="n"/>
      <c r="AI145" s="62" t="n"/>
      <c r="AJ145" s="62" t="n"/>
      <c r="AK145" s="62" t="n"/>
      <c r="AL145" s="62" t="n"/>
      <c r="AM145" s="62" t="n"/>
      <c r="AN145" s="62" t="n"/>
      <c r="AO145" s="62" t="n"/>
      <c r="AP145" s="62" t="n"/>
      <c r="AQ145" s="62" t="n"/>
      <c r="AR145" s="62" t="n"/>
      <c r="AS145" s="62" t="n"/>
      <c r="AT145" s="62" t="n"/>
      <c r="AU145" s="62" t="n"/>
      <c r="AV145" s="62" t="n"/>
      <c r="AW145" s="62" t="n"/>
      <c r="AX145" s="62" t="n"/>
      <c r="AY145" s="62" t="n"/>
    </row>
    <row r="146">
      <c r="A146" s="38">
        <f>IF(D146="","",COUNTA($D$133:D146))</f>
        <v/>
      </c>
      <c r="B146" s="52" t="n"/>
      <c r="C146" s="73" t="inlineStr">
        <is>
          <t>기타</t>
        </is>
      </c>
      <c r="D146" s="52" t="n"/>
      <c r="E146" s="54" t="n"/>
      <c r="F146" s="52" t="n"/>
      <c r="G146" s="55" t="n"/>
      <c r="H146" s="54" t="n"/>
      <c r="I146" s="54" t="n"/>
      <c r="J146" s="54" t="n"/>
      <c r="K146" s="56">
        <f>IF(SUM(U146:AY146)=0,"",SUM(U146:AY146))</f>
        <v/>
      </c>
      <c r="L146" s="57">
        <f>IFERROR(INDEX(U$2:AY$2,MATCH(TRUE,U146:AY146&lt;&gt;"",0)),"")</f>
        <v/>
      </c>
      <c r="M146" s="58">
        <f>IFERROR(LOOKUP(2,1/(U146:AY146&lt;&gt;""),U$2:AY$2),"")</f>
        <v/>
      </c>
      <c r="N146" s="59">
        <f>IF(OR(G146="",M146=""),"",G146-M146)</f>
        <v/>
      </c>
      <c r="O146" s="60" t="n"/>
      <c r="P146" s="61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  <c r="AG146" s="62" t="n"/>
      <c r="AH146" s="62" t="n"/>
      <c r="AI146" s="62" t="n"/>
      <c r="AJ146" s="62" t="n"/>
      <c r="AK146" s="62" t="n"/>
      <c r="AL146" s="62" t="n"/>
      <c r="AM146" s="62" t="n"/>
      <c r="AN146" s="62" t="n"/>
      <c r="AO146" s="62" t="n"/>
      <c r="AP146" s="62" t="n"/>
      <c r="AQ146" s="62" t="n"/>
      <c r="AR146" s="62" t="n"/>
      <c r="AS146" s="62" t="n"/>
      <c r="AT146" s="62" t="n"/>
      <c r="AU146" s="62" t="n"/>
      <c r="AV146" s="62" t="n"/>
      <c r="AW146" s="62" t="n"/>
      <c r="AX146" s="62" t="n"/>
      <c r="AY146" s="62" t="n"/>
    </row>
    <row r="147">
      <c r="A147" s="38">
        <f>IF(D147="","",COUNTA($D$133:D147))</f>
        <v/>
      </c>
      <c r="B147" s="52" t="n"/>
      <c r="C147" s="73" t="inlineStr">
        <is>
          <t>기타</t>
        </is>
      </c>
      <c r="D147" s="52" t="n"/>
      <c r="E147" s="54" t="n"/>
      <c r="F147" s="52" t="n"/>
      <c r="G147" s="55" t="n"/>
      <c r="H147" s="54" t="n"/>
      <c r="I147" s="54" t="n"/>
      <c r="J147" s="54" t="n"/>
      <c r="K147" s="56">
        <f>IF(SUM(U147:AY147)=0,"",SUM(U147:AY147))</f>
        <v/>
      </c>
      <c r="L147" s="57">
        <f>IFERROR(INDEX(U$2:AY$2,MATCH(TRUE,U147:AY147&lt;&gt;"",0)),"")</f>
        <v/>
      </c>
      <c r="M147" s="58">
        <f>IFERROR(LOOKUP(2,1/(U147:AY147&lt;&gt;""),U$2:AY$2),"")</f>
        <v/>
      </c>
      <c r="N147" s="59">
        <f>IF(OR(G147="",M147=""),"",G147-M147)</f>
        <v/>
      </c>
      <c r="O147" s="60" t="n"/>
      <c r="P147" s="61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  <c r="AG147" s="62" t="n"/>
      <c r="AH147" s="62" t="n"/>
      <c r="AI147" s="62" t="n"/>
      <c r="AJ147" s="62" t="n"/>
      <c r="AK147" s="62" t="n"/>
      <c r="AL147" s="62" t="n"/>
      <c r="AM147" s="62" t="n"/>
      <c r="AN147" s="62" t="n"/>
      <c r="AO147" s="62" t="n"/>
      <c r="AP147" s="62" t="n"/>
      <c r="AQ147" s="62" t="n"/>
      <c r="AR147" s="62" t="n"/>
      <c r="AS147" s="62" t="n"/>
      <c r="AT147" s="62" t="n"/>
      <c r="AU147" s="62" t="n"/>
      <c r="AV147" s="62" t="n"/>
      <c r="AW147" s="62" t="n"/>
      <c r="AX147" s="62" t="n"/>
      <c r="AY147" s="62" t="n"/>
    </row>
    <row r="148">
      <c r="A148" s="38">
        <f>IF(D148="","",COUNTA($D$133:D148))</f>
        <v/>
      </c>
      <c r="B148" s="52" t="n"/>
      <c r="C148" s="73" t="inlineStr">
        <is>
          <t>기타</t>
        </is>
      </c>
      <c r="D148" s="52" t="n"/>
      <c r="E148" s="54" t="n"/>
      <c r="F148" s="52" t="n"/>
      <c r="G148" s="55" t="n"/>
      <c r="H148" s="54" t="n"/>
      <c r="I148" s="54" t="n"/>
      <c r="J148" s="54" t="n"/>
      <c r="K148" s="56">
        <f>IF(SUM(U148:AY148)=0,"",SUM(U148:AY148))</f>
        <v/>
      </c>
      <c r="L148" s="57">
        <f>IFERROR(INDEX(U$2:AY$2,MATCH(TRUE,U148:AY148&lt;&gt;"",0)),"")</f>
        <v/>
      </c>
      <c r="M148" s="58">
        <f>IFERROR(LOOKUP(2,1/(U148:AY148&lt;&gt;""),U$2:AY$2),"")</f>
        <v/>
      </c>
      <c r="N148" s="59">
        <f>IF(OR(G148="",M148=""),"",G148-M148)</f>
        <v/>
      </c>
      <c r="O148" s="60" t="n"/>
      <c r="P148" s="61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  <c r="AG148" s="62" t="n"/>
      <c r="AH148" s="62" t="n"/>
      <c r="AI148" s="62" t="n"/>
      <c r="AJ148" s="62" t="n"/>
      <c r="AK148" s="62" t="n"/>
      <c r="AL148" s="62" t="n"/>
      <c r="AM148" s="62" t="n"/>
      <c r="AN148" s="62" t="n"/>
      <c r="AO148" s="62" t="n"/>
      <c r="AP148" s="62" t="n"/>
      <c r="AQ148" s="62" t="n"/>
      <c r="AR148" s="62" t="n"/>
      <c r="AS148" s="62" t="n"/>
      <c r="AT148" s="62" t="n"/>
      <c r="AU148" s="62" t="n"/>
      <c r="AV148" s="62" t="n"/>
      <c r="AW148" s="62" t="n"/>
      <c r="AX148" s="62" t="n"/>
      <c r="AY148" s="62" t="n"/>
    </row>
    <row r="149">
      <c r="A149" s="38">
        <f>IF(D149="","",COUNTA($D$133:D149))</f>
        <v/>
      </c>
      <c r="B149" s="52" t="n"/>
      <c r="C149" s="73" t="inlineStr">
        <is>
          <t>기타</t>
        </is>
      </c>
      <c r="D149" s="52" t="n"/>
      <c r="E149" s="54" t="n"/>
      <c r="F149" s="52" t="n"/>
      <c r="G149" s="55" t="n"/>
      <c r="H149" s="54" t="n"/>
      <c r="I149" s="54" t="n"/>
      <c r="J149" s="54" t="n"/>
      <c r="K149" s="56">
        <f>IF(SUM(U149:AY149)=0,"",SUM(U149:AY149))</f>
        <v/>
      </c>
      <c r="L149" s="57">
        <f>IFERROR(INDEX(U$2:AY$2,MATCH(TRUE,U149:AY149&lt;&gt;"",0)),"")</f>
        <v/>
      </c>
      <c r="M149" s="58">
        <f>IFERROR(LOOKUP(2,1/(U149:AY149&lt;&gt;""),U$2:AY$2),"")</f>
        <v/>
      </c>
      <c r="N149" s="59">
        <f>IF(OR(G149="",M149=""),"",G149-M149)</f>
        <v/>
      </c>
      <c r="O149" s="60" t="n"/>
      <c r="P149" s="61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  <c r="AG149" s="62" t="n"/>
      <c r="AH149" s="62" t="n"/>
      <c r="AI149" s="62" t="n"/>
      <c r="AJ149" s="62" t="n"/>
      <c r="AK149" s="62" t="n"/>
      <c r="AL149" s="62" t="n"/>
      <c r="AM149" s="62" t="n"/>
      <c r="AN149" s="62" t="n"/>
      <c r="AO149" s="62" t="n"/>
      <c r="AP149" s="62" t="n"/>
      <c r="AQ149" s="62" t="n"/>
      <c r="AR149" s="62" t="n"/>
      <c r="AS149" s="62" t="n"/>
      <c r="AT149" s="62" t="n"/>
      <c r="AU149" s="62" t="n"/>
      <c r="AV149" s="62" t="n"/>
      <c r="AW149" s="62" t="n"/>
      <c r="AX149" s="62" t="n"/>
      <c r="AY149" s="62" t="n"/>
    </row>
    <row r="150">
      <c r="A150" s="38">
        <f>IF(D150="","",COUNTA($D$133:D150))</f>
        <v/>
      </c>
      <c r="B150" s="52" t="n"/>
      <c r="C150" s="73" t="inlineStr">
        <is>
          <t>기타</t>
        </is>
      </c>
      <c r="D150" s="52" t="n"/>
      <c r="E150" s="54" t="n"/>
      <c r="F150" s="52" t="n"/>
      <c r="G150" s="55" t="n"/>
      <c r="H150" s="54" t="n"/>
      <c r="I150" s="54" t="n"/>
      <c r="J150" s="54" t="n"/>
      <c r="K150" s="56">
        <f>IF(SUM(U150:AY150)=0,"",SUM(U150:AY150))</f>
        <v/>
      </c>
      <c r="L150" s="57">
        <f>IFERROR(INDEX(U$2:AY$2,MATCH(TRUE,U150:AY150&lt;&gt;"",0)),"")</f>
        <v/>
      </c>
      <c r="M150" s="58">
        <f>IFERROR(LOOKUP(2,1/(U150:AY150&lt;&gt;""),U$2:AY$2),"")</f>
        <v/>
      </c>
      <c r="N150" s="59">
        <f>IF(OR(G150="",M150=""),"",G150-M150)</f>
        <v/>
      </c>
      <c r="O150" s="60" t="n"/>
      <c r="P150" s="61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  <c r="AG150" s="62" t="n"/>
      <c r="AH150" s="62" t="n"/>
      <c r="AI150" s="62" t="n"/>
      <c r="AJ150" s="62" t="n"/>
      <c r="AK150" s="62" t="n"/>
      <c r="AL150" s="62" t="n"/>
      <c r="AM150" s="62" t="n"/>
      <c r="AN150" s="62" t="n"/>
      <c r="AO150" s="62" t="n"/>
      <c r="AP150" s="62" t="n"/>
      <c r="AQ150" s="62" t="n"/>
      <c r="AR150" s="62" t="n"/>
      <c r="AS150" s="62" t="n"/>
      <c r="AT150" s="62" t="n"/>
      <c r="AU150" s="62" t="n"/>
      <c r="AV150" s="62" t="n"/>
      <c r="AW150" s="62" t="n"/>
      <c r="AX150" s="62" t="n"/>
      <c r="AY150" s="62" t="n"/>
    </row>
    <row r="151">
      <c r="A151" s="38">
        <f>IF(D151="","",COUNTA($D$133:D151))</f>
        <v/>
      </c>
      <c r="B151" s="52" t="n"/>
      <c r="C151" s="73" t="inlineStr">
        <is>
          <t>기타</t>
        </is>
      </c>
      <c r="D151" s="52" t="n"/>
      <c r="E151" s="54" t="n"/>
      <c r="F151" s="52" t="n"/>
      <c r="G151" s="55" t="n"/>
      <c r="H151" s="54" t="n"/>
      <c r="I151" s="54" t="n"/>
      <c r="J151" s="54" t="n"/>
      <c r="K151" s="56">
        <f>IF(SUM(U151:AY151)=0,"",SUM(U151:AY151))</f>
        <v/>
      </c>
      <c r="L151" s="57">
        <f>IFERROR(INDEX(U$2:AY$2,MATCH(TRUE,U151:AY151&lt;&gt;"",0)),"")</f>
        <v/>
      </c>
      <c r="M151" s="58">
        <f>IFERROR(LOOKUP(2,1/(U151:AY151&lt;&gt;""),U$2:AY$2),"")</f>
        <v/>
      </c>
      <c r="N151" s="59">
        <f>IF(OR(G151="",M151=""),"",G151-M151)</f>
        <v/>
      </c>
      <c r="O151" s="60" t="n"/>
      <c r="P151" s="61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  <c r="AG151" s="62" t="n"/>
      <c r="AH151" s="62" t="n"/>
      <c r="AI151" s="62" t="n"/>
      <c r="AJ151" s="62" t="n"/>
      <c r="AK151" s="62" t="n"/>
      <c r="AL151" s="62" t="n"/>
      <c r="AM151" s="62" t="n"/>
      <c r="AN151" s="62" t="n"/>
      <c r="AO151" s="62" t="n"/>
      <c r="AP151" s="62" t="n"/>
      <c r="AQ151" s="62" t="n"/>
      <c r="AR151" s="62" t="n"/>
      <c r="AS151" s="62" t="n"/>
      <c r="AT151" s="62" t="n"/>
      <c r="AU151" s="62" t="n"/>
      <c r="AV151" s="62" t="n"/>
      <c r="AW151" s="62" t="n"/>
      <c r="AX151" s="62" t="n"/>
      <c r="AY151" s="62" t="n"/>
    </row>
    <row r="152">
      <c r="A152" s="38">
        <f>IF(D152="","",COUNTA($D$133:D152))</f>
        <v/>
      </c>
      <c r="B152" s="52" t="n"/>
      <c r="C152" s="73" t="inlineStr">
        <is>
          <t>기타</t>
        </is>
      </c>
      <c r="D152" s="52" t="n"/>
      <c r="E152" s="54" t="n"/>
      <c r="F152" s="52" t="n"/>
      <c r="G152" s="55" t="n"/>
      <c r="H152" s="54" t="n"/>
      <c r="I152" s="54" t="n"/>
      <c r="J152" s="54" t="n"/>
      <c r="K152" s="56">
        <f>IF(SUM(U152:AY152)=0,"",SUM(U152:AY152))</f>
        <v/>
      </c>
      <c r="L152" s="57">
        <f>IFERROR(INDEX(U$2:AY$2,MATCH(TRUE,U152:AY152&lt;&gt;"",0)),"")</f>
        <v/>
      </c>
      <c r="M152" s="58">
        <f>IFERROR(LOOKUP(2,1/(U152:AY152&lt;&gt;""),U$2:AY$2),"")</f>
        <v/>
      </c>
      <c r="N152" s="59">
        <f>IF(OR(G152="",M152=""),"",G152-M152)</f>
        <v/>
      </c>
      <c r="O152" s="60" t="n"/>
      <c r="P152" s="61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  <c r="AG152" s="62" t="n"/>
      <c r="AH152" s="62" t="n"/>
      <c r="AI152" s="62" t="n"/>
      <c r="AJ152" s="62" t="n"/>
      <c r="AK152" s="62" t="n"/>
      <c r="AL152" s="62" t="n"/>
      <c r="AM152" s="62" t="n"/>
      <c r="AN152" s="62" t="n"/>
      <c r="AO152" s="62" t="n"/>
      <c r="AP152" s="62" t="n"/>
      <c r="AQ152" s="62" t="n"/>
      <c r="AR152" s="62" t="n"/>
      <c r="AS152" s="62" t="n"/>
      <c r="AT152" s="62" t="n"/>
      <c r="AU152" s="62" t="n"/>
      <c r="AV152" s="62" t="n"/>
      <c r="AW152" s="62" t="n"/>
      <c r="AX152" s="62" t="n"/>
      <c r="AY152" s="62" t="n"/>
    </row>
    <row r="153">
      <c r="A153" s="38">
        <f>IF(D153="","",COUNTA($D$133:D153))</f>
        <v/>
      </c>
      <c r="B153" s="52" t="n"/>
      <c r="C153" s="73" t="inlineStr">
        <is>
          <t>기타</t>
        </is>
      </c>
      <c r="D153" s="52" t="n"/>
      <c r="E153" s="54" t="n"/>
      <c r="F153" s="52" t="n"/>
      <c r="G153" s="55" t="n"/>
      <c r="H153" s="54" t="n"/>
      <c r="I153" s="54" t="n"/>
      <c r="J153" s="54" t="n"/>
      <c r="K153" s="56">
        <f>IF(SUM(U153:AY153)=0,"",SUM(U153:AY153))</f>
        <v/>
      </c>
      <c r="L153" s="57">
        <f>IFERROR(INDEX(U$2:AY$2,MATCH(TRUE,U153:AY153&lt;&gt;"",0)),"")</f>
        <v/>
      </c>
      <c r="M153" s="58">
        <f>IFERROR(LOOKUP(2,1/(U153:AY153&lt;&gt;""),U$2:AY$2),"")</f>
        <v/>
      </c>
      <c r="N153" s="59">
        <f>IF(OR(G153="",M153=""),"",G153-M153)</f>
        <v/>
      </c>
      <c r="O153" s="60" t="n"/>
      <c r="P153" s="61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  <c r="AG153" s="62" t="n"/>
      <c r="AH153" s="62" t="n"/>
      <c r="AI153" s="62" t="n"/>
      <c r="AJ153" s="62" t="n"/>
      <c r="AK153" s="62" t="n"/>
      <c r="AL153" s="62" t="n"/>
      <c r="AM153" s="62" t="n"/>
      <c r="AN153" s="62" t="n"/>
      <c r="AO153" s="62" t="n"/>
      <c r="AP153" s="62" t="n"/>
      <c r="AQ153" s="62" t="n"/>
      <c r="AR153" s="62" t="n"/>
      <c r="AS153" s="62" t="n"/>
      <c r="AT153" s="62" t="n"/>
      <c r="AU153" s="62" t="n"/>
      <c r="AV153" s="62" t="n"/>
      <c r="AW153" s="62" t="n"/>
      <c r="AX153" s="62" t="n"/>
      <c r="AY153" s="62" t="n"/>
    </row>
    <row r="154">
      <c r="A154" s="38">
        <f>IF(D154="","",COUNTA($D$133:D154))</f>
        <v/>
      </c>
      <c r="B154" s="52" t="n"/>
      <c r="C154" s="73" t="inlineStr">
        <is>
          <t>기타</t>
        </is>
      </c>
      <c r="D154" s="52" t="n"/>
      <c r="E154" s="54" t="n"/>
      <c r="F154" s="52" t="n"/>
      <c r="G154" s="55" t="n"/>
      <c r="H154" s="54" t="n"/>
      <c r="I154" s="54" t="n"/>
      <c r="J154" s="54" t="n"/>
      <c r="K154" s="56">
        <f>IF(SUM(U154:AY154)=0,"",SUM(U154:AY154))</f>
        <v/>
      </c>
      <c r="L154" s="57">
        <f>IFERROR(INDEX(U$2:AY$2,MATCH(TRUE,U154:AY154&lt;&gt;"",0)),"")</f>
        <v/>
      </c>
      <c r="M154" s="58">
        <f>IFERROR(LOOKUP(2,1/(U154:AY154&lt;&gt;""),U$2:AY$2),"")</f>
        <v/>
      </c>
      <c r="N154" s="59">
        <f>IF(OR(G154="",M154=""),"",G154-M154)</f>
        <v/>
      </c>
      <c r="O154" s="60" t="n"/>
      <c r="P154" s="61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  <c r="AG154" s="62" t="n"/>
      <c r="AH154" s="62" t="n"/>
      <c r="AI154" s="62" t="n"/>
      <c r="AJ154" s="62" t="n"/>
      <c r="AK154" s="62" t="n"/>
      <c r="AL154" s="62" t="n"/>
      <c r="AM154" s="62" t="n"/>
      <c r="AN154" s="62" t="n"/>
      <c r="AO154" s="62" t="n"/>
      <c r="AP154" s="62" t="n"/>
      <c r="AQ154" s="62" t="n"/>
      <c r="AR154" s="62" t="n"/>
      <c r="AS154" s="62" t="n"/>
      <c r="AT154" s="62" t="n"/>
      <c r="AU154" s="62" t="n"/>
      <c r="AV154" s="62" t="n"/>
      <c r="AW154" s="62" t="n"/>
      <c r="AX154" s="62" t="n"/>
      <c r="AY154" s="62" t="n"/>
    </row>
    <row r="155">
      <c r="A155" s="38">
        <f>IF(D155="","",COUNTA($D$133:D155))</f>
        <v/>
      </c>
      <c r="B155" s="52" t="n"/>
      <c r="C155" s="73" t="inlineStr">
        <is>
          <t>기타</t>
        </is>
      </c>
      <c r="D155" s="52" t="n"/>
      <c r="E155" s="54" t="n"/>
      <c r="F155" s="52" t="n"/>
      <c r="G155" s="55" t="n"/>
      <c r="H155" s="54" t="n"/>
      <c r="I155" s="54" t="n"/>
      <c r="J155" s="54" t="n"/>
      <c r="K155" s="56">
        <f>IF(SUM(U155:AY155)=0,"",SUM(U155:AY155))</f>
        <v/>
      </c>
      <c r="L155" s="57">
        <f>IFERROR(INDEX(U$2:AY$2,MATCH(TRUE,U155:AY155&lt;&gt;"",0)),"")</f>
        <v/>
      </c>
      <c r="M155" s="58">
        <f>IFERROR(LOOKUP(2,1/(U155:AY155&lt;&gt;""),U$2:AY$2),"")</f>
        <v/>
      </c>
      <c r="N155" s="59">
        <f>IF(OR(G155="",M155=""),"",G155-M155)</f>
        <v/>
      </c>
      <c r="O155" s="60" t="n"/>
      <c r="P155" s="61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  <c r="AG155" s="62" t="n"/>
      <c r="AH155" s="62" t="n"/>
      <c r="AI155" s="62" t="n"/>
      <c r="AJ155" s="62" t="n"/>
      <c r="AK155" s="62" t="n"/>
      <c r="AL155" s="62" t="n"/>
      <c r="AM155" s="62" t="n"/>
      <c r="AN155" s="62" t="n"/>
      <c r="AO155" s="62" t="n"/>
      <c r="AP155" s="62" t="n"/>
      <c r="AQ155" s="62" t="n"/>
      <c r="AR155" s="62" t="n"/>
      <c r="AS155" s="62" t="n"/>
      <c r="AT155" s="62" t="n"/>
      <c r="AU155" s="62" t="n"/>
      <c r="AV155" s="62" t="n"/>
      <c r="AW155" s="62" t="n"/>
      <c r="AX155" s="62" t="n"/>
      <c r="AY155" s="62" t="n"/>
    </row>
    <row r="156">
      <c r="A156" s="38">
        <f>IF(D156="","",COUNTA($D$133:D156))</f>
        <v/>
      </c>
      <c r="B156" s="52" t="n"/>
      <c r="C156" s="73" t="inlineStr">
        <is>
          <t>기타</t>
        </is>
      </c>
      <c r="D156" s="52" t="n"/>
      <c r="E156" s="54" t="n"/>
      <c r="F156" s="52" t="n"/>
      <c r="G156" s="55" t="n"/>
      <c r="H156" s="54" t="n"/>
      <c r="I156" s="54" t="n"/>
      <c r="J156" s="54" t="n"/>
      <c r="K156" s="56">
        <f>IF(SUM(U156:AY156)=0,"",SUM(U156:AY156))</f>
        <v/>
      </c>
      <c r="L156" s="57">
        <f>IFERROR(INDEX(U$2:AY$2,MATCH(TRUE,U156:AY156&lt;&gt;"",0)),"")</f>
        <v/>
      </c>
      <c r="M156" s="58">
        <f>IFERROR(LOOKUP(2,1/(U156:AY156&lt;&gt;""),U$2:AY$2),"")</f>
        <v/>
      </c>
      <c r="N156" s="59">
        <f>IF(OR(G156="",M156=""),"",G156-M156)</f>
        <v/>
      </c>
      <c r="O156" s="60" t="n"/>
      <c r="P156" s="61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  <c r="AG156" s="62" t="n"/>
      <c r="AH156" s="62" t="n"/>
      <c r="AI156" s="62" t="n"/>
      <c r="AJ156" s="62" t="n"/>
      <c r="AK156" s="62" t="n"/>
      <c r="AL156" s="62" t="n"/>
      <c r="AM156" s="62" t="n"/>
      <c r="AN156" s="62" t="n"/>
      <c r="AO156" s="62" t="n"/>
      <c r="AP156" s="62" t="n"/>
      <c r="AQ156" s="62" t="n"/>
      <c r="AR156" s="62" t="n"/>
      <c r="AS156" s="62" t="n"/>
      <c r="AT156" s="62" t="n"/>
      <c r="AU156" s="62" t="n"/>
      <c r="AV156" s="62" t="n"/>
      <c r="AW156" s="62" t="n"/>
      <c r="AX156" s="62" t="n"/>
      <c r="AY156" s="62" t="n"/>
    </row>
    <row r="157">
      <c r="A157" s="38">
        <f>IF(D157="","",COUNTA($D$133:D157))</f>
        <v/>
      </c>
      <c r="B157" s="52" t="n"/>
      <c r="C157" s="73" t="inlineStr">
        <is>
          <t>기타</t>
        </is>
      </c>
      <c r="D157" s="52" t="n"/>
      <c r="E157" s="54" t="n"/>
      <c r="F157" s="52" t="n"/>
      <c r="G157" s="55" t="n"/>
      <c r="H157" s="54" t="n"/>
      <c r="I157" s="54" t="n"/>
      <c r="J157" s="54" t="n"/>
      <c r="K157" s="56">
        <f>IF(SUM(U157:AY157)=0,"",SUM(U157:AY157))</f>
        <v/>
      </c>
      <c r="L157" s="57">
        <f>IFERROR(INDEX(U$2:AY$2,MATCH(TRUE,U157:AY157&lt;&gt;"",0)),"")</f>
        <v/>
      </c>
      <c r="M157" s="58">
        <f>IFERROR(LOOKUP(2,1/(U157:AY157&lt;&gt;""),U$2:AY$2),"")</f>
        <v/>
      </c>
      <c r="N157" s="59">
        <f>IF(OR(G157="",M157=""),"",G157-M157)</f>
        <v/>
      </c>
      <c r="O157" s="60" t="n"/>
      <c r="P157" s="61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  <c r="AG157" s="62" t="n"/>
      <c r="AH157" s="62" t="n"/>
      <c r="AI157" s="62" t="n"/>
      <c r="AJ157" s="62" t="n"/>
      <c r="AK157" s="62" t="n"/>
      <c r="AL157" s="62" t="n"/>
      <c r="AM157" s="62" t="n"/>
      <c r="AN157" s="62" t="n"/>
      <c r="AO157" s="62" t="n"/>
      <c r="AP157" s="62" t="n"/>
      <c r="AQ157" s="62" t="n"/>
      <c r="AR157" s="62" t="n"/>
      <c r="AS157" s="62" t="n"/>
      <c r="AT157" s="62" t="n"/>
      <c r="AU157" s="62" t="n"/>
      <c r="AV157" s="62" t="n"/>
      <c r="AW157" s="62" t="n"/>
      <c r="AX157" s="62" t="n"/>
      <c r="AY157" s="62" t="n"/>
    </row>
    <row r="158">
      <c r="A158" s="38">
        <f>IF(D158="","",COUNTA($D$133:D158))</f>
        <v/>
      </c>
      <c r="B158" s="52" t="n"/>
      <c r="C158" s="73" t="inlineStr">
        <is>
          <t>기타</t>
        </is>
      </c>
      <c r="D158" s="52" t="n"/>
      <c r="E158" s="54" t="n"/>
      <c r="F158" s="52" t="n"/>
      <c r="G158" s="55" t="n"/>
      <c r="H158" s="54" t="n"/>
      <c r="I158" s="54" t="n"/>
      <c r="J158" s="54" t="n"/>
      <c r="K158" s="56">
        <f>IF(SUM(U158:AY158)=0,"",SUM(U158:AY158))</f>
        <v/>
      </c>
      <c r="L158" s="57">
        <f>IFERROR(INDEX(U$2:AY$2,MATCH(TRUE,U158:AY158&lt;&gt;"",0)),"")</f>
        <v/>
      </c>
      <c r="M158" s="58">
        <f>IFERROR(LOOKUP(2,1/(U158:AY158&lt;&gt;""),U$2:AY$2),"")</f>
        <v/>
      </c>
      <c r="N158" s="59">
        <f>IF(OR(G158="",M158=""),"",G158-M158)</f>
        <v/>
      </c>
      <c r="O158" s="60" t="n"/>
      <c r="P158" s="61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  <c r="AG158" s="62" t="n"/>
      <c r="AH158" s="62" t="n"/>
      <c r="AI158" s="62" t="n"/>
      <c r="AJ158" s="62" t="n"/>
      <c r="AK158" s="62" t="n"/>
      <c r="AL158" s="62" t="n"/>
      <c r="AM158" s="62" t="n"/>
      <c r="AN158" s="62" t="n"/>
      <c r="AO158" s="62" t="n"/>
      <c r="AP158" s="62" t="n"/>
      <c r="AQ158" s="62" t="n"/>
      <c r="AR158" s="62" t="n"/>
      <c r="AS158" s="62" t="n"/>
      <c r="AT158" s="62" t="n"/>
      <c r="AU158" s="62" t="n"/>
      <c r="AV158" s="62" t="n"/>
      <c r="AW158" s="62" t="n"/>
      <c r="AX158" s="62" t="n"/>
      <c r="AY158" s="62" t="n"/>
    </row>
    <row r="159">
      <c r="A159" s="38">
        <f>IF(D159="","",COUNTA($D$133:D159))</f>
        <v/>
      </c>
      <c r="B159" s="52" t="n"/>
      <c r="C159" s="73" t="inlineStr">
        <is>
          <t>기타</t>
        </is>
      </c>
      <c r="D159" s="52" t="n"/>
      <c r="E159" s="54" t="n"/>
      <c r="F159" s="52" t="n"/>
      <c r="G159" s="55" t="n"/>
      <c r="H159" s="54" t="n"/>
      <c r="I159" s="54" t="n"/>
      <c r="J159" s="54" t="n"/>
      <c r="K159" s="56">
        <f>IF(SUM(U159:AY159)=0,"",SUM(U159:AY159))</f>
        <v/>
      </c>
      <c r="L159" s="57">
        <f>IFERROR(INDEX(U$2:AY$2,MATCH(TRUE,U159:AY159&lt;&gt;"",0)),"")</f>
        <v/>
      </c>
      <c r="M159" s="58">
        <f>IFERROR(LOOKUP(2,1/(U159:AY159&lt;&gt;""),U$2:AY$2),"")</f>
        <v/>
      </c>
      <c r="N159" s="59">
        <f>IF(OR(G159="",M159=""),"",G159-M159)</f>
        <v/>
      </c>
      <c r="O159" s="60" t="n"/>
      <c r="P159" s="61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  <c r="AG159" s="62" t="n"/>
      <c r="AH159" s="62" t="n"/>
      <c r="AI159" s="62" t="n"/>
      <c r="AJ159" s="62" t="n"/>
      <c r="AK159" s="62" t="n"/>
      <c r="AL159" s="62" t="n"/>
      <c r="AM159" s="62" t="n"/>
      <c r="AN159" s="62" t="n"/>
      <c r="AO159" s="62" t="n"/>
      <c r="AP159" s="62" t="n"/>
      <c r="AQ159" s="62" t="n"/>
      <c r="AR159" s="62" t="n"/>
      <c r="AS159" s="62" t="n"/>
      <c r="AT159" s="62" t="n"/>
      <c r="AU159" s="62" t="n"/>
      <c r="AV159" s="62" t="n"/>
      <c r="AW159" s="62" t="n"/>
      <c r="AX159" s="62" t="n"/>
      <c r="AY159" s="62" t="n"/>
    </row>
    <row r="160">
      <c r="A160" s="38">
        <f>IF(D160="","",COUNTA($D$133:D160))</f>
        <v/>
      </c>
      <c r="B160" s="52" t="n"/>
      <c r="C160" s="73" t="inlineStr">
        <is>
          <t>기타</t>
        </is>
      </c>
      <c r="D160" s="52" t="n"/>
      <c r="E160" s="54" t="n"/>
      <c r="F160" s="52" t="n"/>
      <c r="G160" s="55" t="n"/>
      <c r="H160" s="54" t="n"/>
      <c r="I160" s="54" t="n"/>
      <c r="J160" s="54" t="n"/>
      <c r="K160" s="56">
        <f>IF(SUM(U160:AY160)=0,"",SUM(U160:AY160))</f>
        <v/>
      </c>
      <c r="L160" s="57">
        <f>IFERROR(INDEX(U$2:AY$2,MATCH(TRUE,U160:AY160&lt;&gt;"",0)),"")</f>
        <v/>
      </c>
      <c r="M160" s="58">
        <f>IFERROR(LOOKUP(2,1/(U160:AY160&lt;&gt;""),U$2:AY$2),"")</f>
        <v/>
      </c>
      <c r="N160" s="59">
        <f>IF(OR(G160="",M160=""),"",G160-M160)</f>
        <v/>
      </c>
      <c r="O160" s="60" t="n"/>
      <c r="P160" s="61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  <c r="AG160" s="62" t="n"/>
      <c r="AH160" s="62" t="n"/>
      <c r="AI160" s="62" t="n"/>
      <c r="AJ160" s="62" t="n"/>
      <c r="AK160" s="62" t="n"/>
      <c r="AL160" s="62" t="n"/>
      <c r="AM160" s="62" t="n"/>
      <c r="AN160" s="62" t="n"/>
      <c r="AO160" s="62" t="n"/>
      <c r="AP160" s="62" t="n"/>
      <c r="AQ160" s="62" t="n"/>
      <c r="AR160" s="62" t="n"/>
      <c r="AS160" s="62" t="n"/>
      <c r="AT160" s="62" t="n"/>
      <c r="AU160" s="62" t="n"/>
      <c r="AV160" s="62" t="n"/>
      <c r="AW160" s="62" t="n"/>
      <c r="AX160" s="62" t="n"/>
      <c r="AY160" s="62" t="n"/>
    </row>
    <row r="161">
      <c r="A161" s="38">
        <f>IF(D161="","",COUNTA($D$133:D161))</f>
        <v/>
      </c>
      <c r="B161" s="52" t="n"/>
      <c r="C161" s="73" t="inlineStr">
        <is>
          <t>기타</t>
        </is>
      </c>
      <c r="D161" s="52" t="n"/>
      <c r="E161" s="54" t="n"/>
      <c r="F161" s="52" t="n"/>
      <c r="G161" s="55" t="n"/>
      <c r="H161" s="54" t="n"/>
      <c r="I161" s="54" t="n"/>
      <c r="J161" s="54" t="n"/>
      <c r="K161" s="56">
        <f>IF(SUM(U161:AY161)=0,"",SUM(U161:AY161))</f>
        <v/>
      </c>
      <c r="L161" s="57">
        <f>IFERROR(INDEX(U$2:AY$2,MATCH(TRUE,U161:AY161&lt;&gt;"",0)),"")</f>
        <v/>
      </c>
      <c r="M161" s="58">
        <f>IFERROR(LOOKUP(2,1/(U161:AY161&lt;&gt;""),U$2:AY$2),"")</f>
        <v/>
      </c>
      <c r="N161" s="59">
        <f>IF(OR(G161="",M161=""),"",G161-M161)</f>
        <v/>
      </c>
      <c r="O161" s="60" t="n"/>
      <c r="P161" s="61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  <c r="AG161" s="62" t="n"/>
      <c r="AH161" s="62" t="n"/>
      <c r="AI161" s="62" t="n"/>
      <c r="AJ161" s="62" t="n"/>
      <c r="AK161" s="62" t="n"/>
      <c r="AL161" s="62" t="n"/>
      <c r="AM161" s="62" t="n"/>
      <c r="AN161" s="62" t="n"/>
      <c r="AO161" s="62" t="n"/>
      <c r="AP161" s="62" t="n"/>
      <c r="AQ161" s="62" t="n"/>
      <c r="AR161" s="62" t="n"/>
      <c r="AS161" s="62" t="n"/>
      <c r="AT161" s="62" t="n"/>
      <c r="AU161" s="62" t="n"/>
      <c r="AV161" s="62" t="n"/>
      <c r="AW161" s="62" t="n"/>
      <c r="AX161" s="62" t="n"/>
      <c r="AY161" s="62" t="n"/>
    </row>
    <row r="162">
      <c r="A162" s="38">
        <f>IF(D162="","",COUNTA($D$133:D162))</f>
        <v/>
      </c>
      <c r="B162" s="52" t="n"/>
      <c r="C162" s="73" t="inlineStr">
        <is>
          <t>기타</t>
        </is>
      </c>
      <c r="D162" s="52" t="n"/>
      <c r="E162" s="54" t="n"/>
      <c r="F162" s="52" t="n"/>
      <c r="G162" s="55" t="n"/>
      <c r="H162" s="54" t="n"/>
      <c r="I162" s="54" t="n"/>
      <c r="J162" s="54" t="n"/>
      <c r="K162" s="56">
        <f>IF(SUM(U162:AY162)=0,"",SUM(U162:AY162))</f>
        <v/>
      </c>
      <c r="L162" s="57">
        <f>IFERROR(INDEX(U$2:AY$2,MATCH(TRUE,U162:AY162&lt;&gt;"",0)),"")</f>
        <v/>
      </c>
      <c r="M162" s="58">
        <f>IFERROR(LOOKUP(2,1/(U162:AY162&lt;&gt;""),U$2:AY$2),"")</f>
        <v/>
      </c>
      <c r="N162" s="59">
        <f>IF(OR(G162="",M162=""),"",G162-M162)</f>
        <v/>
      </c>
      <c r="O162" s="60" t="n"/>
      <c r="P162" s="61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  <c r="AG162" s="62" t="n"/>
      <c r="AH162" s="62" t="n"/>
      <c r="AI162" s="62" t="n"/>
      <c r="AJ162" s="62" t="n"/>
      <c r="AK162" s="62" t="n"/>
      <c r="AL162" s="62" t="n"/>
      <c r="AM162" s="62" t="n"/>
      <c r="AN162" s="62" t="n"/>
      <c r="AO162" s="62" t="n"/>
      <c r="AP162" s="62" t="n"/>
      <c r="AQ162" s="62" t="n"/>
      <c r="AR162" s="62" t="n"/>
      <c r="AS162" s="62" t="n"/>
      <c r="AT162" s="62" t="n"/>
      <c r="AU162" s="62" t="n"/>
      <c r="AV162" s="62" t="n"/>
      <c r="AW162" s="62" t="n"/>
      <c r="AX162" s="62" t="n"/>
      <c r="AY162" s="62" t="n"/>
    </row>
    <row r="163">
      <c r="A163" s="74">
        <f>'마스터'!$J$5</f>
        <v/>
      </c>
    </row>
    <row r="164">
      <c r="A164" s="74" t="inlineStr">
        <is>
          <t>공휴일(로컬 미러 - 조건부서식 전용, 편집 불필요)</t>
        </is>
      </c>
    </row>
    <row r="165">
      <c r="A165" s="75">
        <f>'마스터'!$J$13</f>
        <v/>
      </c>
    </row>
    <row r="166">
      <c r="A166" s="75">
        <f>'마스터'!$J$14</f>
        <v/>
      </c>
    </row>
    <row r="167">
      <c r="A167" s="75">
        <f>'마스터'!$J$15</f>
        <v/>
      </c>
    </row>
    <row r="168">
      <c r="A168" s="75">
        <f>'마스터'!$J$16</f>
        <v/>
      </c>
    </row>
    <row r="169">
      <c r="A169" s="75">
        <f>'마스터'!$J$17</f>
        <v/>
      </c>
    </row>
    <row r="170">
      <c r="A170" s="75">
        <f>'마스터'!$J$18</f>
        <v/>
      </c>
    </row>
    <row r="171">
      <c r="A171" s="75">
        <f>'마스터'!$J$19</f>
        <v/>
      </c>
    </row>
    <row r="172">
      <c r="A172" s="75">
        <f>'마스터'!$J$20</f>
        <v/>
      </c>
    </row>
    <row r="173">
      <c r="A173" s="75">
        <f>'마스터'!$J$21</f>
        <v/>
      </c>
    </row>
    <row r="174">
      <c r="A174" s="75">
        <f>'마스터'!$J$22</f>
        <v/>
      </c>
    </row>
    <row r="175">
      <c r="A175" s="75">
        <f>'마스터'!$J$23</f>
        <v/>
      </c>
    </row>
    <row r="176">
      <c r="A176" s="75">
        <f>'마스터'!$J$24</f>
        <v/>
      </c>
    </row>
    <row r="177">
      <c r="A177" s="75">
        <f>'마스터'!$J$25</f>
        <v/>
      </c>
    </row>
    <row r="178">
      <c r="A178" s="75">
        <f>'마스터'!$J$26</f>
        <v/>
      </c>
    </row>
    <row r="179">
      <c r="A179" s="75">
        <f>'마스터'!$J$27</f>
        <v/>
      </c>
    </row>
  </sheetData>
  <mergeCells count="13">
    <mergeCell ref="H1:J1"/>
    <mergeCell ref="K1:P1"/>
    <mergeCell ref="A1:G1"/>
    <mergeCell ref="A132:P132"/>
    <mergeCell ref="A5:F5"/>
    <mergeCell ref="A70:P70"/>
    <mergeCell ref="A8:P8"/>
    <mergeCell ref="U1:AY1"/>
    <mergeCell ref="A6:F6"/>
    <mergeCell ref="A39:P39"/>
    <mergeCell ref="A4:F4"/>
    <mergeCell ref="A101:P101"/>
    <mergeCell ref="A3:F3"/>
  </mergeCells>
  <conditionalFormatting sqref="U3:AY6">
    <cfRule type="expression" priority="1" dxfId="0">
      <formula>U3&gt;$H3</formula>
    </cfRule>
    <cfRule type="expression" priority="2" dxfId="1">
      <formula>AND(U3&gt;0,U3&gt;=$H3*0.8)</formula>
    </cfRule>
  </conditionalFormatting>
  <conditionalFormatting sqref="U3:AY162">
    <cfRule type="expression" priority="3" dxfId="2">
      <formula>OR(WEEKDAY(U$2,2)&gt;5,COUNTIF($A$165:$A$179,U$2)&gt;0)</formula>
    </cfRule>
  </conditionalFormatting>
  <conditionalFormatting sqref="U8:AY162">
    <cfRule type="expression" priority="4" dxfId="3">
      <formula>AND($F8&lt;&gt;"",U8&lt;&gt;"",SUMIF($F$8:$F$162,$F8,U$8:U$162)&gt;$A$163)</formula>
    </cfRule>
    <cfRule type="expression" priority="5" dxfId="4">
      <formula>$E8="기획"</formula>
    </cfRule>
    <cfRule type="expression" priority="6" dxfId="5">
      <formula>$E8="이미지"</formula>
    </cfRule>
    <cfRule type="expression" priority="7" dxfId="6">
      <formula>$E8="영상"</formula>
    </cfRule>
    <cfRule type="expression" priority="8" dxfId="7">
      <formula>AND($E8="기획",U8&lt;&gt;"")</formula>
    </cfRule>
    <cfRule type="expression" priority="9" dxfId="8">
      <formula>AND($E8="이미지",U8&lt;&gt;"")</formula>
    </cfRule>
    <cfRule type="expression" priority="10" dxfId="9">
      <formula>AND($E8="영상",U8&lt;&gt;"")</formula>
    </cfRule>
  </conditionalFormatting>
  <conditionalFormatting sqref="N8:N162">
    <cfRule type="expression" priority="11" dxfId="10">
      <formula>AND(N8&lt;&gt;"",N8&lt;0)</formula>
    </cfRule>
    <cfRule type="expression" priority="12" dxfId="11">
      <formula>AND(N8&lt;&gt;"",N8&gt;=0,N8&lt;=1)</formula>
    </cfRule>
    <cfRule type="expression" priority="13" dxfId="12">
      <formula>AND(N8&lt;&gt;"",N8&gt;1)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E8:E162" showDropDown="0" showInputMessage="0" showErrorMessage="0" allowBlank="1" type="list">
      <formula1>='마스터'!$E$3:$E$5</formula1>
    </dataValidation>
    <dataValidation sqref="O8:O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179"/>
  <sheetViews>
    <sheetView showGridLines="0" workbookViewId="0">
      <pane xSplit="7" ySplit="7" topLeftCell="H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20" customWidth="1" min="4" max="4"/>
    <col width="7" customWidth="1" min="5" max="5"/>
    <col width="9" customWidth="1" min="6" max="6"/>
    <col width="9" customWidth="1" min="7" max="7"/>
    <col width="5" customWidth="1" min="8" max="8"/>
    <col width="5" customWidth="1" min="9" max="9"/>
    <col width="5" customWidth="1" min="10" max="10"/>
    <col width="6" customWidth="1" min="11" max="11"/>
    <col width="8" customWidth="1" min="12" max="12"/>
    <col width="8" customWidth="1" min="13" max="13"/>
    <col width="6" customWidth="1" min="14" max="14"/>
    <col width="7" customWidth="1" min="15" max="15"/>
    <col width="12" customWidth="1" min="16" max="16"/>
    <col width="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</cols>
  <sheetData>
    <row r="1">
      <c r="A1" s="40" t="inlineStr">
        <is>
          <t>7월 업무 정보 (소재명 = 직군별 줄)</t>
        </is>
      </c>
      <c r="H1" s="41" t="inlineStr">
        <is>
          <t>수량 (소재당 1번만)</t>
        </is>
      </c>
      <c r="K1" s="42" t="inlineStr">
        <is>
          <t>집계 / 일정 (자동)</t>
        </is>
      </c>
      <c r="U1" s="14" t="inlineStr">
        <is>
          <t>7월 간트 - 날짜 칸에 MD 직접 입력 (주말+공휴일 회색)  상단 4줄=일자별 직군 TO 상태</t>
        </is>
      </c>
    </row>
    <row r="2">
      <c r="A2" s="43" t="inlineStr">
        <is>
          <t>No</t>
        </is>
      </c>
      <c r="B2" s="43" t="inlineStr">
        <is>
          <t>게임 타이틀명</t>
        </is>
      </c>
      <c r="C2" s="43" t="inlineStr">
        <is>
          <t>고객팀</t>
        </is>
      </c>
      <c r="D2" s="43" t="inlineStr">
        <is>
          <t>소재명(업무명)</t>
        </is>
      </c>
      <c r="E2" s="43" t="inlineStr">
        <is>
          <t>직군</t>
        </is>
      </c>
      <c r="F2" s="43" t="inlineStr">
        <is>
          <t>담당자</t>
        </is>
      </c>
      <c r="G2" s="43" t="inlineStr">
        <is>
          <t>최종완료일
(고객전달)</t>
        </is>
      </c>
      <c r="H2" s="43" t="inlineStr">
        <is>
          <t>영상
수</t>
        </is>
      </c>
      <c r="I2" s="43" t="inlineStr">
        <is>
          <t>사이즈
베리</t>
        </is>
      </c>
      <c r="J2" s="43" t="inlineStr">
        <is>
          <t>다국어
베리</t>
        </is>
      </c>
      <c r="K2" s="43" t="inlineStr">
        <is>
          <t>합계
MD</t>
        </is>
      </c>
      <c r="L2" s="43" t="inlineStr">
        <is>
          <t>시작일
(자동)</t>
        </is>
      </c>
      <c r="M2" s="43" t="inlineStr">
        <is>
          <t>완료일
(자동)</t>
        </is>
      </c>
      <c r="N2" s="43" t="inlineStr">
        <is>
          <t>여유</t>
        </is>
      </c>
      <c r="O2" s="43" t="inlineStr">
        <is>
          <t>상태</t>
        </is>
      </c>
      <c r="P2" s="43" t="inlineStr">
        <is>
          <t>비고</t>
        </is>
      </c>
      <c r="U2" s="44">
        <f>DATE('마스터'!$J$3,7,1)</f>
        <v/>
      </c>
      <c r="V2" s="44">
        <f>U2+1</f>
        <v/>
      </c>
      <c r="W2" s="44">
        <f>V2+1</f>
        <v/>
      </c>
      <c r="X2" s="44">
        <f>W2+1</f>
        <v/>
      </c>
      <c r="Y2" s="44">
        <f>X2+1</f>
        <v/>
      </c>
      <c r="Z2" s="44">
        <f>Y2+1</f>
        <v/>
      </c>
      <c r="AA2" s="44">
        <f>Z2+1</f>
        <v/>
      </c>
      <c r="AB2" s="44">
        <f>AA2+1</f>
        <v/>
      </c>
      <c r="AC2" s="44">
        <f>AB2+1</f>
        <v/>
      </c>
      <c r="AD2" s="44">
        <f>AC2+1</f>
        <v/>
      </c>
      <c r="AE2" s="44">
        <f>AD2+1</f>
        <v/>
      </c>
      <c r="AF2" s="44">
        <f>AE2+1</f>
        <v/>
      </c>
      <c r="AG2" s="44">
        <f>AF2+1</f>
        <v/>
      </c>
      <c r="AH2" s="44">
        <f>AG2+1</f>
        <v/>
      </c>
      <c r="AI2" s="44">
        <f>AH2+1</f>
        <v/>
      </c>
      <c r="AJ2" s="44">
        <f>AI2+1</f>
        <v/>
      </c>
      <c r="AK2" s="44">
        <f>AJ2+1</f>
        <v/>
      </c>
      <c r="AL2" s="44">
        <f>AK2+1</f>
        <v/>
      </c>
      <c r="AM2" s="44">
        <f>AL2+1</f>
        <v/>
      </c>
      <c r="AN2" s="44">
        <f>AM2+1</f>
        <v/>
      </c>
      <c r="AO2" s="44">
        <f>AN2+1</f>
        <v/>
      </c>
      <c r="AP2" s="44">
        <f>AO2+1</f>
        <v/>
      </c>
      <c r="AQ2" s="44">
        <f>AP2+1</f>
        <v/>
      </c>
      <c r="AR2" s="44">
        <f>AQ2+1</f>
        <v/>
      </c>
      <c r="AS2" s="44">
        <f>AR2+1</f>
        <v/>
      </c>
      <c r="AT2" s="44">
        <f>AS2+1</f>
        <v/>
      </c>
      <c r="AU2" s="44">
        <f>AT2+1</f>
        <v/>
      </c>
      <c r="AV2" s="44">
        <f>AU2+1</f>
        <v/>
      </c>
      <c r="AW2" s="44">
        <f>AV2+1</f>
        <v/>
      </c>
      <c r="AX2" s="44">
        <f>AW2+1</f>
        <v/>
      </c>
      <c r="AY2" s="44">
        <f>AX2+1</f>
        <v/>
      </c>
    </row>
    <row r="3">
      <c r="A3" s="45" t="inlineStr">
        <is>
          <t>전체 TO (일자별 부하)</t>
        </is>
      </c>
      <c r="G3" s="46" t="inlineStr">
        <is>
          <t>정원</t>
        </is>
      </c>
      <c r="H3" s="47">
        <f>SUM('마스터'!$J$8:$J$10)</f>
        <v/>
      </c>
      <c r="I3" s="48" t="n"/>
      <c r="J3" s="48" t="n"/>
      <c r="K3" s="48" t="n"/>
      <c r="L3" s="48" t="n"/>
      <c r="M3" s="48" t="n"/>
      <c r="N3" s="48" t="n"/>
      <c r="O3" s="48" t="n"/>
      <c r="P3" s="48" t="n"/>
      <c r="U3" s="49">
        <f>SUM(U$8:U$162)</f>
        <v/>
      </c>
      <c r="V3" s="49">
        <f>SUM(V$8:V$162)</f>
        <v/>
      </c>
      <c r="W3" s="49">
        <f>SUM(W$8:W$162)</f>
        <v/>
      </c>
      <c r="X3" s="49">
        <f>SUM(X$8:X$162)</f>
        <v/>
      </c>
      <c r="Y3" s="49">
        <f>SUM(Y$8:Y$162)</f>
        <v/>
      </c>
      <c r="Z3" s="49">
        <f>SUM(Z$8:Z$162)</f>
        <v/>
      </c>
      <c r="AA3" s="49">
        <f>SUM(AA$8:AA$162)</f>
        <v/>
      </c>
      <c r="AB3" s="49">
        <f>SUM(AB$8:AB$162)</f>
        <v/>
      </c>
      <c r="AC3" s="49">
        <f>SUM(AC$8:AC$162)</f>
        <v/>
      </c>
      <c r="AD3" s="49">
        <f>SUM(AD$8:AD$162)</f>
        <v/>
      </c>
      <c r="AE3" s="49">
        <f>SUM(AE$8:AE$162)</f>
        <v/>
      </c>
      <c r="AF3" s="49">
        <f>SUM(AF$8:AF$162)</f>
        <v/>
      </c>
      <c r="AG3" s="49">
        <f>SUM(AG$8:AG$162)</f>
        <v/>
      </c>
      <c r="AH3" s="49">
        <f>SUM(AH$8:AH$162)</f>
        <v/>
      </c>
      <c r="AI3" s="49">
        <f>SUM(AI$8:AI$162)</f>
        <v/>
      </c>
      <c r="AJ3" s="49">
        <f>SUM(AJ$8:AJ$162)</f>
        <v/>
      </c>
      <c r="AK3" s="49">
        <f>SUM(AK$8:AK$162)</f>
        <v/>
      </c>
      <c r="AL3" s="49">
        <f>SUM(AL$8:AL$162)</f>
        <v/>
      </c>
      <c r="AM3" s="49">
        <f>SUM(AM$8:AM$162)</f>
        <v/>
      </c>
      <c r="AN3" s="49">
        <f>SUM(AN$8:AN$162)</f>
        <v/>
      </c>
      <c r="AO3" s="49">
        <f>SUM(AO$8:AO$162)</f>
        <v/>
      </c>
      <c r="AP3" s="49">
        <f>SUM(AP$8:AP$162)</f>
        <v/>
      </c>
      <c r="AQ3" s="49">
        <f>SUM(AQ$8:AQ$162)</f>
        <v/>
      </c>
      <c r="AR3" s="49">
        <f>SUM(AR$8:AR$162)</f>
        <v/>
      </c>
      <c r="AS3" s="49">
        <f>SUM(AS$8:AS$162)</f>
        <v/>
      </c>
      <c r="AT3" s="49">
        <f>SUM(AT$8:AT$162)</f>
        <v/>
      </c>
      <c r="AU3" s="49">
        <f>SUM(AU$8:AU$162)</f>
        <v/>
      </c>
      <c r="AV3" s="49">
        <f>SUM(AV$8:AV$162)</f>
        <v/>
      </c>
      <c r="AW3" s="49">
        <f>SUM(AW$8:AW$162)</f>
        <v/>
      </c>
      <c r="AX3" s="49">
        <f>SUM(AX$8:AX$162)</f>
        <v/>
      </c>
      <c r="AY3" s="49">
        <f>SUM(AY$8:AY$162)</f>
        <v/>
      </c>
    </row>
    <row r="4">
      <c r="A4" s="45" t="inlineStr">
        <is>
          <t>영상 TO</t>
        </is>
      </c>
      <c r="G4" s="46" t="inlineStr">
        <is>
          <t>정원</t>
        </is>
      </c>
      <c r="H4" s="47">
        <f>'마스터'!$J$8</f>
        <v/>
      </c>
      <c r="I4" s="48" t="n"/>
      <c r="J4" s="48" t="n"/>
      <c r="K4" s="48" t="n"/>
      <c r="L4" s="48" t="n"/>
      <c r="M4" s="48" t="n"/>
      <c r="N4" s="48" t="n"/>
      <c r="O4" s="48" t="n"/>
      <c r="P4" s="48" t="n"/>
      <c r="U4" s="49">
        <f>SUMIF($E$8:$E$162,"영상",U$8:U$162)</f>
        <v/>
      </c>
      <c r="V4" s="49">
        <f>SUMIF($E$8:$E$162,"영상",V$8:V$162)</f>
        <v/>
      </c>
      <c r="W4" s="49">
        <f>SUMIF($E$8:$E$162,"영상",W$8:W$162)</f>
        <v/>
      </c>
      <c r="X4" s="49">
        <f>SUMIF($E$8:$E$162,"영상",X$8:X$162)</f>
        <v/>
      </c>
      <c r="Y4" s="49">
        <f>SUMIF($E$8:$E$162,"영상",Y$8:Y$162)</f>
        <v/>
      </c>
      <c r="Z4" s="49">
        <f>SUMIF($E$8:$E$162,"영상",Z$8:Z$162)</f>
        <v/>
      </c>
      <c r="AA4" s="49">
        <f>SUMIF($E$8:$E$162,"영상",AA$8:AA$162)</f>
        <v/>
      </c>
      <c r="AB4" s="49">
        <f>SUMIF($E$8:$E$162,"영상",AB$8:AB$162)</f>
        <v/>
      </c>
      <c r="AC4" s="49">
        <f>SUMIF($E$8:$E$162,"영상",AC$8:AC$162)</f>
        <v/>
      </c>
      <c r="AD4" s="49">
        <f>SUMIF($E$8:$E$162,"영상",AD$8:AD$162)</f>
        <v/>
      </c>
      <c r="AE4" s="49">
        <f>SUMIF($E$8:$E$162,"영상",AE$8:AE$162)</f>
        <v/>
      </c>
      <c r="AF4" s="49">
        <f>SUMIF($E$8:$E$162,"영상",AF$8:AF$162)</f>
        <v/>
      </c>
      <c r="AG4" s="49">
        <f>SUMIF($E$8:$E$162,"영상",AG$8:AG$162)</f>
        <v/>
      </c>
      <c r="AH4" s="49">
        <f>SUMIF($E$8:$E$162,"영상",AH$8:AH$162)</f>
        <v/>
      </c>
      <c r="AI4" s="49">
        <f>SUMIF($E$8:$E$162,"영상",AI$8:AI$162)</f>
        <v/>
      </c>
      <c r="AJ4" s="49">
        <f>SUMIF($E$8:$E$162,"영상",AJ$8:AJ$162)</f>
        <v/>
      </c>
      <c r="AK4" s="49">
        <f>SUMIF($E$8:$E$162,"영상",AK$8:AK$162)</f>
        <v/>
      </c>
      <c r="AL4" s="49">
        <f>SUMIF($E$8:$E$162,"영상",AL$8:AL$162)</f>
        <v/>
      </c>
      <c r="AM4" s="49">
        <f>SUMIF($E$8:$E$162,"영상",AM$8:AM$162)</f>
        <v/>
      </c>
      <c r="AN4" s="49">
        <f>SUMIF($E$8:$E$162,"영상",AN$8:AN$162)</f>
        <v/>
      </c>
      <c r="AO4" s="49">
        <f>SUMIF($E$8:$E$162,"영상",AO$8:AO$162)</f>
        <v/>
      </c>
      <c r="AP4" s="49">
        <f>SUMIF($E$8:$E$162,"영상",AP$8:AP$162)</f>
        <v/>
      </c>
      <c r="AQ4" s="49">
        <f>SUMIF($E$8:$E$162,"영상",AQ$8:AQ$162)</f>
        <v/>
      </c>
      <c r="AR4" s="49">
        <f>SUMIF($E$8:$E$162,"영상",AR$8:AR$162)</f>
        <v/>
      </c>
      <c r="AS4" s="49">
        <f>SUMIF($E$8:$E$162,"영상",AS$8:AS$162)</f>
        <v/>
      </c>
      <c r="AT4" s="49">
        <f>SUMIF($E$8:$E$162,"영상",AT$8:AT$162)</f>
        <v/>
      </c>
      <c r="AU4" s="49">
        <f>SUMIF($E$8:$E$162,"영상",AU$8:AU$162)</f>
        <v/>
      </c>
      <c r="AV4" s="49">
        <f>SUMIF($E$8:$E$162,"영상",AV$8:AV$162)</f>
        <v/>
      </c>
      <c r="AW4" s="49">
        <f>SUMIF($E$8:$E$162,"영상",AW$8:AW$162)</f>
        <v/>
      </c>
      <c r="AX4" s="49">
        <f>SUMIF($E$8:$E$162,"영상",AX$8:AX$162)</f>
        <v/>
      </c>
      <c r="AY4" s="49">
        <f>SUMIF($E$8:$E$162,"영상",AY$8:AY$162)</f>
        <v/>
      </c>
    </row>
    <row r="5">
      <c r="A5" s="45" t="inlineStr">
        <is>
          <t>이미지 TO</t>
        </is>
      </c>
      <c r="G5" s="46" t="inlineStr">
        <is>
          <t>정원</t>
        </is>
      </c>
      <c r="H5" s="47">
        <f>'마스터'!$J$9</f>
        <v/>
      </c>
      <c r="I5" s="48" t="n"/>
      <c r="J5" s="48" t="n"/>
      <c r="K5" s="48" t="n"/>
      <c r="L5" s="48" t="n"/>
      <c r="M5" s="48" t="n"/>
      <c r="N5" s="48" t="n"/>
      <c r="O5" s="48" t="n"/>
      <c r="P5" s="48" t="n"/>
      <c r="U5" s="49">
        <f>SUMIF($E$8:$E$162,"이미지",U$8:U$162)</f>
        <v/>
      </c>
      <c r="V5" s="49">
        <f>SUMIF($E$8:$E$162,"이미지",V$8:V$162)</f>
        <v/>
      </c>
      <c r="W5" s="49">
        <f>SUMIF($E$8:$E$162,"이미지",W$8:W$162)</f>
        <v/>
      </c>
      <c r="X5" s="49">
        <f>SUMIF($E$8:$E$162,"이미지",X$8:X$162)</f>
        <v/>
      </c>
      <c r="Y5" s="49">
        <f>SUMIF($E$8:$E$162,"이미지",Y$8:Y$162)</f>
        <v/>
      </c>
      <c r="Z5" s="49">
        <f>SUMIF($E$8:$E$162,"이미지",Z$8:Z$162)</f>
        <v/>
      </c>
      <c r="AA5" s="49">
        <f>SUMIF($E$8:$E$162,"이미지",AA$8:AA$162)</f>
        <v/>
      </c>
      <c r="AB5" s="49">
        <f>SUMIF($E$8:$E$162,"이미지",AB$8:AB$162)</f>
        <v/>
      </c>
      <c r="AC5" s="49">
        <f>SUMIF($E$8:$E$162,"이미지",AC$8:AC$162)</f>
        <v/>
      </c>
      <c r="AD5" s="49">
        <f>SUMIF($E$8:$E$162,"이미지",AD$8:AD$162)</f>
        <v/>
      </c>
      <c r="AE5" s="49">
        <f>SUMIF($E$8:$E$162,"이미지",AE$8:AE$162)</f>
        <v/>
      </c>
      <c r="AF5" s="49">
        <f>SUMIF($E$8:$E$162,"이미지",AF$8:AF$162)</f>
        <v/>
      </c>
      <c r="AG5" s="49">
        <f>SUMIF($E$8:$E$162,"이미지",AG$8:AG$162)</f>
        <v/>
      </c>
      <c r="AH5" s="49">
        <f>SUMIF($E$8:$E$162,"이미지",AH$8:AH$162)</f>
        <v/>
      </c>
      <c r="AI5" s="49">
        <f>SUMIF($E$8:$E$162,"이미지",AI$8:AI$162)</f>
        <v/>
      </c>
      <c r="AJ5" s="49">
        <f>SUMIF($E$8:$E$162,"이미지",AJ$8:AJ$162)</f>
        <v/>
      </c>
      <c r="AK5" s="49">
        <f>SUMIF($E$8:$E$162,"이미지",AK$8:AK$162)</f>
        <v/>
      </c>
      <c r="AL5" s="49">
        <f>SUMIF($E$8:$E$162,"이미지",AL$8:AL$162)</f>
        <v/>
      </c>
      <c r="AM5" s="49">
        <f>SUMIF($E$8:$E$162,"이미지",AM$8:AM$162)</f>
        <v/>
      </c>
      <c r="AN5" s="49">
        <f>SUMIF($E$8:$E$162,"이미지",AN$8:AN$162)</f>
        <v/>
      </c>
      <c r="AO5" s="49">
        <f>SUMIF($E$8:$E$162,"이미지",AO$8:AO$162)</f>
        <v/>
      </c>
      <c r="AP5" s="49">
        <f>SUMIF($E$8:$E$162,"이미지",AP$8:AP$162)</f>
        <v/>
      </c>
      <c r="AQ5" s="49">
        <f>SUMIF($E$8:$E$162,"이미지",AQ$8:AQ$162)</f>
        <v/>
      </c>
      <c r="AR5" s="49">
        <f>SUMIF($E$8:$E$162,"이미지",AR$8:AR$162)</f>
        <v/>
      </c>
      <c r="AS5" s="49">
        <f>SUMIF($E$8:$E$162,"이미지",AS$8:AS$162)</f>
        <v/>
      </c>
      <c r="AT5" s="49">
        <f>SUMIF($E$8:$E$162,"이미지",AT$8:AT$162)</f>
        <v/>
      </c>
      <c r="AU5" s="49">
        <f>SUMIF($E$8:$E$162,"이미지",AU$8:AU$162)</f>
        <v/>
      </c>
      <c r="AV5" s="49">
        <f>SUMIF($E$8:$E$162,"이미지",AV$8:AV$162)</f>
        <v/>
      </c>
      <c r="AW5" s="49">
        <f>SUMIF($E$8:$E$162,"이미지",AW$8:AW$162)</f>
        <v/>
      </c>
      <c r="AX5" s="49">
        <f>SUMIF($E$8:$E$162,"이미지",AX$8:AX$162)</f>
        <v/>
      </c>
      <c r="AY5" s="49">
        <f>SUMIF($E$8:$E$162,"이미지",AY$8:AY$162)</f>
        <v/>
      </c>
    </row>
    <row r="6">
      <c r="A6" s="45" t="inlineStr">
        <is>
          <t>기획 TO</t>
        </is>
      </c>
      <c r="G6" s="46" t="inlineStr">
        <is>
          <t>정원</t>
        </is>
      </c>
      <c r="H6" s="47">
        <f>'마스터'!$J$10</f>
        <v/>
      </c>
      <c r="I6" s="48" t="n"/>
      <c r="J6" s="48" t="n"/>
      <c r="K6" s="48" t="n"/>
      <c r="L6" s="48" t="n"/>
      <c r="M6" s="48" t="n"/>
      <c r="N6" s="48" t="n"/>
      <c r="O6" s="48" t="n"/>
      <c r="P6" s="48" t="n"/>
      <c r="U6" s="49">
        <f>SUMIF($E$8:$E$162,"기획",U$8:U$162)</f>
        <v/>
      </c>
      <c r="V6" s="49">
        <f>SUMIF($E$8:$E$162,"기획",V$8:V$162)</f>
        <v/>
      </c>
      <c r="W6" s="49">
        <f>SUMIF($E$8:$E$162,"기획",W$8:W$162)</f>
        <v/>
      </c>
      <c r="X6" s="49">
        <f>SUMIF($E$8:$E$162,"기획",X$8:X$162)</f>
        <v/>
      </c>
      <c r="Y6" s="49">
        <f>SUMIF($E$8:$E$162,"기획",Y$8:Y$162)</f>
        <v/>
      </c>
      <c r="Z6" s="49">
        <f>SUMIF($E$8:$E$162,"기획",Z$8:Z$162)</f>
        <v/>
      </c>
      <c r="AA6" s="49">
        <f>SUMIF($E$8:$E$162,"기획",AA$8:AA$162)</f>
        <v/>
      </c>
      <c r="AB6" s="49">
        <f>SUMIF($E$8:$E$162,"기획",AB$8:AB$162)</f>
        <v/>
      </c>
      <c r="AC6" s="49">
        <f>SUMIF($E$8:$E$162,"기획",AC$8:AC$162)</f>
        <v/>
      </c>
      <c r="AD6" s="49">
        <f>SUMIF($E$8:$E$162,"기획",AD$8:AD$162)</f>
        <v/>
      </c>
      <c r="AE6" s="49">
        <f>SUMIF($E$8:$E$162,"기획",AE$8:AE$162)</f>
        <v/>
      </c>
      <c r="AF6" s="49">
        <f>SUMIF($E$8:$E$162,"기획",AF$8:AF$162)</f>
        <v/>
      </c>
      <c r="AG6" s="49">
        <f>SUMIF($E$8:$E$162,"기획",AG$8:AG$162)</f>
        <v/>
      </c>
      <c r="AH6" s="49">
        <f>SUMIF($E$8:$E$162,"기획",AH$8:AH$162)</f>
        <v/>
      </c>
      <c r="AI6" s="49">
        <f>SUMIF($E$8:$E$162,"기획",AI$8:AI$162)</f>
        <v/>
      </c>
      <c r="AJ6" s="49">
        <f>SUMIF($E$8:$E$162,"기획",AJ$8:AJ$162)</f>
        <v/>
      </c>
      <c r="AK6" s="49">
        <f>SUMIF($E$8:$E$162,"기획",AK$8:AK$162)</f>
        <v/>
      </c>
      <c r="AL6" s="49">
        <f>SUMIF($E$8:$E$162,"기획",AL$8:AL$162)</f>
        <v/>
      </c>
      <c r="AM6" s="49">
        <f>SUMIF($E$8:$E$162,"기획",AM$8:AM$162)</f>
        <v/>
      </c>
      <c r="AN6" s="49">
        <f>SUMIF($E$8:$E$162,"기획",AN$8:AN$162)</f>
        <v/>
      </c>
      <c r="AO6" s="49">
        <f>SUMIF($E$8:$E$162,"기획",AO$8:AO$162)</f>
        <v/>
      </c>
      <c r="AP6" s="49">
        <f>SUMIF($E$8:$E$162,"기획",AP$8:AP$162)</f>
        <v/>
      </c>
      <c r="AQ6" s="49">
        <f>SUMIF($E$8:$E$162,"기획",AQ$8:AQ$162)</f>
        <v/>
      </c>
      <c r="AR6" s="49">
        <f>SUMIF($E$8:$E$162,"기획",AR$8:AR$162)</f>
        <v/>
      </c>
      <c r="AS6" s="49">
        <f>SUMIF($E$8:$E$162,"기획",AS$8:AS$162)</f>
        <v/>
      </c>
      <c r="AT6" s="49">
        <f>SUMIF($E$8:$E$162,"기획",AT$8:AT$162)</f>
        <v/>
      </c>
      <c r="AU6" s="49">
        <f>SUMIF($E$8:$E$162,"기획",AU$8:AU$162)</f>
        <v/>
      </c>
      <c r="AV6" s="49">
        <f>SUMIF($E$8:$E$162,"기획",AV$8:AV$162)</f>
        <v/>
      </c>
      <c r="AW6" s="49">
        <f>SUMIF($E$8:$E$162,"기획",AW$8:AW$162)</f>
        <v/>
      </c>
      <c r="AX6" s="49">
        <f>SUMIF($E$8:$E$162,"기획",AX$8:AX$162)</f>
        <v/>
      </c>
      <c r="AY6" s="49">
        <f>SUMIF($E$8:$E$162,"기획",AY$8:AY$162)</f>
        <v/>
      </c>
    </row>
    <row r="8">
      <c r="A8" s="50" t="inlineStr">
        <is>
          <t>마케팅1팀  (9~38행)</t>
        </is>
      </c>
      <c r="U8" s="51" t="n"/>
      <c r="V8" s="51" t="n"/>
      <c r="W8" s="51" t="n"/>
      <c r="X8" s="51" t="n"/>
      <c r="Y8" s="51" t="n"/>
      <c r="Z8" s="51" t="n"/>
      <c r="AA8" s="51" t="n"/>
      <c r="AB8" s="51" t="n"/>
      <c r="AC8" s="51" t="n"/>
      <c r="AD8" s="51" t="n"/>
      <c r="AE8" s="51" t="n"/>
      <c r="AF8" s="51" t="n"/>
      <c r="AG8" s="51" t="n"/>
      <c r="AH8" s="51" t="n"/>
      <c r="AI8" s="51" t="n"/>
      <c r="AJ8" s="51" t="n"/>
      <c r="AK8" s="51" t="n"/>
      <c r="AL8" s="51" t="n"/>
      <c r="AM8" s="51" t="n"/>
      <c r="AN8" s="51" t="n"/>
      <c r="AO8" s="51" t="n"/>
      <c r="AP8" s="51" t="n"/>
      <c r="AQ8" s="51" t="n"/>
      <c r="AR8" s="51" t="n"/>
      <c r="AS8" s="51" t="n"/>
      <c r="AT8" s="51" t="n"/>
      <c r="AU8" s="51" t="n"/>
      <c r="AV8" s="51" t="n"/>
      <c r="AW8" s="51" t="n"/>
      <c r="AX8" s="51" t="n"/>
      <c r="AY8" s="51" t="n"/>
    </row>
    <row r="9">
      <c r="A9" s="38">
        <f>IF(D9="","",COUNTA($D$9:D9))</f>
        <v/>
      </c>
      <c r="B9" s="52" t="inlineStr">
        <is>
          <t>뱀피르</t>
        </is>
      </c>
      <c r="C9" s="53" t="inlineStr">
        <is>
          <t>마케팅1팀</t>
        </is>
      </c>
      <c r="D9" s="52" t="inlineStr">
        <is>
          <t>VAM_200024_보스KV</t>
        </is>
      </c>
      <c r="E9" s="54" t="inlineStr">
        <is>
          <t>이미지</t>
        </is>
      </c>
      <c r="F9" s="52" t="inlineStr">
        <is>
          <t>구유진</t>
        </is>
      </c>
      <c r="G9" s="55">
        <f>DATE(2026,7,7)</f>
        <v/>
      </c>
      <c r="H9" s="54" t="n">
        <v>0</v>
      </c>
      <c r="I9" s="54" t="n">
        <v>0</v>
      </c>
      <c r="J9" s="54" t="n">
        <v>0</v>
      </c>
      <c r="K9" s="56">
        <f>IF(SUM(U9:AY9)=0,"",SUM(U9:AY9))</f>
        <v/>
      </c>
      <c r="L9" s="57">
        <f>IFERROR(INDEX(U$2:AY$2,MATCH(TRUE,U9:AY9&lt;&gt;"",0)),"")</f>
        <v/>
      </c>
      <c r="M9" s="58">
        <f>IFERROR(LOOKUP(2,1/(U9:AY9&lt;&gt;""),U$2:AY$2),"")</f>
        <v/>
      </c>
      <c r="N9" s="59">
        <f>IF(OR(G9="",M9=""),"",G9-M9)</f>
        <v/>
      </c>
      <c r="O9" s="60" t="inlineStr">
        <is>
          <t>완료</t>
        </is>
      </c>
      <c r="P9" s="61" t="inlineStr">
        <is>
          <t>Freepik</t>
        </is>
      </c>
      <c r="U9" s="62" t="n"/>
      <c r="V9" s="62" t="n"/>
      <c r="W9" s="62" t="n"/>
      <c r="X9" s="62" t="n"/>
      <c r="Y9" s="62" t="n"/>
      <c r="Z9" s="62" t="n">
        <v>0.6</v>
      </c>
      <c r="AA9" s="62" t="n">
        <v>0.4</v>
      </c>
      <c r="AB9" s="62" t="n"/>
      <c r="AC9" s="62" t="n"/>
      <c r="AD9" s="62" t="n"/>
      <c r="AE9" s="62" t="n"/>
      <c r="AF9" s="62" t="n"/>
      <c r="AG9" s="62" t="n"/>
      <c r="AH9" s="62" t="n"/>
      <c r="AI9" s="62" t="n"/>
      <c r="AJ9" s="62" t="n"/>
      <c r="AK9" s="62" t="n"/>
      <c r="AL9" s="62" t="n"/>
      <c r="AM9" s="62" t="n"/>
      <c r="AN9" s="62" t="n"/>
      <c r="AO9" s="62" t="n"/>
      <c r="AP9" s="62" t="n"/>
      <c r="AQ9" s="62" t="n"/>
      <c r="AR9" s="62" t="n"/>
      <c r="AS9" s="62" t="n"/>
      <c r="AT9" s="62" t="n"/>
      <c r="AU9" s="62" t="n"/>
      <c r="AV9" s="62" t="n"/>
      <c r="AW9" s="62" t="n"/>
      <c r="AX9" s="62" t="n"/>
      <c r="AY9" s="62" t="n"/>
    </row>
    <row r="10">
      <c r="A10" s="38">
        <f>IF(D10="","",COUNTA($D$9:D10))</f>
        <v/>
      </c>
      <c r="B10" s="52" t="n"/>
      <c r="C10" s="53" t="inlineStr">
        <is>
          <t>마케팅1팀</t>
        </is>
      </c>
      <c r="D10" s="52" t="n"/>
      <c r="E10" s="54" t="n"/>
      <c r="F10" s="52" t="n"/>
      <c r="G10" s="55" t="n"/>
      <c r="H10" s="54" t="n"/>
      <c r="I10" s="54" t="n"/>
      <c r="J10" s="54" t="n"/>
      <c r="K10" s="56">
        <f>IF(SUM(U10:AY10)=0,"",SUM(U10:AY10))</f>
        <v/>
      </c>
      <c r="L10" s="57">
        <f>IFERROR(INDEX(U$2:AY$2,MATCH(TRUE,U10:AY10&lt;&gt;"",0)),"")</f>
        <v/>
      </c>
      <c r="M10" s="58">
        <f>IFERROR(LOOKUP(2,1/(U10:AY10&lt;&gt;""),U$2:AY$2),"")</f>
        <v/>
      </c>
      <c r="N10" s="59">
        <f>IF(OR(G10="",M10=""),"",G10-M10)</f>
        <v/>
      </c>
      <c r="O10" s="60" t="n"/>
      <c r="P10" s="61" t="n"/>
      <c r="U10" s="62" t="n"/>
      <c r="V10" s="62" t="n"/>
      <c r="W10" s="62" t="n"/>
      <c r="X10" s="62" t="n"/>
      <c r="Y10" s="62" t="n"/>
      <c r="Z10" s="62" t="n"/>
      <c r="AA10" s="62" t="n"/>
      <c r="AB10" s="62" t="n"/>
      <c r="AC10" s="62" t="n"/>
      <c r="AD10" s="62" t="n"/>
      <c r="AE10" s="62" t="n"/>
      <c r="AF10" s="62" t="n"/>
      <c r="AG10" s="62" t="n"/>
      <c r="AH10" s="62" t="n"/>
      <c r="AI10" s="62" t="n"/>
      <c r="AJ10" s="62" t="n"/>
      <c r="AK10" s="62" t="n"/>
      <c r="AL10" s="62" t="n"/>
      <c r="AM10" s="62" t="n"/>
      <c r="AN10" s="62" t="n"/>
      <c r="AO10" s="62" t="n"/>
      <c r="AP10" s="62" t="n"/>
      <c r="AQ10" s="62" t="n"/>
      <c r="AR10" s="62" t="n"/>
      <c r="AS10" s="62" t="n"/>
      <c r="AT10" s="62" t="n"/>
      <c r="AU10" s="62" t="n"/>
      <c r="AV10" s="62" t="n"/>
      <c r="AW10" s="62" t="n"/>
      <c r="AX10" s="62" t="n"/>
      <c r="AY10" s="62" t="n"/>
    </row>
    <row r="11">
      <c r="A11" s="38">
        <f>IF(D11="","",COUNTA($D$9:D11))</f>
        <v/>
      </c>
      <c r="B11" s="52" t="n"/>
      <c r="C11" s="53" t="inlineStr">
        <is>
          <t>마케팅1팀</t>
        </is>
      </c>
      <c r="D11" s="52" t="n"/>
      <c r="E11" s="54" t="n"/>
      <c r="F11" s="52" t="n"/>
      <c r="G11" s="55" t="n"/>
      <c r="H11" s="54" t="n"/>
      <c r="I11" s="54" t="n"/>
      <c r="J11" s="54" t="n"/>
      <c r="K11" s="56">
        <f>IF(SUM(U11:AY11)=0,"",SUM(U11:AY11))</f>
        <v/>
      </c>
      <c r="L11" s="57">
        <f>IFERROR(INDEX(U$2:AY$2,MATCH(TRUE,U11:AY11&lt;&gt;"",0)),"")</f>
        <v/>
      </c>
      <c r="M11" s="58">
        <f>IFERROR(LOOKUP(2,1/(U11:AY11&lt;&gt;""),U$2:AY$2),"")</f>
        <v/>
      </c>
      <c r="N11" s="59">
        <f>IF(OR(G11="",M11=""),"",G11-M11)</f>
        <v/>
      </c>
      <c r="O11" s="60" t="n"/>
      <c r="P11" s="61" t="n"/>
      <c r="U11" s="62" t="n"/>
      <c r="V11" s="62" t="n"/>
      <c r="W11" s="62" t="n"/>
      <c r="X11" s="62" t="n"/>
      <c r="Y11" s="62" t="n"/>
      <c r="Z11" s="62" t="n"/>
      <c r="AA11" s="62" t="n"/>
      <c r="AB11" s="62" t="n"/>
      <c r="AC11" s="62" t="n"/>
      <c r="AD11" s="62" t="n"/>
      <c r="AE11" s="62" t="n"/>
      <c r="AF11" s="62" t="n"/>
      <c r="AG11" s="62" t="n"/>
      <c r="AH11" s="62" t="n"/>
      <c r="AI11" s="62" t="n"/>
      <c r="AJ11" s="62" t="n"/>
      <c r="AK11" s="62" t="n"/>
      <c r="AL11" s="62" t="n"/>
      <c r="AM11" s="62" t="n"/>
      <c r="AN11" s="62" t="n"/>
      <c r="AO11" s="62" t="n"/>
      <c r="AP11" s="62" t="n"/>
      <c r="AQ11" s="62" t="n"/>
      <c r="AR11" s="62" t="n"/>
      <c r="AS11" s="62" t="n"/>
      <c r="AT11" s="62" t="n"/>
      <c r="AU11" s="62" t="n"/>
      <c r="AV11" s="62" t="n"/>
      <c r="AW11" s="62" t="n"/>
      <c r="AX11" s="62" t="n"/>
      <c r="AY11" s="62" t="n"/>
    </row>
    <row r="12">
      <c r="A12" s="38">
        <f>IF(D12="","",COUNTA($D$9:D12))</f>
        <v/>
      </c>
      <c r="B12" s="52" t="n"/>
      <c r="C12" s="53" t="inlineStr">
        <is>
          <t>마케팅1팀</t>
        </is>
      </c>
      <c r="D12" s="52" t="n"/>
      <c r="E12" s="54" t="n"/>
      <c r="F12" s="52" t="n"/>
      <c r="G12" s="55" t="n"/>
      <c r="H12" s="54" t="n"/>
      <c r="I12" s="54" t="n"/>
      <c r="J12" s="54" t="n"/>
      <c r="K12" s="56">
        <f>IF(SUM(U12:AY12)=0,"",SUM(U12:AY12))</f>
        <v/>
      </c>
      <c r="L12" s="57">
        <f>IFERROR(INDEX(U$2:AY$2,MATCH(TRUE,U12:AY12&lt;&gt;"",0)),"")</f>
        <v/>
      </c>
      <c r="M12" s="58">
        <f>IFERROR(LOOKUP(2,1/(U12:AY12&lt;&gt;""),U$2:AY$2),"")</f>
        <v/>
      </c>
      <c r="N12" s="59">
        <f>IF(OR(G12="",M12=""),"",G12-M12)</f>
        <v/>
      </c>
      <c r="O12" s="60" t="n"/>
      <c r="P12" s="61" t="n"/>
      <c r="U12" s="62" t="n"/>
      <c r="V12" s="62" t="n"/>
      <c r="W12" s="62" t="n"/>
      <c r="X12" s="62" t="n"/>
      <c r="Y12" s="62" t="n"/>
      <c r="Z12" s="62" t="n"/>
      <c r="AA12" s="62" t="n"/>
      <c r="AB12" s="62" t="n"/>
      <c r="AC12" s="62" t="n"/>
      <c r="AD12" s="62" t="n"/>
      <c r="AE12" s="62" t="n"/>
      <c r="AF12" s="62" t="n"/>
      <c r="AG12" s="62" t="n"/>
      <c r="AH12" s="62" t="n"/>
      <c r="AI12" s="62" t="n"/>
      <c r="AJ12" s="62" t="n"/>
      <c r="AK12" s="62" t="n"/>
      <c r="AL12" s="62" t="n"/>
      <c r="AM12" s="62" t="n"/>
      <c r="AN12" s="62" t="n"/>
      <c r="AO12" s="62" t="n"/>
      <c r="AP12" s="62" t="n"/>
      <c r="AQ12" s="62" t="n"/>
      <c r="AR12" s="62" t="n"/>
      <c r="AS12" s="62" t="n"/>
      <c r="AT12" s="62" t="n"/>
      <c r="AU12" s="62" t="n"/>
      <c r="AV12" s="62" t="n"/>
      <c r="AW12" s="62" t="n"/>
      <c r="AX12" s="62" t="n"/>
      <c r="AY12" s="62" t="n"/>
    </row>
    <row r="13">
      <c r="A13" s="38">
        <f>IF(D13="","",COUNTA($D$9:D13))</f>
        <v/>
      </c>
      <c r="B13" s="52" t="n"/>
      <c r="C13" s="53" t="inlineStr">
        <is>
          <t>마케팅1팀</t>
        </is>
      </c>
      <c r="D13" s="52" t="n"/>
      <c r="E13" s="54" t="n"/>
      <c r="F13" s="52" t="n"/>
      <c r="G13" s="55" t="n"/>
      <c r="H13" s="54" t="n"/>
      <c r="I13" s="54" t="n"/>
      <c r="J13" s="54" t="n"/>
      <c r="K13" s="56">
        <f>IF(SUM(U13:AY13)=0,"",SUM(U13:AY13))</f>
        <v/>
      </c>
      <c r="L13" s="57">
        <f>IFERROR(INDEX(U$2:AY$2,MATCH(TRUE,U13:AY13&lt;&gt;"",0)),"")</f>
        <v/>
      </c>
      <c r="M13" s="58">
        <f>IFERROR(LOOKUP(2,1/(U13:AY13&lt;&gt;""),U$2:AY$2),"")</f>
        <v/>
      </c>
      <c r="N13" s="59">
        <f>IF(OR(G13="",M13=""),"",G13-M13)</f>
        <v/>
      </c>
      <c r="O13" s="60" t="n"/>
      <c r="P13" s="61" t="n"/>
      <c r="U13" s="62" t="n"/>
      <c r="V13" s="62" t="n"/>
      <c r="W13" s="62" t="n"/>
      <c r="X13" s="62" t="n"/>
      <c r="Y13" s="62" t="n"/>
      <c r="Z13" s="62" t="n"/>
      <c r="AA13" s="62" t="n"/>
      <c r="AB13" s="62" t="n"/>
      <c r="AC13" s="62" t="n"/>
      <c r="AD13" s="62" t="n"/>
      <c r="AE13" s="62" t="n"/>
      <c r="AF13" s="62" t="n"/>
      <c r="AG13" s="62" t="n"/>
      <c r="AH13" s="62" t="n"/>
      <c r="AI13" s="62" t="n"/>
      <c r="AJ13" s="62" t="n"/>
      <c r="AK13" s="62" t="n"/>
      <c r="AL13" s="62" t="n"/>
      <c r="AM13" s="62" t="n"/>
      <c r="AN13" s="62" t="n"/>
      <c r="AO13" s="62" t="n"/>
      <c r="AP13" s="62" t="n"/>
      <c r="AQ13" s="62" t="n"/>
      <c r="AR13" s="62" t="n"/>
      <c r="AS13" s="62" t="n"/>
      <c r="AT13" s="62" t="n"/>
      <c r="AU13" s="62" t="n"/>
      <c r="AV13" s="62" t="n"/>
      <c r="AW13" s="62" t="n"/>
      <c r="AX13" s="62" t="n"/>
      <c r="AY13" s="62" t="n"/>
    </row>
    <row r="14">
      <c r="A14" s="38">
        <f>IF(D14="","",COUNTA($D$9:D14))</f>
        <v/>
      </c>
      <c r="B14" s="52" t="n"/>
      <c r="C14" s="53" t="inlineStr">
        <is>
          <t>마케팅1팀</t>
        </is>
      </c>
      <c r="D14" s="52" t="n"/>
      <c r="E14" s="54" t="n"/>
      <c r="F14" s="52" t="n"/>
      <c r="G14" s="55" t="n"/>
      <c r="H14" s="54" t="n"/>
      <c r="I14" s="54" t="n"/>
      <c r="J14" s="54" t="n"/>
      <c r="K14" s="56">
        <f>IF(SUM(U14:AY14)=0,"",SUM(U14:AY14))</f>
        <v/>
      </c>
      <c r="L14" s="57">
        <f>IFERROR(INDEX(U$2:AY$2,MATCH(TRUE,U14:AY14&lt;&gt;"",0)),"")</f>
        <v/>
      </c>
      <c r="M14" s="58">
        <f>IFERROR(LOOKUP(2,1/(U14:AY14&lt;&gt;""),U$2:AY$2),"")</f>
        <v/>
      </c>
      <c r="N14" s="59">
        <f>IF(OR(G14="",M14=""),"",G14-M14)</f>
        <v/>
      </c>
      <c r="O14" s="60" t="n"/>
      <c r="P14" s="61" t="n"/>
      <c r="U14" s="62" t="n"/>
      <c r="V14" s="62" t="n"/>
      <c r="W14" s="62" t="n"/>
      <c r="X14" s="62" t="n"/>
      <c r="Y14" s="62" t="n"/>
      <c r="Z14" s="62" t="n"/>
      <c r="AA14" s="62" t="n"/>
      <c r="AB14" s="62" t="n"/>
      <c r="AC14" s="62" t="n"/>
      <c r="AD14" s="62" t="n"/>
      <c r="AE14" s="62" t="n"/>
      <c r="AF14" s="62" t="n"/>
      <c r="AG14" s="62" t="n"/>
      <c r="AH14" s="62" t="n"/>
      <c r="AI14" s="62" t="n"/>
      <c r="AJ14" s="62" t="n"/>
      <c r="AK14" s="62" t="n"/>
      <c r="AL14" s="62" t="n"/>
      <c r="AM14" s="62" t="n"/>
      <c r="AN14" s="62" t="n"/>
      <c r="AO14" s="62" t="n"/>
      <c r="AP14" s="62" t="n"/>
      <c r="AQ14" s="62" t="n"/>
      <c r="AR14" s="62" t="n"/>
      <c r="AS14" s="62" t="n"/>
      <c r="AT14" s="62" t="n"/>
      <c r="AU14" s="62" t="n"/>
      <c r="AV14" s="62" t="n"/>
      <c r="AW14" s="62" t="n"/>
      <c r="AX14" s="62" t="n"/>
      <c r="AY14" s="62" t="n"/>
    </row>
    <row r="15">
      <c r="A15" s="38">
        <f>IF(D15="","",COUNTA($D$9:D15))</f>
        <v/>
      </c>
      <c r="B15" s="52" t="n"/>
      <c r="C15" s="53" t="inlineStr">
        <is>
          <t>마케팅1팀</t>
        </is>
      </c>
      <c r="D15" s="52" t="n"/>
      <c r="E15" s="54" t="n"/>
      <c r="F15" s="52" t="n"/>
      <c r="G15" s="55" t="n"/>
      <c r="H15" s="54" t="n"/>
      <c r="I15" s="54" t="n"/>
      <c r="J15" s="54" t="n"/>
      <c r="K15" s="56">
        <f>IF(SUM(U15:AY15)=0,"",SUM(U15:AY15))</f>
        <v/>
      </c>
      <c r="L15" s="57">
        <f>IFERROR(INDEX(U$2:AY$2,MATCH(TRUE,U15:AY15&lt;&gt;"",0)),"")</f>
        <v/>
      </c>
      <c r="M15" s="58">
        <f>IFERROR(LOOKUP(2,1/(U15:AY15&lt;&gt;""),U$2:AY$2),"")</f>
        <v/>
      </c>
      <c r="N15" s="59">
        <f>IF(OR(G15="",M15=""),"",G15-M15)</f>
        <v/>
      </c>
      <c r="O15" s="60" t="n"/>
      <c r="P15" s="61" t="n"/>
      <c r="U15" s="62" t="n"/>
      <c r="V15" s="62" t="n"/>
      <c r="W15" s="62" t="n"/>
      <c r="X15" s="62" t="n"/>
      <c r="Y15" s="62" t="n"/>
      <c r="Z15" s="62" t="n"/>
      <c r="AA15" s="62" t="n"/>
      <c r="AB15" s="62" t="n"/>
      <c r="AC15" s="62" t="n"/>
      <c r="AD15" s="62" t="n"/>
      <c r="AE15" s="62" t="n"/>
      <c r="AF15" s="62" t="n"/>
      <c r="AG15" s="62" t="n"/>
      <c r="AH15" s="62" t="n"/>
      <c r="AI15" s="62" t="n"/>
      <c r="AJ15" s="62" t="n"/>
      <c r="AK15" s="62" t="n"/>
      <c r="AL15" s="62" t="n"/>
      <c r="AM15" s="62" t="n"/>
      <c r="AN15" s="62" t="n"/>
      <c r="AO15" s="62" t="n"/>
      <c r="AP15" s="62" t="n"/>
      <c r="AQ15" s="62" t="n"/>
      <c r="AR15" s="62" t="n"/>
      <c r="AS15" s="62" t="n"/>
      <c r="AT15" s="62" t="n"/>
      <c r="AU15" s="62" t="n"/>
      <c r="AV15" s="62" t="n"/>
      <c r="AW15" s="62" t="n"/>
      <c r="AX15" s="62" t="n"/>
      <c r="AY15" s="62" t="n"/>
    </row>
    <row r="16">
      <c r="A16" s="38">
        <f>IF(D16="","",COUNTA($D$9:D16))</f>
        <v/>
      </c>
      <c r="B16" s="52" t="n"/>
      <c r="C16" s="53" t="inlineStr">
        <is>
          <t>마케팅1팀</t>
        </is>
      </c>
      <c r="D16" s="52" t="n"/>
      <c r="E16" s="54" t="n"/>
      <c r="F16" s="52" t="n"/>
      <c r="G16" s="55" t="n"/>
      <c r="H16" s="54" t="n"/>
      <c r="I16" s="54" t="n"/>
      <c r="J16" s="54" t="n"/>
      <c r="K16" s="56">
        <f>IF(SUM(U16:AY16)=0,"",SUM(U16:AY16))</f>
        <v/>
      </c>
      <c r="L16" s="57">
        <f>IFERROR(INDEX(U$2:AY$2,MATCH(TRUE,U16:AY16&lt;&gt;"",0)),"")</f>
        <v/>
      </c>
      <c r="M16" s="58">
        <f>IFERROR(LOOKUP(2,1/(U16:AY16&lt;&gt;""),U$2:AY$2),"")</f>
        <v/>
      </c>
      <c r="N16" s="59">
        <f>IF(OR(G16="",M16=""),"",G16-M16)</f>
        <v/>
      </c>
      <c r="O16" s="60" t="n"/>
      <c r="P16" s="61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  <c r="AG16" s="62" t="n"/>
      <c r="AH16" s="62" t="n"/>
      <c r="AI16" s="62" t="n"/>
      <c r="AJ16" s="62" t="n"/>
      <c r="AK16" s="62" t="n"/>
      <c r="AL16" s="62" t="n"/>
      <c r="AM16" s="62" t="n"/>
      <c r="AN16" s="62" t="n"/>
      <c r="AO16" s="62" t="n"/>
      <c r="AP16" s="62" t="n"/>
      <c r="AQ16" s="62" t="n"/>
      <c r="AR16" s="62" t="n"/>
      <c r="AS16" s="62" t="n"/>
      <c r="AT16" s="62" t="n"/>
      <c r="AU16" s="62" t="n"/>
      <c r="AV16" s="62" t="n"/>
      <c r="AW16" s="62" t="n"/>
      <c r="AX16" s="62" t="n"/>
      <c r="AY16" s="62" t="n"/>
    </row>
    <row r="17">
      <c r="A17" s="38">
        <f>IF(D17="","",COUNTA($D$9:D17))</f>
        <v/>
      </c>
      <c r="B17" s="52" t="n"/>
      <c r="C17" s="53" t="inlineStr">
        <is>
          <t>마케팅1팀</t>
        </is>
      </c>
      <c r="D17" s="52" t="n"/>
      <c r="E17" s="54" t="n"/>
      <c r="F17" s="52" t="n"/>
      <c r="G17" s="55" t="n"/>
      <c r="H17" s="54" t="n"/>
      <c r="I17" s="54" t="n"/>
      <c r="J17" s="54" t="n"/>
      <c r="K17" s="56">
        <f>IF(SUM(U17:AY17)=0,"",SUM(U17:AY17))</f>
        <v/>
      </c>
      <c r="L17" s="57">
        <f>IFERROR(INDEX(U$2:AY$2,MATCH(TRUE,U17:AY17&lt;&gt;"",0)),"")</f>
        <v/>
      </c>
      <c r="M17" s="58">
        <f>IFERROR(LOOKUP(2,1/(U17:AY17&lt;&gt;""),U$2:AY$2),"")</f>
        <v/>
      </c>
      <c r="N17" s="59">
        <f>IF(OR(G17="",M17=""),"",G17-M17)</f>
        <v/>
      </c>
      <c r="O17" s="60" t="n"/>
      <c r="P17" s="61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  <c r="AG17" s="62" t="n"/>
      <c r="AH17" s="62" t="n"/>
      <c r="AI17" s="62" t="n"/>
      <c r="AJ17" s="62" t="n"/>
      <c r="AK17" s="62" t="n"/>
      <c r="AL17" s="62" t="n"/>
      <c r="AM17" s="62" t="n"/>
      <c r="AN17" s="62" t="n"/>
      <c r="AO17" s="62" t="n"/>
      <c r="AP17" s="62" t="n"/>
      <c r="AQ17" s="62" t="n"/>
      <c r="AR17" s="62" t="n"/>
      <c r="AS17" s="62" t="n"/>
      <c r="AT17" s="62" t="n"/>
      <c r="AU17" s="62" t="n"/>
      <c r="AV17" s="62" t="n"/>
      <c r="AW17" s="62" t="n"/>
      <c r="AX17" s="62" t="n"/>
      <c r="AY17" s="62" t="n"/>
    </row>
    <row r="18">
      <c r="A18" s="38">
        <f>IF(D18="","",COUNTA($D$9:D18))</f>
        <v/>
      </c>
      <c r="B18" s="52" t="n"/>
      <c r="C18" s="53" t="inlineStr">
        <is>
          <t>마케팅1팀</t>
        </is>
      </c>
      <c r="D18" s="52" t="n"/>
      <c r="E18" s="54" t="n"/>
      <c r="F18" s="52" t="n"/>
      <c r="G18" s="55" t="n"/>
      <c r="H18" s="54" t="n"/>
      <c r="I18" s="54" t="n"/>
      <c r="J18" s="54" t="n"/>
      <c r="K18" s="56">
        <f>IF(SUM(U18:AY18)=0,"",SUM(U18:AY18))</f>
        <v/>
      </c>
      <c r="L18" s="57">
        <f>IFERROR(INDEX(U$2:AY$2,MATCH(TRUE,U18:AY18&lt;&gt;"",0)),"")</f>
        <v/>
      </c>
      <c r="M18" s="58">
        <f>IFERROR(LOOKUP(2,1/(U18:AY18&lt;&gt;""),U$2:AY$2),"")</f>
        <v/>
      </c>
      <c r="N18" s="59">
        <f>IF(OR(G18="",M18=""),"",G18-M18)</f>
        <v/>
      </c>
      <c r="O18" s="60" t="n"/>
      <c r="P18" s="61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  <c r="AG18" s="62" t="n"/>
      <c r="AH18" s="62" t="n"/>
      <c r="AI18" s="62" t="n"/>
      <c r="AJ18" s="62" t="n"/>
      <c r="AK18" s="62" t="n"/>
      <c r="AL18" s="62" t="n"/>
      <c r="AM18" s="62" t="n"/>
      <c r="AN18" s="62" t="n"/>
      <c r="AO18" s="62" t="n"/>
      <c r="AP18" s="62" t="n"/>
      <c r="AQ18" s="62" t="n"/>
      <c r="AR18" s="62" t="n"/>
      <c r="AS18" s="62" t="n"/>
      <c r="AT18" s="62" t="n"/>
      <c r="AU18" s="62" t="n"/>
      <c r="AV18" s="62" t="n"/>
      <c r="AW18" s="62" t="n"/>
      <c r="AX18" s="62" t="n"/>
      <c r="AY18" s="62" t="n"/>
    </row>
    <row r="19">
      <c r="A19" s="38">
        <f>IF(D19="","",COUNTA($D$9:D19))</f>
        <v/>
      </c>
      <c r="B19" s="52" t="n"/>
      <c r="C19" s="53" t="inlineStr">
        <is>
          <t>마케팅1팀</t>
        </is>
      </c>
      <c r="D19" s="52" t="n"/>
      <c r="E19" s="54" t="n"/>
      <c r="F19" s="52" t="n"/>
      <c r="G19" s="55" t="n"/>
      <c r="H19" s="54" t="n"/>
      <c r="I19" s="54" t="n"/>
      <c r="J19" s="54" t="n"/>
      <c r="K19" s="56">
        <f>IF(SUM(U19:AY19)=0,"",SUM(U19:AY19))</f>
        <v/>
      </c>
      <c r="L19" s="57">
        <f>IFERROR(INDEX(U$2:AY$2,MATCH(TRUE,U19:AY19&lt;&gt;"",0)),"")</f>
        <v/>
      </c>
      <c r="M19" s="58">
        <f>IFERROR(LOOKUP(2,1/(U19:AY19&lt;&gt;""),U$2:AY$2),"")</f>
        <v/>
      </c>
      <c r="N19" s="59">
        <f>IF(OR(G19="",M19=""),"",G19-M19)</f>
        <v/>
      </c>
      <c r="O19" s="60" t="n"/>
      <c r="P19" s="61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  <c r="AG19" s="62" t="n"/>
      <c r="AH19" s="62" t="n"/>
      <c r="AI19" s="62" t="n"/>
      <c r="AJ19" s="62" t="n"/>
      <c r="AK19" s="62" t="n"/>
      <c r="AL19" s="62" t="n"/>
      <c r="AM19" s="62" t="n"/>
      <c r="AN19" s="62" t="n"/>
      <c r="AO19" s="62" t="n"/>
      <c r="AP19" s="62" t="n"/>
      <c r="AQ19" s="62" t="n"/>
      <c r="AR19" s="62" t="n"/>
      <c r="AS19" s="62" t="n"/>
      <c r="AT19" s="62" t="n"/>
      <c r="AU19" s="62" t="n"/>
      <c r="AV19" s="62" t="n"/>
      <c r="AW19" s="62" t="n"/>
      <c r="AX19" s="62" t="n"/>
      <c r="AY19" s="62" t="n"/>
    </row>
    <row r="20">
      <c r="A20" s="38">
        <f>IF(D20="","",COUNTA($D$9:D20))</f>
        <v/>
      </c>
      <c r="B20" s="52" t="n"/>
      <c r="C20" s="53" t="inlineStr">
        <is>
          <t>마케팅1팀</t>
        </is>
      </c>
      <c r="D20" s="52" t="n"/>
      <c r="E20" s="54" t="n"/>
      <c r="F20" s="52" t="n"/>
      <c r="G20" s="55" t="n"/>
      <c r="H20" s="54" t="n"/>
      <c r="I20" s="54" t="n"/>
      <c r="J20" s="54" t="n"/>
      <c r="K20" s="56">
        <f>IF(SUM(U20:AY20)=0,"",SUM(U20:AY20))</f>
        <v/>
      </c>
      <c r="L20" s="57">
        <f>IFERROR(INDEX(U$2:AY$2,MATCH(TRUE,U20:AY20&lt;&gt;"",0)),"")</f>
        <v/>
      </c>
      <c r="M20" s="58">
        <f>IFERROR(LOOKUP(2,1/(U20:AY20&lt;&gt;""),U$2:AY$2),"")</f>
        <v/>
      </c>
      <c r="N20" s="59">
        <f>IF(OR(G20="",M20=""),"",G20-M20)</f>
        <v/>
      </c>
      <c r="O20" s="60" t="n"/>
      <c r="P20" s="61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  <c r="AG20" s="62" t="n"/>
      <c r="AH20" s="62" t="n"/>
      <c r="AI20" s="62" t="n"/>
      <c r="AJ20" s="62" t="n"/>
      <c r="AK20" s="62" t="n"/>
      <c r="AL20" s="62" t="n"/>
      <c r="AM20" s="62" t="n"/>
      <c r="AN20" s="62" t="n"/>
      <c r="AO20" s="62" t="n"/>
      <c r="AP20" s="62" t="n"/>
      <c r="AQ20" s="62" t="n"/>
      <c r="AR20" s="62" t="n"/>
      <c r="AS20" s="62" t="n"/>
      <c r="AT20" s="62" t="n"/>
      <c r="AU20" s="62" t="n"/>
      <c r="AV20" s="62" t="n"/>
      <c r="AW20" s="62" t="n"/>
      <c r="AX20" s="62" t="n"/>
      <c r="AY20" s="62" t="n"/>
    </row>
    <row r="21">
      <c r="A21" s="38">
        <f>IF(D21="","",COUNTA($D$9:D21))</f>
        <v/>
      </c>
      <c r="B21" s="52" t="n"/>
      <c r="C21" s="53" t="inlineStr">
        <is>
          <t>마케팅1팀</t>
        </is>
      </c>
      <c r="D21" s="52" t="n"/>
      <c r="E21" s="54" t="n"/>
      <c r="F21" s="52" t="n"/>
      <c r="G21" s="55" t="n"/>
      <c r="H21" s="54" t="n"/>
      <c r="I21" s="54" t="n"/>
      <c r="J21" s="54" t="n"/>
      <c r="K21" s="56">
        <f>IF(SUM(U21:AY21)=0,"",SUM(U21:AY21))</f>
        <v/>
      </c>
      <c r="L21" s="57">
        <f>IFERROR(INDEX(U$2:AY$2,MATCH(TRUE,U21:AY21&lt;&gt;"",0)),"")</f>
        <v/>
      </c>
      <c r="M21" s="58">
        <f>IFERROR(LOOKUP(2,1/(U21:AY21&lt;&gt;""),U$2:AY$2),"")</f>
        <v/>
      </c>
      <c r="N21" s="59">
        <f>IF(OR(G21="",M21=""),"",G21-M21)</f>
        <v/>
      </c>
      <c r="O21" s="60" t="n"/>
      <c r="P21" s="61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  <c r="AG21" s="62" t="n"/>
      <c r="AH21" s="62" t="n"/>
      <c r="AI21" s="62" t="n"/>
      <c r="AJ21" s="62" t="n"/>
      <c r="AK21" s="62" t="n"/>
      <c r="AL21" s="62" t="n"/>
      <c r="AM21" s="62" t="n"/>
      <c r="AN21" s="62" t="n"/>
      <c r="AO21" s="62" t="n"/>
      <c r="AP21" s="62" t="n"/>
      <c r="AQ21" s="62" t="n"/>
      <c r="AR21" s="62" t="n"/>
      <c r="AS21" s="62" t="n"/>
      <c r="AT21" s="62" t="n"/>
      <c r="AU21" s="62" t="n"/>
      <c r="AV21" s="62" t="n"/>
      <c r="AW21" s="62" t="n"/>
      <c r="AX21" s="62" t="n"/>
      <c r="AY21" s="62" t="n"/>
    </row>
    <row r="22">
      <c r="A22" s="38">
        <f>IF(D22="","",COUNTA($D$9:D22))</f>
        <v/>
      </c>
      <c r="B22" s="52" t="n"/>
      <c r="C22" s="53" t="inlineStr">
        <is>
          <t>마케팅1팀</t>
        </is>
      </c>
      <c r="D22" s="52" t="n"/>
      <c r="E22" s="54" t="n"/>
      <c r="F22" s="52" t="n"/>
      <c r="G22" s="55" t="n"/>
      <c r="H22" s="54" t="n"/>
      <c r="I22" s="54" t="n"/>
      <c r="J22" s="54" t="n"/>
      <c r="K22" s="56">
        <f>IF(SUM(U22:AY22)=0,"",SUM(U22:AY22))</f>
        <v/>
      </c>
      <c r="L22" s="57">
        <f>IFERROR(INDEX(U$2:AY$2,MATCH(TRUE,U22:AY22&lt;&gt;"",0)),"")</f>
        <v/>
      </c>
      <c r="M22" s="58">
        <f>IFERROR(LOOKUP(2,1/(U22:AY22&lt;&gt;""),U$2:AY$2),"")</f>
        <v/>
      </c>
      <c r="N22" s="59">
        <f>IF(OR(G22="",M22=""),"",G22-M22)</f>
        <v/>
      </c>
      <c r="O22" s="60" t="n"/>
      <c r="P22" s="61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  <c r="AG22" s="62" t="n"/>
      <c r="AH22" s="62" t="n"/>
      <c r="AI22" s="62" t="n"/>
      <c r="AJ22" s="62" t="n"/>
      <c r="AK22" s="62" t="n"/>
      <c r="AL22" s="62" t="n"/>
      <c r="AM22" s="62" t="n"/>
      <c r="AN22" s="62" t="n"/>
      <c r="AO22" s="62" t="n"/>
      <c r="AP22" s="62" t="n"/>
      <c r="AQ22" s="62" t="n"/>
      <c r="AR22" s="62" t="n"/>
      <c r="AS22" s="62" t="n"/>
      <c r="AT22" s="62" t="n"/>
      <c r="AU22" s="62" t="n"/>
      <c r="AV22" s="62" t="n"/>
      <c r="AW22" s="62" t="n"/>
      <c r="AX22" s="62" t="n"/>
      <c r="AY22" s="62" t="n"/>
    </row>
    <row r="23">
      <c r="A23" s="38">
        <f>IF(D23="","",COUNTA($D$9:D23))</f>
        <v/>
      </c>
      <c r="B23" s="52" t="n"/>
      <c r="C23" s="53" t="inlineStr">
        <is>
          <t>마케팅1팀</t>
        </is>
      </c>
      <c r="D23" s="52" t="n"/>
      <c r="E23" s="54" t="n"/>
      <c r="F23" s="52" t="n"/>
      <c r="G23" s="55" t="n"/>
      <c r="H23" s="54" t="n"/>
      <c r="I23" s="54" t="n"/>
      <c r="J23" s="54" t="n"/>
      <c r="K23" s="56">
        <f>IF(SUM(U23:AY23)=0,"",SUM(U23:AY23))</f>
        <v/>
      </c>
      <c r="L23" s="57">
        <f>IFERROR(INDEX(U$2:AY$2,MATCH(TRUE,U23:AY23&lt;&gt;"",0)),"")</f>
        <v/>
      </c>
      <c r="M23" s="58">
        <f>IFERROR(LOOKUP(2,1/(U23:AY23&lt;&gt;""),U$2:AY$2),"")</f>
        <v/>
      </c>
      <c r="N23" s="59">
        <f>IF(OR(G23="",M23=""),"",G23-M23)</f>
        <v/>
      </c>
      <c r="O23" s="60" t="n"/>
      <c r="P23" s="61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  <c r="AG23" s="62" t="n"/>
      <c r="AH23" s="62" t="n"/>
      <c r="AI23" s="62" t="n"/>
      <c r="AJ23" s="62" t="n"/>
      <c r="AK23" s="62" t="n"/>
      <c r="AL23" s="62" t="n"/>
      <c r="AM23" s="62" t="n"/>
      <c r="AN23" s="62" t="n"/>
      <c r="AO23" s="62" t="n"/>
      <c r="AP23" s="62" t="n"/>
      <c r="AQ23" s="62" t="n"/>
      <c r="AR23" s="62" t="n"/>
      <c r="AS23" s="62" t="n"/>
      <c r="AT23" s="62" t="n"/>
      <c r="AU23" s="62" t="n"/>
      <c r="AV23" s="62" t="n"/>
      <c r="AW23" s="62" t="n"/>
      <c r="AX23" s="62" t="n"/>
      <c r="AY23" s="62" t="n"/>
    </row>
    <row r="24">
      <c r="A24" s="38">
        <f>IF(D24="","",COUNTA($D$9:D24))</f>
        <v/>
      </c>
      <c r="B24" s="52" t="n"/>
      <c r="C24" s="53" t="inlineStr">
        <is>
          <t>마케팅1팀</t>
        </is>
      </c>
      <c r="D24" s="52" t="n"/>
      <c r="E24" s="54" t="n"/>
      <c r="F24" s="52" t="n"/>
      <c r="G24" s="55" t="n"/>
      <c r="H24" s="54" t="n"/>
      <c r="I24" s="54" t="n"/>
      <c r="J24" s="54" t="n"/>
      <c r="K24" s="56">
        <f>IF(SUM(U24:AY24)=0,"",SUM(U24:AY24))</f>
        <v/>
      </c>
      <c r="L24" s="57">
        <f>IFERROR(INDEX(U$2:AY$2,MATCH(TRUE,U24:AY24&lt;&gt;"",0)),"")</f>
        <v/>
      </c>
      <c r="M24" s="58">
        <f>IFERROR(LOOKUP(2,1/(U24:AY24&lt;&gt;""),U$2:AY$2),"")</f>
        <v/>
      </c>
      <c r="N24" s="59">
        <f>IF(OR(G24="",M24=""),"",G24-M24)</f>
        <v/>
      </c>
      <c r="O24" s="60" t="n"/>
      <c r="P24" s="61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  <c r="AG24" s="62" t="n"/>
      <c r="AH24" s="62" t="n"/>
      <c r="AI24" s="62" t="n"/>
      <c r="AJ24" s="62" t="n"/>
      <c r="AK24" s="62" t="n"/>
      <c r="AL24" s="62" t="n"/>
      <c r="AM24" s="62" t="n"/>
      <c r="AN24" s="62" t="n"/>
      <c r="AO24" s="62" t="n"/>
      <c r="AP24" s="62" t="n"/>
      <c r="AQ24" s="62" t="n"/>
      <c r="AR24" s="62" t="n"/>
      <c r="AS24" s="62" t="n"/>
      <c r="AT24" s="62" t="n"/>
      <c r="AU24" s="62" t="n"/>
      <c r="AV24" s="62" t="n"/>
      <c r="AW24" s="62" t="n"/>
      <c r="AX24" s="62" t="n"/>
      <c r="AY24" s="62" t="n"/>
    </row>
    <row r="25">
      <c r="A25" s="38">
        <f>IF(D25="","",COUNTA($D$9:D25))</f>
        <v/>
      </c>
      <c r="B25" s="52" t="n"/>
      <c r="C25" s="53" t="inlineStr">
        <is>
          <t>마케팅1팀</t>
        </is>
      </c>
      <c r="D25" s="52" t="n"/>
      <c r="E25" s="54" t="n"/>
      <c r="F25" s="52" t="n"/>
      <c r="G25" s="55" t="n"/>
      <c r="H25" s="54" t="n"/>
      <c r="I25" s="54" t="n"/>
      <c r="J25" s="54" t="n"/>
      <c r="K25" s="56">
        <f>IF(SUM(U25:AY25)=0,"",SUM(U25:AY25))</f>
        <v/>
      </c>
      <c r="L25" s="57">
        <f>IFERROR(INDEX(U$2:AY$2,MATCH(TRUE,U25:AY25&lt;&gt;"",0)),"")</f>
        <v/>
      </c>
      <c r="M25" s="58">
        <f>IFERROR(LOOKUP(2,1/(U25:AY25&lt;&gt;""),U$2:AY$2),"")</f>
        <v/>
      </c>
      <c r="N25" s="59">
        <f>IF(OR(G25="",M25=""),"",G25-M25)</f>
        <v/>
      </c>
      <c r="O25" s="60" t="n"/>
      <c r="P25" s="61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  <c r="AG25" s="62" t="n"/>
      <c r="AH25" s="62" t="n"/>
      <c r="AI25" s="62" t="n"/>
      <c r="AJ25" s="62" t="n"/>
      <c r="AK25" s="62" t="n"/>
      <c r="AL25" s="62" t="n"/>
      <c r="AM25" s="62" t="n"/>
      <c r="AN25" s="62" t="n"/>
      <c r="AO25" s="62" t="n"/>
      <c r="AP25" s="62" t="n"/>
      <c r="AQ25" s="62" t="n"/>
      <c r="AR25" s="62" t="n"/>
      <c r="AS25" s="62" t="n"/>
      <c r="AT25" s="62" t="n"/>
      <c r="AU25" s="62" t="n"/>
      <c r="AV25" s="62" t="n"/>
      <c r="AW25" s="62" t="n"/>
      <c r="AX25" s="62" t="n"/>
      <c r="AY25" s="62" t="n"/>
    </row>
    <row r="26">
      <c r="A26" s="38">
        <f>IF(D26="","",COUNTA($D$9:D26))</f>
        <v/>
      </c>
      <c r="B26" s="52" t="n"/>
      <c r="C26" s="53" t="inlineStr">
        <is>
          <t>마케팅1팀</t>
        </is>
      </c>
      <c r="D26" s="52" t="n"/>
      <c r="E26" s="54" t="n"/>
      <c r="F26" s="52" t="n"/>
      <c r="G26" s="55" t="n"/>
      <c r="H26" s="54" t="n"/>
      <c r="I26" s="54" t="n"/>
      <c r="J26" s="54" t="n"/>
      <c r="K26" s="56">
        <f>IF(SUM(U26:AY26)=0,"",SUM(U26:AY26))</f>
        <v/>
      </c>
      <c r="L26" s="57">
        <f>IFERROR(INDEX(U$2:AY$2,MATCH(TRUE,U26:AY26&lt;&gt;"",0)),"")</f>
        <v/>
      </c>
      <c r="M26" s="58">
        <f>IFERROR(LOOKUP(2,1/(U26:AY26&lt;&gt;""),U$2:AY$2),"")</f>
        <v/>
      </c>
      <c r="N26" s="59">
        <f>IF(OR(G26="",M26=""),"",G26-M26)</f>
        <v/>
      </c>
      <c r="O26" s="60" t="n"/>
      <c r="P26" s="61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  <c r="AG26" s="62" t="n"/>
      <c r="AH26" s="62" t="n"/>
      <c r="AI26" s="62" t="n"/>
      <c r="AJ26" s="62" t="n"/>
      <c r="AK26" s="62" t="n"/>
      <c r="AL26" s="62" t="n"/>
      <c r="AM26" s="62" t="n"/>
      <c r="AN26" s="62" t="n"/>
      <c r="AO26" s="62" t="n"/>
      <c r="AP26" s="62" t="n"/>
      <c r="AQ26" s="62" t="n"/>
      <c r="AR26" s="62" t="n"/>
      <c r="AS26" s="62" t="n"/>
      <c r="AT26" s="62" t="n"/>
      <c r="AU26" s="62" t="n"/>
      <c r="AV26" s="62" t="n"/>
      <c r="AW26" s="62" t="n"/>
      <c r="AX26" s="62" t="n"/>
      <c r="AY26" s="62" t="n"/>
    </row>
    <row r="27">
      <c r="A27" s="38">
        <f>IF(D27="","",COUNTA($D$9:D27))</f>
        <v/>
      </c>
      <c r="B27" s="52" t="n"/>
      <c r="C27" s="53" t="inlineStr">
        <is>
          <t>마케팅1팀</t>
        </is>
      </c>
      <c r="D27" s="52" t="n"/>
      <c r="E27" s="54" t="n"/>
      <c r="F27" s="52" t="n"/>
      <c r="G27" s="55" t="n"/>
      <c r="H27" s="54" t="n"/>
      <c r="I27" s="54" t="n"/>
      <c r="J27" s="54" t="n"/>
      <c r="K27" s="56">
        <f>IF(SUM(U27:AY27)=0,"",SUM(U27:AY27))</f>
        <v/>
      </c>
      <c r="L27" s="57">
        <f>IFERROR(INDEX(U$2:AY$2,MATCH(TRUE,U27:AY27&lt;&gt;"",0)),"")</f>
        <v/>
      </c>
      <c r="M27" s="58">
        <f>IFERROR(LOOKUP(2,1/(U27:AY27&lt;&gt;""),U$2:AY$2),"")</f>
        <v/>
      </c>
      <c r="N27" s="59">
        <f>IF(OR(G27="",M27=""),"",G27-M27)</f>
        <v/>
      </c>
      <c r="O27" s="60" t="n"/>
      <c r="P27" s="61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  <c r="AG27" s="62" t="n"/>
      <c r="AH27" s="62" t="n"/>
      <c r="AI27" s="62" t="n"/>
      <c r="AJ27" s="62" t="n"/>
      <c r="AK27" s="62" t="n"/>
      <c r="AL27" s="62" t="n"/>
      <c r="AM27" s="62" t="n"/>
      <c r="AN27" s="62" t="n"/>
      <c r="AO27" s="62" t="n"/>
      <c r="AP27" s="62" t="n"/>
      <c r="AQ27" s="62" t="n"/>
      <c r="AR27" s="62" t="n"/>
      <c r="AS27" s="62" t="n"/>
      <c r="AT27" s="62" t="n"/>
      <c r="AU27" s="62" t="n"/>
      <c r="AV27" s="62" t="n"/>
      <c r="AW27" s="62" t="n"/>
      <c r="AX27" s="62" t="n"/>
      <c r="AY27" s="62" t="n"/>
    </row>
    <row r="28">
      <c r="A28" s="38">
        <f>IF(D28="","",COUNTA($D$9:D28))</f>
        <v/>
      </c>
      <c r="B28" s="52" t="n"/>
      <c r="C28" s="53" t="inlineStr">
        <is>
          <t>마케팅1팀</t>
        </is>
      </c>
      <c r="D28" s="52" t="n"/>
      <c r="E28" s="54" t="n"/>
      <c r="F28" s="52" t="n"/>
      <c r="G28" s="55" t="n"/>
      <c r="H28" s="54" t="n"/>
      <c r="I28" s="54" t="n"/>
      <c r="J28" s="54" t="n"/>
      <c r="K28" s="56">
        <f>IF(SUM(U28:AY28)=0,"",SUM(U28:AY28))</f>
        <v/>
      </c>
      <c r="L28" s="57">
        <f>IFERROR(INDEX(U$2:AY$2,MATCH(TRUE,U28:AY28&lt;&gt;"",0)),"")</f>
        <v/>
      </c>
      <c r="M28" s="58">
        <f>IFERROR(LOOKUP(2,1/(U28:AY28&lt;&gt;""),U$2:AY$2),"")</f>
        <v/>
      </c>
      <c r="N28" s="59">
        <f>IF(OR(G28="",M28=""),"",G28-M28)</f>
        <v/>
      </c>
      <c r="O28" s="60" t="n"/>
      <c r="P28" s="61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  <c r="AG28" s="62" t="n"/>
      <c r="AH28" s="62" t="n"/>
      <c r="AI28" s="62" t="n"/>
      <c r="AJ28" s="62" t="n"/>
      <c r="AK28" s="62" t="n"/>
      <c r="AL28" s="62" t="n"/>
      <c r="AM28" s="62" t="n"/>
      <c r="AN28" s="62" t="n"/>
      <c r="AO28" s="62" t="n"/>
      <c r="AP28" s="62" t="n"/>
      <c r="AQ28" s="62" t="n"/>
      <c r="AR28" s="62" t="n"/>
      <c r="AS28" s="62" t="n"/>
      <c r="AT28" s="62" t="n"/>
      <c r="AU28" s="62" t="n"/>
      <c r="AV28" s="62" t="n"/>
      <c r="AW28" s="62" t="n"/>
      <c r="AX28" s="62" t="n"/>
      <c r="AY28" s="62" t="n"/>
    </row>
    <row r="29">
      <c r="A29" s="38">
        <f>IF(D29="","",COUNTA($D$9:D29))</f>
        <v/>
      </c>
      <c r="B29" s="52" t="n"/>
      <c r="C29" s="53" t="inlineStr">
        <is>
          <t>마케팅1팀</t>
        </is>
      </c>
      <c r="D29" s="52" t="n"/>
      <c r="E29" s="54" t="n"/>
      <c r="F29" s="52" t="n"/>
      <c r="G29" s="55" t="n"/>
      <c r="H29" s="54" t="n"/>
      <c r="I29" s="54" t="n"/>
      <c r="J29" s="54" t="n"/>
      <c r="K29" s="56">
        <f>IF(SUM(U29:AY29)=0,"",SUM(U29:AY29))</f>
        <v/>
      </c>
      <c r="L29" s="57">
        <f>IFERROR(INDEX(U$2:AY$2,MATCH(TRUE,U29:AY29&lt;&gt;"",0)),"")</f>
        <v/>
      </c>
      <c r="M29" s="58">
        <f>IFERROR(LOOKUP(2,1/(U29:AY29&lt;&gt;""),U$2:AY$2),"")</f>
        <v/>
      </c>
      <c r="N29" s="59">
        <f>IF(OR(G29="",M29=""),"",G29-M29)</f>
        <v/>
      </c>
      <c r="O29" s="60" t="n"/>
      <c r="P29" s="61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  <c r="AG29" s="62" t="n"/>
      <c r="AH29" s="62" t="n"/>
      <c r="AI29" s="62" t="n"/>
      <c r="AJ29" s="62" t="n"/>
      <c r="AK29" s="62" t="n"/>
      <c r="AL29" s="62" t="n"/>
      <c r="AM29" s="62" t="n"/>
      <c r="AN29" s="62" t="n"/>
      <c r="AO29" s="62" t="n"/>
      <c r="AP29" s="62" t="n"/>
      <c r="AQ29" s="62" t="n"/>
      <c r="AR29" s="62" t="n"/>
      <c r="AS29" s="62" t="n"/>
      <c r="AT29" s="62" t="n"/>
      <c r="AU29" s="62" t="n"/>
      <c r="AV29" s="62" t="n"/>
      <c r="AW29" s="62" t="n"/>
      <c r="AX29" s="62" t="n"/>
      <c r="AY29" s="62" t="n"/>
    </row>
    <row r="30">
      <c r="A30" s="38">
        <f>IF(D30="","",COUNTA($D$9:D30))</f>
        <v/>
      </c>
      <c r="B30" s="52" t="n"/>
      <c r="C30" s="53" t="inlineStr">
        <is>
          <t>마케팅1팀</t>
        </is>
      </c>
      <c r="D30" s="52" t="n"/>
      <c r="E30" s="54" t="n"/>
      <c r="F30" s="52" t="n"/>
      <c r="G30" s="55" t="n"/>
      <c r="H30" s="54" t="n"/>
      <c r="I30" s="54" t="n"/>
      <c r="J30" s="54" t="n"/>
      <c r="K30" s="56">
        <f>IF(SUM(U30:AY30)=0,"",SUM(U30:AY30))</f>
        <v/>
      </c>
      <c r="L30" s="57">
        <f>IFERROR(INDEX(U$2:AY$2,MATCH(TRUE,U30:AY30&lt;&gt;"",0)),"")</f>
        <v/>
      </c>
      <c r="M30" s="58">
        <f>IFERROR(LOOKUP(2,1/(U30:AY30&lt;&gt;""),U$2:AY$2),"")</f>
        <v/>
      </c>
      <c r="N30" s="59">
        <f>IF(OR(G30="",M30=""),"",G30-M30)</f>
        <v/>
      </c>
      <c r="O30" s="60" t="n"/>
      <c r="P30" s="61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  <c r="AG30" s="62" t="n"/>
      <c r="AH30" s="62" t="n"/>
      <c r="AI30" s="62" t="n"/>
      <c r="AJ30" s="62" t="n"/>
      <c r="AK30" s="62" t="n"/>
      <c r="AL30" s="62" t="n"/>
      <c r="AM30" s="62" t="n"/>
      <c r="AN30" s="62" t="n"/>
      <c r="AO30" s="62" t="n"/>
      <c r="AP30" s="62" t="n"/>
      <c r="AQ30" s="62" t="n"/>
      <c r="AR30" s="62" t="n"/>
      <c r="AS30" s="62" t="n"/>
      <c r="AT30" s="62" t="n"/>
      <c r="AU30" s="62" t="n"/>
      <c r="AV30" s="62" t="n"/>
      <c r="AW30" s="62" t="n"/>
      <c r="AX30" s="62" t="n"/>
      <c r="AY30" s="62" t="n"/>
    </row>
    <row r="31">
      <c r="A31" s="38">
        <f>IF(D31="","",COUNTA($D$9:D31))</f>
        <v/>
      </c>
      <c r="B31" s="52" t="n"/>
      <c r="C31" s="53" t="inlineStr">
        <is>
          <t>마케팅1팀</t>
        </is>
      </c>
      <c r="D31" s="52" t="n"/>
      <c r="E31" s="54" t="n"/>
      <c r="F31" s="52" t="n"/>
      <c r="G31" s="55" t="n"/>
      <c r="H31" s="54" t="n"/>
      <c r="I31" s="54" t="n"/>
      <c r="J31" s="54" t="n"/>
      <c r="K31" s="56">
        <f>IF(SUM(U31:AY31)=0,"",SUM(U31:AY31))</f>
        <v/>
      </c>
      <c r="L31" s="57">
        <f>IFERROR(INDEX(U$2:AY$2,MATCH(TRUE,U31:AY31&lt;&gt;"",0)),"")</f>
        <v/>
      </c>
      <c r="M31" s="58">
        <f>IFERROR(LOOKUP(2,1/(U31:AY31&lt;&gt;""),U$2:AY$2),"")</f>
        <v/>
      </c>
      <c r="N31" s="59">
        <f>IF(OR(G31="",M31=""),"",G31-M31)</f>
        <v/>
      </c>
      <c r="O31" s="60" t="n"/>
      <c r="P31" s="61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  <c r="AG31" s="62" t="n"/>
      <c r="AH31" s="62" t="n"/>
      <c r="AI31" s="62" t="n"/>
      <c r="AJ31" s="62" t="n"/>
      <c r="AK31" s="62" t="n"/>
      <c r="AL31" s="62" t="n"/>
      <c r="AM31" s="62" t="n"/>
      <c r="AN31" s="62" t="n"/>
      <c r="AO31" s="62" t="n"/>
      <c r="AP31" s="62" t="n"/>
      <c r="AQ31" s="62" t="n"/>
      <c r="AR31" s="62" t="n"/>
      <c r="AS31" s="62" t="n"/>
      <c r="AT31" s="62" t="n"/>
      <c r="AU31" s="62" t="n"/>
      <c r="AV31" s="62" t="n"/>
      <c r="AW31" s="62" t="n"/>
      <c r="AX31" s="62" t="n"/>
      <c r="AY31" s="62" t="n"/>
    </row>
    <row r="32">
      <c r="A32" s="38">
        <f>IF(D32="","",COUNTA($D$9:D32))</f>
        <v/>
      </c>
      <c r="B32" s="52" t="n"/>
      <c r="C32" s="53" t="inlineStr">
        <is>
          <t>마케팅1팀</t>
        </is>
      </c>
      <c r="D32" s="52" t="n"/>
      <c r="E32" s="54" t="n"/>
      <c r="F32" s="52" t="n"/>
      <c r="G32" s="55" t="n"/>
      <c r="H32" s="54" t="n"/>
      <c r="I32" s="54" t="n"/>
      <c r="J32" s="54" t="n"/>
      <c r="K32" s="56">
        <f>IF(SUM(U32:AY32)=0,"",SUM(U32:AY32))</f>
        <v/>
      </c>
      <c r="L32" s="57">
        <f>IFERROR(INDEX(U$2:AY$2,MATCH(TRUE,U32:AY32&lt;&gt;"",0)),"")</f>
        <v/>
      </c>
      <c r="M32" s="58">
        <f>IFERROR(LOOKUP(2,1/(U32:AY32&lt;&gt;""),U$2:AY$2),"")</f>
        <v/>
      </c>
      <c r="N32" s="59">
        <f>IF(OR(G32="",M32=""),"",G32-M32)</f>
        <v/>
      </c>
      <c r="O32" s="60" t="n"/>
      <c r="P32" s="61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  <c r="AG32" s="62" t="n"/>
      <c r="AH32" s="62" t="n"/>
      <c r="AI32" s="62" t="n"/>
      <c r="AJ32" s="62" t="n"/>
      <c r="AK32" s="62" t="n"/>
      <c r="AL32" s="62" t="n"/>
      <c r="AM32" s="62" t="n"/>
      <c r="AN32" s="62" t="n"/>
      <c r="AO32" s="62" t="n"/>
      <c r="AP32" s="62" t="n"/>
      <c r="AQ32" s="62" t="n"/>
      <c r="AR32" s="62" t="n"/>
      <c r="AS32" s="62" t="n"/>
      <c r="AT32" s="62" t="n"/>
      <c r="AU32" s="62" t="n"/>
      <c r="AV32" s="62" t="n"/>
      <c r="AW32" s="62" t="n"/>
      <c r="AX32" s="62" t="n"/>
      <c r="AY32" s="62" t="n"/>
    </row>
    <row r="33">
      <c r="A33" s="38">
        <f>IF(D33="","",COUNTA($D$9:D33))</f>
        <v/>
      </c>
      <c r="B33" s="52" t="n"/>
      <c r="C33" s="53" t="inlineStr">
        <is>
          <t>마케팅1팀</t>
        </is>
      </c>
      <c r="D33" s="52" t="n"/>
      <c r="E33" s="54" t="n"/>
      <c r="F33" s="52" t="n"/>
      <c r="G33" s="55" t="n"/>
      <c r="H33" s="54" t="n"/>
      <c r="I33" s="54" t="n"/>
      <c r="J33" s="54" t="n"/>
      <c r="K33" s="56">
        <f>IF(SUM(U33:AY33)=0,"",SUM(U33:AY33))</f>
        <v/>
      </c>
      <c r="L33" s="57">
        <f>IFERROR(INDEX(U$2:AY$2,MATCH(TRUE,U33:AY33&lt;&gt;"",0)),"")</f>
        <v/>
      </c>
      <c r="M33" s="58">
        <f>IFERROR(LOOKUP(2,1/(U33:AY33&lt;&gt;""),U$2:AY$2),"")</f>
        <v/>
      </c>
      <c r="N33" s="59">
        <f>IF(OR(G33="",M33=""),"",G33-M33)</f>
        <v/>
      </c>
      <c r="O33" s="60" t="n"/>
      <c r="P33" s="61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  <c r="AG33" s="62" t="n"/>
      <c r="AH33" s="62" t="n"/>
      <c r="AI33" s="62" t="n"/>
      <c r="AJ33" s="62" t="n"/>
      <c r="AK33" s="62" t="n"/>
      <c r="AL33" s="62" t="n"/>
      <c r="AM33" s="62" t="n"/>
      <c r="AN33" s="62" t="n"/>
      <c r="AO33" s="62" t="n"/>
      <c r="AP33" s="62" t="n"/>
      <c r="AQ33" s="62" t="n"/>
      <c r="AR33" s="62" t="n"/>
      <c r="AS33" s="62" t="n"/>
      <c r="AT33" s="62" t="n"/>
      <c r="AU33" s="62" t="n"/>
      <c r="AV33" s="62" t="n"/>
      <c r="AW33" s="62" t="n"/>
      <c r="AX33" s="62" t="n"/>
      <c r="AY33" s="62" t="n"/>
    </row>
    <row r="34">
      <c r="A34" s="38">
        <f>IF(D34="","",COUNTA($D$9:D34))</f>
        <v/>
      </c>
      <c r="B34" s="52" t="n"/>
      <c r="C34" s="53" t="inlineStr">
        <is>
          <t>마케팅1팀</t>
        </is>
      </c>
      <c r="D34" s="52" t="n"/>
      <c r="E34" s="54" t="n"/>
      <c r="F34" s="52" t="n"/>
      <c r="G34" s="55" t="n"/>
      <c r="H34" s="54" t="n"/>
      <c r="I34" s="54" t="n"/>
      <c r="J34" s="54" t="n"/>
      <c r="K34" s="56">
        <f>IF(SUM(U34:AY34)=0,"",SUM(U34:AY34))</f>
        <v/>
      </c>
      <c r="L34" s="57">
        <f>IFERROR(INDEX(U$2:AY$2,MATCH(TRUE,U34:AY34&lt;&gt;"",0)),"")</f>
        <v/>
      </c>
      <c r="M34" s="58">
        <f>IFERROR(LOOKUP(2,1/(U34:AY34&lt;&gt;""),U$2:AY$2),"")</f>
        <v/>
      </c>
      <c r="N34" s="59">
        <f>IF(OR(G34="",M34=""),"",G34-M34)</f>
        <v/>
      </c>
      <c r="O34" s="60" t="n"/>
      <c r="P34" s="61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  <c r="AG34" s="62" t="n"/>
      <c r="AH34" s="62" t="n"/>
      <c r="AI34" s="62" t="n"/>
      <c r="AJ34" s="62" t="n"/>
      <c r="AK34" s="62" t="n"/>
      <c r="AL34" s="62" t="n"/>
      <c r="AM34" s="62" t="n"/>
      <c r="AN34" s="62" t="n"/>
      <c r="AO34" s="62" t="n"/>
      <c r="AP34" s="62" t="n"/>
      <c r="AQ34" s="62" t="n"/>
      <c r="AR34" s="62" t="n"/>
      <c r="AS34" s="62" t="n"/>
      <c r="AT34" s="62" t="n"/>
      <c r="AU34" s="62" t="n"/>
      <c r="AV34" s="62" t="n"/>
      <c r="AW34" s="62" t="n"/>
      <c r="AX34" s="62" t="n"/>
      <c r="AY34" s="62" t="n"/>
    </row>
    <row r="35">
      <c r="A35" s="38">
        <f>IF(D35="","",COUNTA($D$9:D35))</f>
        <v/>
      </c>
      <c r="B35" s="52" t="n"/>
      <c r="C35" s="53" t="inlineStr">
        <is>
          <t>마케팅1팀</t>
        </is>
      </c>
      <c r="D35" s="52" t="n"/>
      <c r="E35" s="54" t="n"/>
      <c r="F35" s="52" t="n"/>
      <c r="G35" s="55" t="n"/>
      <c r="H35" s="54" t="n"/>
      <c r="I35" s="54" t="n"/>
      <c r="J35" s="54" t="n"/>
      <c r="K35" s="56">
        <f>IF(SUM(U35:AY35)=0,"",SUM(U35:AY35))</f>
        <v/>
      </c>
      <c r="L35" s="57">
        <f>IFERROR(INDEX(U$2:AY$2,MATCH(TRUE,U35:AY35&lt;&gt;"",0)),"")</f>
        <v/>
      </c>
      <c r="M35" s="58">
        <f>IFERROR(LOOKUP(2,1/(U35:AY35&lt;&gt;""),U$2:AY$2),"")</f>
        <v/>
      </c>
      <c r="N35" s="59">
        <f>IF(OR(G35="",M35=""),"",G35-M35)</f>
        <v/>
      </c>
      <c r="O35" s="60" t="n"/>
      <c r="P35" s="61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  <c r="AG35" s="62" t="n"/>
      <c r="AH35" s="62" t="n"/>
      <c r="AI35" s="62" t="n"/>
      <c r="AJ35" s="62" t="n"/>
      <c r="AK35" s="62" t="n"/>
      <c r="AL35" s="62" t="n"/>
      <c r="AM35" s="62" t="n"/>
      <c r="AN35" s="62" t="n"/>
      <c r="AO35" s="62" t="n"/>
      <c r="AP35" s="62" t="n"/>
      <c r="AQ35" s="62" t="n"/>
      <c r="AR35" s="62" t="n"/>
      <c r="AS35" s="62" t="n"/>
      <c r="AT35" s="62" t="n"/>
      <c r="AU35" s="62" t="n"/>
      <c r="AV35" s="62" t="n"/>
      <c r="AW35" s="62" t="n"/>
      <c r="AX35" s="62" t="n"/>
      <c r="AY35" s="62" t="n"/>
    </row>
    <row r="36">
      <c r="A36" s="38">
        <f>IF(D36="","",COUNTA($D$9:D36))</f>
        <v/>
      </c>
      <c r="B36" s="52" t="n"/>
      <c r="C36" s="53" t="inlineStr">
        <is>
          <t>마케팅1팀</t>
        </is>
      </c>
      <c r="D36" s="52" t="n"/>
      <c r="E36" s="54" t="n"/>
      <c r="F36" s="52" t="n"/>
      <c r="G36" s="55" t="n"/>
      <c r="H36" s="54" t="n"/>
      <c r="I36" s="54" t="n"/>
      <c r="J36" s="54" t="n"/>
      <c r="K36" s="56">
        <f>IF(SUM(U36:AY36)=0,"",SUM(U36:AY36))</f>
        <v/>
      </c>
      <c r="L36" s="57">
        <f>IFERROR(INDEX(U$2:AY$2,MATCH(TRUE,U36:AY36&lt;&gt;"",0)),"")</f>
        <v/>
      </c>
      <c r="M36" s="58">
        <f>IFERROR(LOOKUP(2,1/(U36:AY36&lt;&gt;""),U$2:AY$2),"")</f>
        <v/>
      </c>
      <c r="N36" s="59">
        <f>IF(OR(G36="",M36=""),"",G36-M36)</f>
        <v/>
      </c>
      <c r="O36" s="60" t="n"/>
      <c r="P36" s="61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  <c r="AG36" s="62" t="n"/>
      <c r="AH36" s="62" t="n"/>
      <c r="AI36" s="62" t="n"/>
      <c r="AJ36" s="62" t="n"/>
      <c r="AK36" s="62" t="n"/>
      <c r="AL36" s="62" t="n"/>
      <c r="AM36" s="62" t="n"/>
      <c r="AN36" s="62" t="n"/>
      <c r="AO36" s="62" t="n"/>
      <c r="AP36" s="62" t="n"/>
      <c r="AQ36" s="62" t="n"/>
      <c r="AR36" s="62" t="n"/>
      <c r="AS36" s="62" t="n"/>
      <c r="AT36" s="62" t="n"/>
      <c r="AU36" s="62" t="n"/>
      <c r="AV36" s="62" t="n"/>
      <c r="AW36" s="62" t="n"/>
      <c r="AX36" s="62" t="n"/>
      <c r="AY36" s="62" t="n"/>
    </row>
    <row r="37">
      <c r="A37" s="38">
        <f>IF(D37="","",COUNTA($D$9:D37))</f>
        <v/>
      </c>
      <c r="B37" s="52" t="n"/>
      <c r="C37" s="53" t="inlineStr">
        <is>
          <t>마케팅1팀</t>
        </is>
      </c>
      <c r="D37" s="52" t="n"/>
      <c r="E37" s="54" t="n"/>
      <c r="F37" s="52" t="n"/>
      <c r="G37" s="55" t="n"/>
      <c r="H37" s="54" t="n"/>
      <c r="I37" s="54" t="n"/>
      <c r="J37" s="54" t="n"/>
      <c r="K37" s="56">
        <f>IF(SUM(U37:AY37)=0,"",SUM(U37:AY37))</f>
        <v/>
      </c>
      <c r="L37" s="57">
        <f>IFERROR(INDEX(U$2:AY$2,MATCH(TRUE,U37:AY37&lt;&gt;"",0)),"")</f>
        <v/>
      </c>
      <c r="M37" s="58">
        <f>IFERROR(LOOKUP(2,1/(U37:AY37&lt;&gt;""),U$2:AY$2),"")</f>
        <v/>
      </c>
      <c r="N37" s="59">
        <f>IF(OR(G37="",M37=""),"",G37-M37)</f>
        <v/>
      </c>
      <c r="O37" s="60" t="n"/>
      <c r="P37" s="61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  <c r="AG37" s="62" t="n"/>
      <c r="AH37" s="62" t="n"/>
      <c r="AI37" s="62" t="n"/>
      <c r="AJ37" s="62" t="n"/>
      <c r="AK37" s="62" t="n"/>
      <c r="AL37" s="62" t="n"/>
      <c r="AM37" s="62" t="n"/>
      <c r="AN37" s="62" t="n"/>
      <c r="AO37" s="62" t="n"/>
      <c r="AP37" s="62" t="n"/>
      <c r="AQ37" s="62" t="n"/>
      <c r="AR37" s="62" t="n"/>
      <c r="AS37" s="62" t="n"/>
      <c r="AT37" s="62" t="n"/>
      <c r="AU37" s="62" t="n"/>
      <c r="AV37" s="62" t="n"/>
      <c r="AW37" s="62" t="n"/>
      <c r="AX37" s="62" t="n"/>
      <c r="AY37" s="62" t="n"/>
    </row>
    <row r="38">
      <c r="A38" s="38">
        <f>IF(D38="","",COUNTA($D$9:D38))</f>
        <v/>
      </c>
      <c r="B38" s="52" t="n"/>
      <c r="C38" s="53" t="inlineStr">
        <is>
          <t>마케팅1팀</t>
        </is>
      </c>
      <c r="D38" s="52" t="n"/>
      <c r="E38" s="54" t="n"/>
      <c r="F38" s="52" t="n"/>
      <c r="G38" s="55" t="n"/>
      <c r="H38" s="54" t="n"/>
      <c r="I38" s="54" t="n"/>
      <c r="J38" s="54" t="n"/>
      <c r="K38" s="56">
        <f>IF(SUM(U38:AY38)=0,"",SUM(U38:AY38))</f>
        <v/>
      </c>
      <c r="L38" s="57">
        <f>IFERROR(INDEX(U$2:AY$2,MATCH(TRUE,U38:AY38&lt;&gt;"",0)),"")</f>
        <v/>
      </c>
      <c r="M38" s="58">
        <f>IFERROR(LOOKUP(2,1/(U38:AY38&lt;&gt;""),U$2:AY$2),"")</f>
        <v/>
      </c>
      <c r="N38" s="59">
        <f>IF(OR(G38="",M38=""),"",G38-M38)</f>
        <v/>
      </c>
      <c r="O38" s="60" t="n"/>
      <c r="P38" s="61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  <c r="AG38" s="62" t="n"/>
      <c r="AH38" s="62" t="n"/>
      <c r="AI38" s="62" t="n"/>
      <c r="AJ38" s="62" t="n"/>
      <c r="AK38" s="62" t="n"/>
      <c r="AL38" s="62" t="n"/>
      <c r="AM38" s="62" t="n"/>
      <c r="AN38" s="62" t="n"/>
      <c r="AO38" s="62" t="n"/>
      <c r="AP38" s="62" t="n"/>
      <c r="AQ38" s="62" t="n"/>
      <c r="AR38" s="62" t="n"/>
      <c r="AS38" s="62" t="n"/>
      <c r="AT38" s="62" t="n"/>
      <c r="AU38" s="62" t="n"/>
      <c r="AV38" s="62" t="n"/>
      <c r="AW38" s="62" t="n"/>
      <c r="AX38" s="62" t="n"/>
      <c r="AY38" s="62" t="n"/>
    </row>
    <row r="39">
      <c r="A39" s="63" t="inlineStr">
        <is>
          <t>마케팅2팀  (40~69행)</t>
        </is>
      </c>
      <c r="U39" s="64" t="n"/>
      <c r="V39" s="64" t="n"/>
      <c r="W39" s="64" t="n"/>
      <c r="X39" s="64" t="n"/>
      <c r="Y39" s="64" t="n"/>
      <c r="Z39" s="64" t="n"/>
      <c r="AA39" s="64" t="n"/>
      <c r="AB39" s="64" t="n"/>
      <c r="AC39" s="64" t="n"/>
      <c r="AD39" s="64" t="n"/>
      <c r="AE39" s="64" t="n"/>
      <c r="AF39" s="64" t="n"/>
      <c r="AG39" s="64" t="n"/>
      <c r="AH39" s="64" t="n"/>
      <c r="AI39" s="64" t="n"/>
      <c r="AJ39" s="64" t="n"/>
      <c r="AK39" s="64" t="n"/>
      <c r="AL39" s="64" t="n"/>
      <c r="AM39" s="64" t="n"/>
      <c r="AN39" s="64" t="n"/>
      <c r="AO39" s="64" t="n"/>
      <c r="AP39" s="64" t="n"/>
      <c r="AQ39" s="64" t="n"/>
      <c r="AR39" s="64" t="n"/>
      <c r="AS39" s="64" t="n"/>
      <c r="AT39" s="64" t="n"/>
      <c r="AU39" s="64" t="n"/>
      <c r="AV39" s="64" t="n"/>
      <c r="AW39" s="64" t="n"/>
      <c r="AX39" s="64" t="n"/>
      <c r="AY39" s="64" t="n"/>
    </row>
    <row r="40">
      <c r="A40" s="38">
        <f>IF(D40="","",COUNTA($D$40:D40))</f>
        <v/>
      </c>
      <c r="B40" s="52" t="n"/>
      <c r="C40" s="65" t="inlineStr">
        <is>
          <t>마케팅2팀</t>
        </is>
      </c>
      <c r="D40" s="52" t="n"/>
      <c r="E40" s="54" t="n"/>
      <c r="F40" s="52" t="n"/>
      <c r="G40" s="55" t="n"/>
      <c r="H40" s="54" t="n"/>
      <c r="I40" s="54" t="n"/>
      <c r="J40" s="54" t="n"/>
      <c r="K40" s="56">
        <f>IF(SUM(U40:AY40)=0,"",SUM(U40:AY40))</f>
        <v/>
      </c>
      <c r="L40" s="57">
        <f>IFERROR(INDEX(U$2:AY$2,MATCH(TRUE,U40:AY40&lt;&gt;"",0)),"")</f>
        <v/>
      </c>
      <c r="M40" s="58">
        <f>IFERROR(LOOKUP(2,1/(U40:AY40&lt;&gt;""),U$2:AY$2),"")</f>
        <v/>
      </c>
      <c r="N40" s="59">
        <f>IF(OR(G40="",M40=""),"",G40-M40)</f>
        <v/>
      </c>
      <c r="O40" s="60" t="n"/>
      <c r="P40" s="61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  <c r="AG40" s="62" t="n"/>
      <c r="AH40" s="62" t="n"/>
      <c r="AI40" s="62" t="n"/>
      <c r="AJ40" s="62" t="n"/>
      <c r="AK40" s="62" t="n"/>
      <c r="AL40" s="62" t="n"/>
      <c r="AM40" s="62" t="n"/>
      <c r="AN40" s="62" t="n"/>
      <c r="AO40" s="62" t="n"/>
      <c r="AP40" s="62" t="n"/>
      <c r="AQ40" s="62" t="n"/>
      <c r="AR40" s="62" t="n"/>
      <c r="AS40" s="62" t="n"/>
      <c r="AT40" s="62" t="n"/>
      <c r="AU40" s="62" t="n"/>
      <c r="AV40" s="62" t="n"/>
      <c r="AW40" s="62" t="n"/>
      <c r="AX40" s="62" t="n"/>
      <c r="AY40" s="62" t="n"/>
    </row>
    <row r="41">
      <c r="A41" s="38">
        <f>IF(D41="","",COUNTA($D$40:D41))</f>
        <v/>
      </c>
      <c r="B41" s="52" t="n"/>
      <c r="C41" s="65" t="inlineStr">
        <is>
          <t>마케팅2팀</t>
        </is>
      </c>
      <c r="D41" s="52" t="n"/>
      <c r="E41" s="54" t="n"/>
      <c r="F41" s="52" t="n"/>
      <c r="G41" s="55" t="n"/>
      <c r="H41" s="54" t="n"/>
      <c r="I41" s="54" t="n"/>
      <c r="J41" s="54" t="n"/>
      <c r="K41" s="56">
        <f>IF(SUM(U41:AY41)=0,"",SUM(U41:AY41))</f>
        <v/>
      </c>
      <c r="L41" s="57">
        <f>IFERROR(INDEX(U$2:AY$2,MATCH(TRUE,U41:AY41&lt;&gt;"",0)),"")</f>
        <v/>
      </c>
      <c r="M41" s="58">
        <f>IFERROR(LOOKUP(2,1/(U41:AY41&lt;&gt;""),U$2:AY$2),"")</f>
        <v/>
      </c>
      <c r="N41" s="59">
        <f>IF(OR(G41="",M41=""),"",G41-M41)</f>
        <v/>
      </c>
      <c r="O41" s="60" t="n"/>
      <c r="P41" s="61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  <c r="AG41" s="62" t="n"/>
      <c r="AH41" s="62" t="n"/>
      <c r="AI41" s="62" t="n"/>
      <c r="AJ41" s="62" t="n"/>
      <c r="AK41" s="62" t="n"/>
      <c r="AL41" s="62" t="n"/>
      <c r="AM41" s="62" t="n"/>
      <c r="AN41" s="62" t="n"/>
      <c r="AO41" s="62" t="n"/>
      <c r="AP41" s="62" t="n"/>
      <c r="AQ41" s="62" t="n"/>
      <c r="AR41" s="62" t="n"/>
      <c r="AS41" s="62" t="n"/>
      <c r="AT41" s="62" t="n"/>
      <c r="AU41" s="62" t="n"/>
      <c r="AV41" s="62" t="n"/>
      <c r="AW41" s="62" t="n"/>
      <c r="AX41" s="62" t="n"/>
      <c r="AY41" s="62" t="n"/>
    </row>
    <row r="42">
      <c r="A42" s="38">
        <f>IF(D42="","",COUNTA($D$40:D42))</f>
        <v/>
      </c>
      <c r="B42" s="52" t="n"/>
      <c r="C42" s="65" t="inlineStr">
        <is>
          <t>마케팅2팀</t>
        </is>
      </c>
      <c r="D42" s="52" t="n"/>
      <c r="E42" s="54" t="n"/>
      <c r="F42" s="52" t="n"/>
      <c r="G42" s="55" t="n"/>
      <c r="H42" s="54" t="n"/>
      <c r="I42" s="54" t="n"/>
      <c r="J42" s="54" t="n"/>
      <c r="K42" s="56">
        <f>IF(SUM(U42:AY42)=0,"",SUM(U42:AY42))</f>
        <v/>
      </c>
      <c r="L42" s="57">
        <f>IFERROR(INDEX(U$2:AY$2,MATCH(TRUE,U42:AY42&lt;&gt;"",0)),"")</f>
        <v/>
      </c>
      <c r="M42" s="58">
        <f>IFERROR(LOOKUP(2,1/(U42:AY42&lt;&gt;""),U$2:AY$2),"")</f>
        <v/>
      </c>
      <c r="N42" s="59">
        <f>IF(OR(G42="",M42=""),"",G42-M42)</f>
        <v/>
      </c>
      <c r="O42" s="60" t="n"/>
      <c r="P42" s="61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  <c r="AG42" s="62" t="n"/>
      <c r="AH42" s="62" t="n"/>
      <c r="AI42" s="62" t="n"/>
      <c r="AJ42" s="62" t="n"/>
      <c r="AK42" s="62" t="n"/>
      <c r="AL42" s="62" t="n"/>
      <c r="AM42" s="62" t="n"/>
      <c r="AN42" s="62" t="n"/>
      <c r="AO42" s="62" t="n"/>
      <c r="AP42" s="62" t="n"/>
      <c r="AQ42" s="62" t="n"/>
      <c r="AR42" s="62" t="n"/>
      <c r="AS42" s="62" t="n"/>
      <c r="AT42" s="62" t="n"/>
      <c r="AU42" s="62" t="n"/>
      <c r="AV42" s="62" t="n"/>
      <c r="AW42" s="62" t="n"/>
      <c r="AX42" s="62" t="n"/>
      <c r="AY42" s="62" t="n"/>
    </row>
    <row r="43">
      <c r="A43" s="38">
        <f>IF(D43="","",COUNTA($D$40:D43))</f>
        <v/>
      </c>
      <c r="B43" s="52" t="n"/>
      <c r="C43" s="65" t="inlineStr">
        <is>
          <t>마케팅2팀</t>
        </is>
      </c>
      <c r="D43" s="52" t="n"/>
      <c r="E43" s="54" t="n"/>
      <c r="F43" s="52" t="n"/>
      <c r="G43" s="55" t="n"/>
      <c r="H43" s="54" t="n"/>
      <c r="I43" s="54" t="n"/>
      <c r="J43" s="54" t="n"/>
      <c r="K43" s="56">
        <f>IF(SUM(U43:AY43)=0,"",SUM(U43:AY43))</f>
        <v/>
      </c>
      <c r="L43" s="57">
        <f>IFERROR(INDEX(U$2:AY$2,MATCH(TRUE,U43:AY43&lt;&gt;"",0)),"")</f>
        <v/>
      </c>
      <c r="M43" s="58">
        <f>IFERROR(LOOKUP(2,1/(U43:AY43&lt;&gt;""),U$2:AY$2),"")</f>
        <v/>
      </c>
      <c r="N43" s="59">
        <f>IF(OR(G43="",M43=""),"",G43-M43)</f>
        <v/>
      </c>
      <c r="O43" s="60" t="n"/>
      <c r="P43" s="61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  <c r="AG43" s="62" t="n"/>
      <c r="AH43" s="62" t="n"/>
      <c r="AI43" s="62" t="n"/>
      <c r="AJ43" s="62" t="n"/>
      <c r="AK43" s="62" t="n"/>
      <c r="AL43" s="62" t="n"/>
      <c r="AM43" s="62" t="n"/>
      <c r="AN43" s="62" t="n"/>
      <c r="AO43" s="62" t="n"/>
      <c r="AP43" s="62" t="n"/>
      <c r="AQ43" s="62" t="n"/>
      <c r="AR43" s="62" t="n"/>
      <c r="AS43" s="62" t="n"/>
      <c r="AT43" s="62" t="n"/>
      <c r="AU43" s="62" t="n"/>
      <c r="AV43" s="62" t="n"/>
      <c r="AW43" s="62" t="n"/>
      <c r="AX43" s="62" t="n"/>
      <c r="AY43" s="62" t="n"/>
    </row>
    <row r="44">
      <c r="A44" s="38">
        <f>IF(D44="","",COUNTA($D$40:D44))</f>
        <v/>
      </c>
      <c r="B44" s="52" t="n"/>
      <c r="C44" s="65" t="inlineStr">
        <is>
          <t>마케팅2팀</t>
        </is>
      </c>
      <c r="D44" s="52" t="n"/>
      <c r="E44" s="54" t="n"/>
      <c r="F44" s="52" t="n"/>
      <c r="G44" s="55" t="n"/>
      <c r="H44" s="54" t="n"/>
      <c r="I44" s="54" t="n"/>
      <c r="J44" s="54" t="n"/>
      <c r="K44" s="56">
        <f>IF(SUM(U44:AY44)=0,"",SUM(U44:AY44))</f>
        <v/>
      </c>
      <c r="L44" s="57">
        <f>IFERROR(INDEX(U$2:AY$2,MATCH(TRUE,U44:AY44&lt;&gt;"",0)),"")</f>
        <v/>
      </c>
      <c r="M44" s="58">
        <f>IFERROR(LOOKUP(2,1/(U44:AY44&lt;&gt;""),U$2:AY$2),"")</f>
        <v/>
      </c>
      <c r="N44" s="59">
        <f>IF(OR(G44="",M44=""),"",G44-M44)</f>
        <v/>
      </c>
      <c r="O44" s="60" t="n"/>
      <c r="P44" s="61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  <c r="AG44" s="62" t="n"/>
      <c r="AH44" s="62" t="n"/>
      <c r="AI44" s="62" t="n"/>
      <c r="AJ44" s="62" t="n"/>
      <c r="AK44" s="62" t="n"/>
      <c r="AL44" s="62" t="n"/>
      <c r="AM44" s="62" t="n"/>
      <c r="AN44" s="62" t="n"/>
      <c r="AO44" s="62" t="n"/>
      <c r="AP44" s="62" t="n"/>
      <c r="AQ44" s="62" t="n"/>
      <c r="AR44" s="62" t="n"/>
      <c r="AS44" s="62" t="n"/>
      <c r="AT44" s="62" t="n"/>
      <c r="AU44" s="62" t="n"/>
      <c r="AV44" s="62" t="n"/>
      <c r="AW44" s="62" t="n"/>
      <c r="AX44" s="62" t="n"/>
      <c r="AY44" s="62" t="n"/>
    </row>
    <row r="45">
      <c r="A45" s="38">
        <f>IF(D45="","",COUNTA($D$40:D45))</f>
        <v/>
      </c>
      <c r="B45" s="52" t="n"/>
      <c r="C45" s="65" t="inlineStr">
        <is>
          <t>마케팅2팀</t>
        </is>
      </c>
      <c r="D45" s="52" t="n"/>
      <c r="E45" s="54" t="n"/>
      <c r="F45" s="52" t="n"/>
      <c r="G45" s="55" t="n"/>
      <c r="H45" s="54" t="n"/>
      <c r="I45" s="54" t="n"/>
      <c r="J45" s="54" t="n"/>
      <c r="K45" s="56">
        <f>IF(SUM(U45:AY45)=0,"",SUM(U45:AY45))</f>
        <v/>
      </c>
      <c r="L45" s="57">
        <f>IFERROR(INDEX(U$2:AY$2,MATCH(TRUE,U45:AY45&lt;&gt;"",0)),"")</f>
        <v/>
      </c>
      <c r="M45" s="58">
        <f>IFERROR(LOOKUP(2,1/(U45:AY45&lt;&gt;""),U$2:AY$2),"")</f>
        <v/>
      </c>
      <c r="N45" s="59">
        <f>IF(OR(G45="",M45=""),"",G45-M45)</f>
        <v/>
      </c>
      <c r="O45" s="60" t="n"/>
      <c r="P45" s="61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  <c r="AG45" s="62" t="n"/>
      <c r="AH45" s="62" t="n"/>
      <c r="AI45" s="62" t="n"/>
      <c r="AJ45" s="62" t="n"/>
      <c r="AK45" s="62" t="n"/>
      <c r="AL45" s="62" t="n"/>
      <c r="AM45" s="62" t="n"/>
      <c r="AN45" s="62" t="n"/>
      <c r="AO45" s="62" t="n"/>
      <c r="AP45" s="62" t="n"/>
      <c r="AQ45" s="62" t="n"/>
      <c r="AR45" s="62" t="n"/>
      <c r="AS45" s="62" t="n"/>
      <c r="AT45" s="62" t="n"/>
      <c r="AU45" s="62" t="n"/>
      <c r="AV45" s="62" t="n"/>
      <c r="AW45" s="62" t="n"/>
      <c r="AX45" s="62" t="n"/>
      <c r="AY45" s="62" t="n"/>
    </row>
    <row r="46">
      <c r="A46" s="38">
        <f>IF(D46="","",COUNTA($D$40:D46))</f>
        <v/>
      </c>
      <c r="B46" s="52" t="n"/>
      <c r="C46" s="65" t="inlineStr">
        <is>
          <t>마케팅2팀</t>
        </is>
      </c>
      <c r="D46" s="52" t="n"/>
      <c r="E46" s="54" t="n"/>
      <c r="F46" s="52" t="n"/>
      <c r="G46" s="55" t="n"/>
      <c r="H46" s="54" t="n"/>
      <c r="I46" s="54" t="n"/>
      <c r="J46" s="54" t="n"/>
      <c r="K46" s="56">
        <f>IF(SUM(U46:AY46)=0,"",SUM(U46:AY46))</f>
        <v/>
      </c>
      <c r="L46" s="57">
        <f>IFERROR(INDEX(U$2:AY$2,MATCH(TRUE,U46:AY46&lt;&gt;"",0)),"")</f>
        <v/>
      </c>
      <c r="M46" s="58">
        <f>IFERROR(LOOKUP(2,1/(U46:AY46&lt;&gt;""),U$2:AY$2),"")</f>
        <v/>
      </c>
      <c r="N46" s="59">
        <f>IF(OR(G46="",M46=""),"",G46-M46)</f>
        <v/>
      </c>
      <c r="O46" s="60" t="n"/>
      <c r="P46" s="61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  <c r="AG46" s="62" t="n"/>
      <c r="AH46" s="62" t="n"/>
      <c r="AI46" s="62" t="n"/>
      <c r="AJ46" s="62" t="n"/>
      <c r="AK46" s="62" t="n"/>
      <c r="AL46" s="62" t="n"/>
      <c r="AM46" s="62" t="n"/>
      <c r="AN46" s="62" t="n"/>
      <c r="AO46" s="62" t="n"/>
      <c r="AP46" s="62" t="n"/>
      <c r="AQ46" s="62" t="n"/>
      <c r="AR46" s="62" t="n"/>
      <c r="AS46" s="62" t="n"/>
      <c r="AT46" s="62" t="n"/>
      <c r="AU46" s="62" t="n"/>
      <c r="AV46" s="62" t="n"/>
      <c r="AW46" s="62" t="n"/>
      <c r="AX46" s="62" t="n"/>
      <c r="AY46" s="62" t="n"/>
    </row>
    <row r="47">
      <c r="A47" s="38">
        <f>IF(D47="","",COUNTA($D$40:D47))</f>
        <v/>
      </c>
      <c r="B47" s="52" t="n"/>
      <c r="C47" s="65" t="inlineStr">
        <is>
          <t>마케팅2팀</t>
        </is>
      </c>
      <c r="D47" s="52" t="n"/>
      <c r="E47" s="54" t="n"/>
      <c r="F47" s="52" t="n"/>
      <c r="G47" s="55" t="n"/>
      <c r="H47" s="54" t="n"/>
      <c r="I47" s="54" t="n"/>
      <c r="J47" s="54" t="n"/>
      <c r="K47" s="56">
        <f>IF(SUM(U47:AY47)=0,"",SUM(U47:AY47))</f>
        <v/>
      </c>
      <c r="L47" s="57">
        <f>IFERROR(INDEX(U$2:AY$2,MATCH(TRUE,U47:AY47&lt;&gt;"",0)),"")</f>
        <v/>
      </c>
      <c r="M47" s="58">
        <f>IFERROR(LOOKUP(2,1/(U47:AY47&lt;&gt;""),U$2:AY$2),"")</f>
        <v/>
      </c>
      <c r="N47" s="59">
        <f>IF(OR(G47="",M47=""),"",G47-M47)</f>
        <v/>
      </c>
      <c r="O47" s="60" t="n"/>
      <c r="P47" s="61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  <c r="AG47" s="62" t="n"/>
      <c r="AH47" s="62" t="n"/>
      <c r="AI47" s="62" t="n"/>
      <c r="AJ47" s="62" t="n"/>
      <c r="AK47" s="62" t="n"/>
      <c r="AL47" s="62" t="n"/>
      <c r="AM47" s="62" t="n"/>
      <c r="AN47" s="62" t="n"/>
      <c r="AO47" s="62" t="n"/>
      <c r="AP47" s="62" t="n"/>
      <c r="AQ47" s="62" t="n"/>
      <c r="AR47" s="62" t="n"/>
      <c r="AS47" s="62" t="n"/>
      <c r="AT47" s="62" t="n"/>
      <c r="AU47" s="62" t="n"/>
      <c r="AV47" s="62" t="n"/>
      <c r="AW47" s="62" t="n"/>
      <c r="AX47" s="62" t="n"/>
      <c r="AY47" s="62" t="n"/>
    </row>
    <row r="48">
      <c r="A48" s="38">
        <f>IF(D48="","",COUNTA($D$40:D48))</f>
        <v/>
      </c>
      <c r="B48" s="52" t="n"/>
      <c r="C48" s="65" t="inlineStr">
        <is>
          <t>마케팅2팀</t>
        </is>
      </c>
      <c r="D48" s="52" t="n"/>
      <c r="E48" s="54" t="n"/>
      <c r="F48" s="52" t="n"/>
      <c r="G48" s="55" t="n"/>
      <c r="H48" s="54" t="n"/>
      <c r="I48" s="54" t="n"/>
      <c r="J48" s="54" t="n"/>
      <c r="K48" s="56">
        <f>IF(SUM(U48:AY48)=0,"",SUM(U48:AY48))</f>
        <v/>
      </c>
      <c r="L48" s="57">
        <f>IFERROR(INDEX(U$2:AY$2,MATCH(TRUE,U48:AY48&lt;&gt;"",0)),"")</f>
        <v/>
      </c>
      <c r="M48" s="58">
        <f>IFERROR(LOOKUP(2,1/(U48:AY48&lt;&gt;""),U$2:AY$2),"")</f>
        <v/>
      </c>
      <c r="N48" s="59">
        <f>IF(OR(G48="",M48=""),"",G48-M48)</f>
        <v/>
      </c>
      <c r="O48" s="60" t="n"/>
      <c r="P48" s="61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  <c r="AG48" s="62" t="n"/>
      <c r="AH48" s="62" t="n"/>
      <c r="AI48" s="62" t="n"/>
      <c r="AJ48" s="62" t="n"/>
      <c r="AK48" s="62" t="n"/>
      <c r="AL48" s="62" t="n"/>
      <c r="AM48" s="62" t="n"/>
      <c r="AN48" s="62" t="n"/>
      <c r="AO48" s="62" t="n"/>
      <c r="AP48" s="62" t="n"/>
      <c r="AQ48" s="62" t="n"/>
      <c r="AR48" s="62" t="n"/>
      <c r="AS48" s="62" t="n"/>
      <c r="AT48" s="62" t="n"/>
      <c r="AU48" s="62" t="n"/>
      <c r="AV48" s="62" t="n"/>
      <c r="AW48" s="62" t="n"/>
      <c r="AX48" s="62" t="n"/>
      <c r="AY48" s="62" t="n"/>
    </row>
    <row r="49">
      <c r="A49" s="38">
        <f>IF(D49="","",COUNTA($D$40:D49))</f>
        <v/>
      </c>
      <c r="B49" s="52" t="n"/>
      <c r="C49" s="65" t="inlineStr">
        <is>
          <t>마케팅2팀</t>
        </is>
      </c>
      <c r="D49" s="52" t="n"/>
      <c r="E49" s="54" t="n"/>
      <c r="F49" s="52" t="n"/>
      <c r="G49" s="55" t="n"/>
      <c r="H49" s="54" t="n"/>
      <c r="I49" s="54" t="n"/>
      <c r="J49" s="54" t="n"/>
      <c r="K49" s="56">
        <f>IF(SUM(U49:AY49)=0,"",SUM(U49:AY49))</f>
        <v/>
      </c>
      <c r="L49" s="57">
        <f>IFERROR(INDEX(U$2:AY$2,MATCH(TRUE,U49:AY49&lt;&gt;"",0)),"")</f>
        <v/>
      </c>
      <c r="M49" s="58">
        <f>IFERROR(LOOKUP(2,1/(U49:AY49&lt;&gt;""),U$2:AY$2),"")</f>
        <v/>
      </c>
      <c r="N49" s="59">
        <f>IF(OR(G49="",M49=""),"",G49-M49)</f>
        <v/>
      </c>
      <c r="O49" s="60" t="n"/>
      <c r="P49" s="61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  <c r="AG49" s="62" t="n"/>
      <c r="AH49" s="62" t="n"/>
      <c r="AI49" s="62" t="n"/>
      <c r="AJ49" s="62" t="n"/>
      <c r="AK49" s="62" t="n"/>
      <c r="AL49" s="62" t="n"/>
      <c r="AM49" s="62" t="n"/>
      <c r="AN49" s="62" t="n"/>
      <c r="AO49" s="62" t="n"/>
      <c r="AP49" s="62" t="n"/>
      <c r="AQ49" s="62" t="n"/>
      <c r="AR49" s="62" t="n"/>
      <c r="AS49" s="62" t="n"/>
      <c r="AT49" s="62" t="n"/>
      <c r="AU49" s="62" t="n"/>
      <c r="AV49" s="62" t="n"/>
      <c r="AW49" s="62" t="n"/>
      <c r="AX49" s="62" t="n"/>
      <c r="AY49" s="62" t="n"/>
    </row>
    <row r="50">
      <c r="A50" s="38">
        <f>IF(D50="","",COUNTA($D$40:D50))</f>
        <v/>
      </c>
      <c r="B50" s="52" t="n"/>
      <c r="C50" s="65" t="inlineStr">
        <is>
          <t>마케팅2팀</t>
        </is>
      </c>
      <c r="D50" s="52" t="n"/>
      <c r="E50" s="54" t="n"/>
      <c r="F50" s="52" t="n"/>
      <c r="G50" s="55" t="n"/>
      <c r="H50" s="54" t="n"/>
      <c r="I50" s="54" t="n"/>
      <c r="J50" s="54" t="n"/>
      <c r="K50" s="56">
        <f>IF(SUM(U50:AY50)=0,"",SUM(U50:AY50))</f>
        <v/>
      </c>
      <c r="L50" s="57">
        <f>IFERROR(INDEX(U$2:AY$2,MATCH(TRUE,U50:AY50&lt;&gt;"",0)),"")</f>
        <v/>
      </c>
      <c r="M50" s="58">
        <f>IFERROR(LOOKUP(2,1/(U50:AY50&lt;&gt;""),U$2:AY$2),"")</f>
        <v/>
      </c>
      <c r="N50" s="59">
        <f>IF(OR(G50="",M50=""),"",G50-M50)</f>
        <v/>
      </c>
      <c r="O50" s="60" t="n"/>
      <c r="P50" s="61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  <c r="AG50" s="62" t="n"/>
      <c r="AH50" s="62" t="n"/>
      <c r="AI50" s="62" t="n"/>
      <c r="AJ50" s="62" t="n"/>
      <c r="AK50" s="62" t="n"/>
      <c r="AL50" s="62" t="n"/>
      <c r="AM50" s="62" t="n"/>
      <c r="AN50" s="62" t="n"/>
      <c r="AO50" s="62" t="n"/>
      <c r="AP50" s="62" t="n"/>
      <c r="AQ50" s="62" t="n"/>
      <c r="AR50" s="62" t="n"/>
      <c r="AS50" s="62" t="n"/>
      <c r="AT50" s="62" t="n"/>
      <c r="AU50" s="62" t="n"/>
      <c r="AV50" s="62" t="n"/>
      <c r="AW50" s="62" t="n"/>
      <c r="AX50" s="62" t="n"/>
      <c r="AY50" s="62" t="n"/>
    </row>
    <row r="51">
      <c r="A51" s="38">
        <f>IF(D51="","",COUNTA($D$40:D51))</f>
        <v/>
      </c>
      <c r="B51" s="52" t="n"/>
      <c r="C51" s="65" t="inlineStr">
        <is>
          <t>마케팅2팀</t>
        </is>
      </c>
      <c r="D51" s="52" t="n"/>
      <c r="E51" s="54" t="n"/>
      <c r="F51" s="52" t="n"/>
      <c r="G51" s="55" t="n"/>
      <c r="H51" s="54" t="n"/>
      <c r="I51" s="54" t="n"/>
      <c r="J51" s="54" t="n"/>
      <c r="K51" s="56">
        <f>IF(SUM(U51:AY51)=0,"",SUM(U51:AY51))</f>
        <v/>
      </c>
      <c r="L51" s="57">
        <f>IFERROR(INDEX(U$2:AY$2,MATCH(TRUE,U51:AY51&lt;&gt;"",0)),"")</f>
        <v/>
      </c>
      <c r="M51" s="58">
        <f>IFERROR(LOOKUP(2,1/(U51:AY51&lt;&gt;""),U$2:AY$2),"")</f>
        <v/>
      </c>
      <c r="N51" s="59">
        <f>IF(OR(G51="",M51=""),"",G51-M51)</f>
        <v/>
      </c>
      <c r="O51" s="60" t="n"/>
      <c r="P51" s="61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  <c r="AG51" s="62" t="n"/>
      <c r="AH51" s="62" t="n"/>
      <c r="AI51" s="62" t="n"/>
      <c r="AJ51" s="62" t="n"/>
      <c r="AK51" s="62" t="n"/>
      <c r="AL51" s="62" t="n"/>
      <c r="AM51" s="62" t="n"/>
      <c r="AN51" s="62" t="n"/>
      <c r="AO51" s="62" t="n"/>
      <c r="AP51" s="62" t="n"/>
      <c r="AQ51" s="62" t="n"/>
      <c r="AR51" s="62" t="n"/>
      <c r="AS51" s="62" t="n"/>
      <c r="AT51" s="62" t="n"/>
      <c r="AU51" s="62" t="n"/>
      <c r="AV51" s="62" t="n"/>
      <c r="AW51" s="62" t="n"/>
      <c r="AX51" s="62" t="n"/>
      <c r="AY51" s="62" t="n"/>
    </row>
    <row r="52">
      <c r="A52" s="38">
        <f>IF(D52="","",COUNTA($D$40:D52))</f>
        <v/>
      </c>
      <c r="B52" s="52" t="n"/>
      <c r="C52" s="65" t="inlineStr">
        <is>
          <t>마케팅2팀</t>
        </is>
      </c>
      <c r="D52" s="52" t="n"/>
      <c r="E52" s="54" t="n"/>
      <c r="F52" s="52" t="n"/>
      <c r="G52" s="55" t="n"/>
      <c r="H52" s="54" t="n"/>
      <c r="I52" s="54" t="n"/>
      <c r="J52" s="54" t="n"/>
      <c r="K52" s="56">
        <f>IF(SUM(U52:AY52)=0,"",SUM(U52:AY52))</f>
        <v/>
      </c>
      <c r="L52" s="57">
        <f>IFERROR(INDEX(U$2:AY$2,MATCH(TRUE,U52:AY52&lt;&gt;"",0)),"")</f>
        <v/>
      </c>
      <c r="M52" s="58">
        <f>IFERROR(LOOKUP(2,1/(U52:AY52&lt;&gt;""),U$2:AY$2),"")</f>
        <v/>
      </c>
      <c r="N52" s="59">
        <f>IF(OR(G52="",M52=""),"",G52-M52)</f>
        <v/>
      </c>
      <c r="O52" s="60" t="n"/>
      <c r="P52" s="61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  <c r="AG52" s="62" t="n"/>
      <c r="AH52" s="62" t="n"/>
      <c r="AI52" s="62" t="n"/>
      <c r="AJ52" s="62" t="n"/>
      <c r="AK52" s="62" t="n"/>
      <c r="AL52" s="62" t="n"/>
      <c r="AM52" s="62" t="n"/>
      <c r="AN52" s="62" t="n"/>
      <c r="AO52" s="62" t="n"/>
      <c r="AP52" s="62" t="n"/>
      <c r="AQ52" s="62" t="n"/>
      <c r="AR52" s="62" t="n"/>
      <c r="AS52" s="62" t="n"/>
      <c r="AT52" s="62" t="n"/>
      <c r="AU52" s="62" t="n"/>
      <c r="AV52" s="62" t="n"/>
      <c r="AW52" s="62" t="n"/>
      <c r="AX52" s="62" t="n"/>
      <c r="AY52" s="62" t="n"/>
    </row>
    <row r="53">
      <c r="A53" s="38">
        <f>IF(D53="","",COUNTA($D$40:D53))</f>
        <v/>
      </c>
      <c r="B53" s="52" t="n"/>
      <c r="C53" s="65" t="inlineStr">
        <is>
          <t>마케팅2팀</t>
        </is>
      </c>
      <c r="D53" s="52" t="n"/>
      <c r="E53" s="54" t="n"/>
      <c r="F53" s="52" t="n"/>
      <c r="G53" s="55" t="n"/>
      <c r="H53" s="54" t="n"/>
      <c r="I53" s="54" t="n"/>
      <c r="J53" s="54" t="n"/>
      <c r="K53" s="56">
        <f>IF(SUM(U53:AY53)=0,"",SUM(U53:AY53))</f>
        <v/>
      </c>
      <c r="L53" s="57">
        <f>IFERROR(INDEX(U$2:AY$2,MATCH(TRUE,U53:AY53&lt;&gt;"",0)),"")</f>
        <v/>
      </c>
      <c r="M53" s="58">
        <f>IFERROR(LOOKUP(2,1/(U53:AY53&lt;&gt;""),U$2:AY$2),"")</f>
        <v/>
      </c>
      <c r="N53" s="59">
        <f>IF(OR(G53="",M53=""),"",G53-M53)</f>
        <v/>
      </c>
      <c r="O53" s="60" t="n"/>
      <c r="P53" s="61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  <c r="AG53" s="62" t="n"/>
      <c r="AH53" s="62" t="n"/>
      <c r="AI53" s="62" t="n"/>
      <c r="AJ53" s="62" t="n"/>
      <c r="AK53" s="62" t="n"/>
      <c r="AL53" s="62" t="n"/>
      <c r="AM53" s="62" t="n"/>
      <c r="AN53" s="62" t="n"/>
      <c r="AO53" s="62" t="n"/>
      <c r="AP53" s="62" t="n"/>
      <c r="AQ53" s="62" t="n"/>
      <c r="AR53" s="62" t="n"/>
      <c r="AS53" s="62" t="n"/>
      <c r="AT53" s="62" t="n"/>
      <c r="AU53" s="62" t="n"/>
      <c r="AV53" s="62" t="n"/>
      <c r="AW53" s="62" t="n"/>
      <c r="AX53" s="62" t="n"/>
      <c r="AY53" s="62" t="n"/>
    </row>
    <row r="54">
      <c r="A54" s="38">
        <f>IF(D54="","",COUNTA($D$40:D54))</f>
        <v/>
      </c>
      <c r="B54" s="52" t="n"/>
      <c r="C54" s="65" t="inlineStr">
        <is>
          <t>마케팅2팀</t>
        </is>
      </c>
      <c r="D54" s="52" t="n"/>
      <c r="E54" s="54" t="n"/>
      <c r="F54" s="52" t="n"/>
      <c r="G54" s="55" t="n"/>
      <c r="H54" s="54" t="n"/>
      <c r="I54" s="54" t="n"/>
      <c r="J54" s="54" t="n"/>
      <c r="K54" s="56">
        <f>IF(SUM(U54:AY54)=0,"",SUM(U54:AY54))</f>
        <v/>
      </c>
      <c r="L54" s="57">
        <f>IFERROR(INDEX(U$2:AY$2,MATCH(TRUE,U54:AY54&lt;&gt;"",0)),"")</f>
        <v/>
      </c>
      <c r="M54" s="58">
        <f>IFERROR(LOOKUP(2,1/(U54:AY54&lt;&gt;""),U$2:AY$2),"")</f>
        <v/>
      </c>
      <c r="N54" s="59">
        <f>IF(OR(G54="",M54=""),"",G54-M54)</f>
        <v/>
      </c>
      <c r="O54" s="60" t="n"/>
      <c r="P54" s="61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  <c r="AG54" s="62" t="n"/>
      <c r="AH54" s="62" t="n"/>
      <c r="AI54" s="62" t="n"/>
      <c r="AJ54" s="62" t="n"/>
      <c r="AK54" s="62" t="n"/>
      <c r="AL54" s="62" t="n"/>
      <c r="AM54" s="62" t="n"/>
      <c r="AN54" s="62" t="n"/>
      <c r="AO54" s="62" t="n"/>
      <c r="AP54" s="62" t="n"/>
      <c r="AQ54" s="62" t="n"/>
      <c r="AR54" s="62" t="n"/>
      <c r="AS54" s="62" t="n"/>
      <c r="AT54" s="62" t="n"/>
      <c r="AU54" s="62" t="n"/>
      <c r="AV54" s="62" t="n"/>
      <c r="AW54" s="62" t="n"/>
      <c r="AX54" s="62" t="n"/>
      <c r="AY54" s="62" t="n"/>
    </row>
    <row r="55">
      <c r="A55" s="38">
        <f>IF(D55="","",COUNTA($D$40:D55))</f>
        <v/>
      </c>
      <c r="B55" s="52" t="n"/>
      <c r="C55" s="65" t="inlineStr">
        <is>
          <t>마케팅2팀</t>
        </is>
      </c>
      <c r="D55" s="52" t="n"/>
      <c r="E55" s="54" t="n"/>
      <c r="F55" s="52" t="n"/>
      <c r="G55" s="55" t="n"/>
      <c r="H55" s="54" t="n"/>
      <c r="I55" s="54" t="n"/>
      <c r="J55" s="54" t="n"/>
      <c r="K55" s="56">
        <f>IF(SUM(U55:AY55)=0,"",SUM(U55:AY55))</f>
        <v/>
      </c>
      <c r="L55" s="57">
        <f>IFERROR(INDEX(U$2:AY$2,MATCH(TRUE,U55:AY55&lt;&gt;"",0)),"")</f>
        <v/>
      </c>
      <c r="M55" s="58">
        <f>IFERROR(LOOKUP(2,1/(U55:AY55&lt;&gt;""),U$2:AY$2),"")</f>
        <v/>
      </c>
      <c r="N55" s="59">
        <f>IF(OR(G55="",M55=""),"",G55-M55)</f>
        <v/>
      </c>
      <c r="O55" s="60" t="n"/>
      <c r="P55" s="61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  <c r="AG55" s="62" t="n"/>
      <c r="AH55" s="62" t="n"/>
      <c r="AI55" s="62" t="n"/>
      <c r="AJ55" s="62" t="n"/>
      <c r="AK55" s="62" t="n"/>
      <c r="AL55" s="62" t="n"/>
      <c r="AM55" s="62" t="n"/>
      <c r="AN55" s="62" t="n"/>
      <c r="AO55" s="62" t="n"/>
      <c r="AP55" s="62" t="n"/>
      <c r="AQ55" s="62" t="n"/>
      <c r="AR55" s="62" t="n"/>
      <c r="AS55" s="62" t="n"/>
      <c r="AT55" s="62" t="n"/>
      <c r="AU55" s="62" t="n"/>
      <c r="AV55" s="62" t="n"/>
      <c r="AW55" s="62" t="n"/>
      <c r="AX55" s="62" t="n"/>
      <c r="AY55" s="62" t="n"/>
    </row>
    <row r="56">
      <c r="A56" s="38">
        <f>IF(D56="","",COUNTA($D$40:D56))</f>
        <v/>
      </c>
      <c r="B56" s="52" t="n"/>
      <c r="C56" s="65" t="inlineStr">
        <is>
          <t>마케팅2팀</t>
        </is>
      </c>
      <c r="D56" s="52" t="n"/>
      <c r="E56" s="54" t="n"/>
      <c r="F56" s="52" t="n"/>
      <c r="G56" s="55" t="n"/>
      <c r="H56" s="54" t="n"/>
      <c r="I56" s="54" t="n"/>
      <c r="J56" s="54" t="n"/>
      <c r="K56" s="56">
        <f>IF(SUM(U56:AY56)=0,"",SUM(U56:AY56))</f>
        <v/>
      </c>
      <c r="L56" s="57">
        <f>IFERROR(INDEX(U$2:AY$2,MATCH(TRUE,U56:AY56&lt;&gt;"",0)),"")</f>
        <v/>
      </c>
      <c r="M56" s="58">
        <f>IFERROR(LOOKUP(2,1/(U56:AY56&lt;&gt;""),U$2:AY$2),"")</f>
        <v/>
      </c>
      <c r="N56" s="59">
        <f>IF(OR(G56="",M56=""),"",G56-M56)</f>
        <v/>
      </c>
      <c r="O56" s="60" t="n"/>
      <c r="P56" s="61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  <c r="AG56" s="62" t="n"/>
      <c r="AH56" s="62" t="n"/>
      <c r="AI56" s="62" t="n"/>
      <c r="AJ56" s="62" t="n"/>
      <c r="AK56" s="62" t="n"/>
      <c r="AL56" s="62" t="n"/>
      <c r="AM56" s="62" t="n"/>
      <c r="AN56" s="62" t="n"/>
      <c r="AO56" s="62" t="n"/>
      <c r="AP56" s="62" t="n"/>
      <c r="AQ56" s="62" t="n"/>
      <c r="AR56" s="62" t="n"/>
      <c r="AS56" s="62" t="n"/>
      <c r="AT56" s="62" t="n"/>
      <c r="AU56" s="62" t="n"/>
      <c r="AV56" s="62" t="n"/>
      <c r="AW56" s="62" t="n"/>
      <c r="AX56" s="62" t="n"/>
      <c r="AY56" s="62" t="n"/>
    </row>
    <row r="57">
      <c r="A57" s="38">
        <f>IF(D57="","",COUNTA($D$40:D57))</f>
        <v/>
      </c>
      <c r="B57" s="52" t="n"/>
      <c r="C57" s="65" t="inlineStr">
        <is>
          <t>마케팅2팀</t>
        </is>
      </c>
      <c r="D57" s="52" t="n"/>
      <c r="E57" s="54" t="n"/>
      <c r="F57" s="52" t="n"/>
      <c r="G57" s="55" t="n"/>
      <c r="H57" s="54" t="n"/>
      <c r="I57" s="54" t="n"/>
      <c r="J57" s="54" t="n"/>
      <c r="K57" s="56">
        <f>IF(SUM(U57:AY57)=0,"",SUM(U57:AY57))</f>
        <v/>
      </c>
      <c r="L57" s="57">
        <f>IFERROR(INDEX(U$2:AY$2,MATCH(TRUE,U57:AY57&lt;&gt;"",0)),"")</f>
        <v/>
      </c>
      <c r="M57" s="58">
        <f>IFERROR(LOOKUP(2,1/(U57:AY57&lt;&gt;""),U$2:AY$2),"")</f>
        <v/>
      </c>
      <c r="N57" s="59">
        <f>IF(OR(G57="",M57=""),"",G57-M57)</f>
        <v/>
      </c>
      <c r="O57" s="60" t="n"/>
      <c r="P57" s="61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  <c r="AG57" s="62" t="n"/>
      <c r="AH57" s="62" t="n"/>
      <c r="AI57" s="62" t="n"/>
      <c r="AJ57" s="62" t="n"/>
      <c r="AK57" s="62" t="n"/>
      <c r="AL57" s="62" t="n"/>
      <c r="AM57" s="62" t="n"/>
      <c r="AN57" s="62" t="n"/>
      <c r="AO57" s="62" t="n"/>
      <c r="AP57" s="62" t="n"/>
      <c r="AQ57" s="62" t="n"/>
      <c r="AR57" s="62" t="n"/>
      <c r="AS57" s="62" t="n"/>
      <c r="AT57" s="62" t="n"/>
      <c r="AU57" s="62" t="n"/>
      <c r="AV57" s="62" t="n"/>
      <c r="AW57" s="62" t="n"/>
      <c r="AX57" s="62" t="n"/>
      <c r="AY57" s="62" t="n"/>
    </row>
    <row r="58">
      <c r="A58" s="38">
        <f>IF(D58="","",COUNTA($D$40:D58))</f>
        <v/>
      </c>
      <c r="B58" s="52" t="n"/>
      <c r="C58" s="65" t="inlineStr">
        <is>
          <t>마케팅2팀</t>
        </is>
      </c>
      <c r="D58" s="52" t="n"/>
      <c r="E58" s="54" t="n"/>
      <c r="F58" s="52" t="n"/>
      <c r="G58" s="55" t="n"/>
      <c r="H58" s="54" t="n"/>
      <c r="I58" s="54" t="n"/>
      <c r="J58" s="54" t="n"/>
      <c r="K58" s="56">
        <f>IF(SUM(U58:AY58)=0,"",SUM(U58:AY58))</f>
        <v/>
      </c>
      <c r="L58" s="57">
        <f>IFERROR(INDEX(U$2:AY$2,MATCH(TRUE,U58:AY58&lt;&gt;"",0)),"")</f>
        <v/>
      </c>
      <c r="M58" s="58">
        <f>IFERROR(LOOKUP(2,1/(U58:AY58&lt;&gt;""),U$2:AY$2),"")</f>
        <v/>
      </c>
      <c r="N58" s="59">
        <f>IF(OR(G58="",M58=""),"",G58-M58)</f>
        <v/>
      </c>
      <c r="O58" s="60" t="n"/>
      <c r="P58" s="61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  <c r="AG58" s="62" t="n"/>
      <c r="AH58" s="62" t="n"/>
      <c r="AI58" s="62" t="n"/>
      <c r="AJ58" s="62" t="n"/>
      <c r="AK58" s="62" t="n"/>
      <c r="AL58" s="62" t="n"/>
      <c r="AM58" s="62" t="n"/>
      <c r="AN58" s="62" t="n"/>
      <c r="AO58" s="62" t="n"/>
      <c r="AP58" s="62" t="n"/>
      <c r="AQ58" s="62" t="n"/>
      <c r="AR58" s="62" t="n"/>
      <c r="AS58" s="62" t="n"/>
      <c r="AT58" s="62" t="n"/>
      <c r="AU58" s="62" t="n"/>
      <c r="AV58" s="62" t="n"/>
      <c r="AW58" s="62" t="n"/>
      <c r="AX58" s="62" t="n"/>
      <c r="AY58" s="62" t="n"/>
    </row>
    <row r="59">
      <c r="A59" s="38">
        <f>IF(D59="","",COUNTA($D$40:D59))</f>
        <v/>
      </c>
      <c r="B59" s="52" t="n"/>
      <c r="C59" s="65" t="inlineStr">
        <is>
          <t>마케팅2팀</t>
        </is>
      </c>
      <c r="D59" s="52" t="n"/>
      <c r="E59" s="54" t="n"/>
      <c r="F59" s="52" t="n"/>
      <c r="G59" s="55" t="n"/>
      <c r="H59" s="54" t="n"/>
      <c r="I59" s="54" t="n"/>
      <c r="J59" s="54" t="n"/>
      <c r="K59" s="56">
        <f>IF(SUM(U59:AY59)=0,"",SUM(U59:AY59))</f>
        <v/>
      </c>
      <c r="L59" s="57">
        <f>IFERROR(INDEX(U$2:AY$2,MATCH(TRUE,U59:AY59&lt;&gt;"",0)),"")</f>
        <v/>
      </c>
      <c r="M59" s="58">
        <f>IFERROR(LOOKUP(2,1/(U59:AY59&lt;&gt;""),U$2:AY$2),"")</f>
        <v/>
      </c>
      <c r="N59" s="59">
        <f>IF(OR(G59="",M59=""),"",G59-M59)</f>
        <v/>
      </c>
      <c r="O59" s="60" t="n"/>
      <c r="P59" s="61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  <c r="AG59" s="62" t="n"/>
      <c r="AH59" s="62" t="n"/>
      <c r="AI59" s="62" t="n"/>
      <c r="AJ59" s="62" t="n"/>
      <c r="AK59" s="62" t="n"/>
      <c r="AL59" s="62" t="n"/>
      <c r="AM59" s="62" t="n"/>
      <c r="AN59" s="62" t="n"/>
      <c r="AO59" s="62" t="n"/>
      <c r="AP59" s="62" t="n"/>
      <c r="AQ59" s="62" t="n"/>
      <c r="AR59" s="62" t="n"/>
      <c r="AS59" s="62" t="n"/>
      <c r="AT59" s="62" t="n"/>
      <c r="AU59" s="62" t="n"/>
      <c r="AV59" s="62" t="n"/>
      <c r="AW59" s="62" t="n"/>
      <c r="AX59" s="62" t="n"/>
      <c r="AY59" s="62" t="n"/>
    </row>
    <row r="60">
      <c r="A60" s="38">
        <f>IF(D60="","",COUNTA($D$40:D60))</f>
        <v/>
      </c>
      <c r="B60" s="52" t="n"/>
      <c r="C60" s="65" t="inlineStr">
        <is>
          <t>마케팅2팀</t>
        </is>
      </c>
      <c r="D60" s="52" t="n"/>
      <c r="E60" s="54" t="n"/>
      <c r="F60" s="52" t="n"/>
      <c r="G60" s="55" t="n"/>
      <c r="H60" s="54" t="n"/>
      <c r="I60" s="54" t="n"/>
      <c r="J60" s="54" t="n"/>
      <c r="K60" s="56">
        <f>IF(SUM(U60:AY60)=0,"",SUM(U60:AY60))</f>
        <v/>
      </c>
      <c r="L60" s="57">
        <f>IFERROR(INDEX(U$2:AY$2,MATCH(TRUE,U60:AY60&lt;&gt;"",0)),"")</f>
        <v/>
      </c>
      <c r="M60" s="58">
        <f>IFERROR(LOOKUP(2,1/(U60:AY60&lt;&gt;""),U$2:AY$2),"")</f>
        <v/>
      </c>
      <c r="N60" s="59">
        <f>IF(OR(G60="",M60=""),"",G60-M60)</f>
        <v/>
      </c>
      <c r="O60" s="60" t="n"/>
      <c r="P60" s="61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  <c r="AG60" s="62" t="n"/>
      <c r="AH60" s="62" t="n"/>
      <c r="AI60" s="62" t="n"/>
      <c r="AJ60" s="62" t="n"/>
      <c r="AK60" s="62" t="n"/>
      <c r="AL60" s="62" t="n"/>
      <c r="AM60" s="62" t="n"/>
      <c r="AN60" s="62" t="n"/>
      <c r="AO60" s="62" t="n"/>
      <c r="AP60" s="62" t="n"/>
      <c r="AQ60" s="62" t="n"/>
      <c r="AR60" s="62" t="n"/>
      <c r="AS60" s="62" t="n"/>
      <c r="AT60" s="62" t="n"/>
      <c r="AU60" s="62" t="n"/>
      <c r="AV60" s="62" t="n"/>
      <c r="AW60" s="62" t="n"/>
      <c r="AX60" s="62" t="n"/>
      <c r="AY60" s="62" t="n"/>
    </row>
    <row r="61">
      <c r="A61" s="38">
        <f>IF(D61="","",COUNTA($D$40:D61))</f>
        <v/>
      </c>
      <c r="B61" s="52" t="n"/>
      <c r="C61" s="65" t="inlineStr">
        <is>
          <t>마케팅2팀</t>
        </is>
      </c>
      <c r="D61" s="52" t="n"/>
      <c r="E61" s="54" t="n"/>
      <c r="F61" s="52" t="n"/>
      <c r="G61" s="55" t="n"/>
      <c r="H61" s="54" t="n"/>
      <c r="I61" s="54" t="n"/>
      <c r="J61" s="54" t="n"/>
      <c r="K61" s="56">
        <f>IF(SUM(U61:AY61)=0,"",SUM(U61:AY61))</f>
        <v/>
      </c>
      <c r="L61" s="57">
        <f>IFERROR(INDEX(U$2:AY$2,MATCH(TRUE,U61:AY61&lt;&gt;"",0)),"")</f>
        <v/>
      </c>
      <c r="M61" s="58">
        <f>IFERROR(LOOKUP(2,1/(U61:AY61&lt;&gt;""),U$2:AY$2),"")</f>
        <v/>
      </c>
      <c r="N61" s="59">
        <f>IF(OR(G61="",M61=""),"",G61-M61)</f>
        <v/>
      </c>
      <c r="O61" s="60" t="n"/>
      <c r="P61" s="61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  <c r="AG61" s="62" t="n"/>
      <c r="AH61" s="62" t="n"/>
      <c r="AI61" s="62" t="n"/>
      <c r="AJ61" s="62" t="n"/>
      <c r="AK61" s="62" t="n"/>
      <c r="AL61" s="62" t="n"/>
      <c r="AM61" s="62" t="n"/>
      <c r="AN61" s="62" t="n"/>
      <c r="AO61" s="62" t="n"/>
      <c r="AP61" s="62" t="n"/>
      <c r="AQ61" s="62" t="n"/>
      <c r="AR61" s="62" t="n"/>
      <c r="AS61" s="62" t="n"/>
      <c r="AT61" s="62" t="n"/>
      <c r="AU61" s="62" t="n"/>
      <c r="AV61" s="62" t="n"/>
      <c r="AW61" s="62" t="n"/>
      <c r="AX61" s="62" t="n"/>
      <c r="AY61" s="62" t="n"/>
    </row>
    <row r="62">
      <c r="A62" s="38">
        <f>IF(D62="","",COUNTA($D$40:D62))</f>
        <v/>
      </c>
      <c r="B62" s="52" t="n"/>
      <c r="C62" s="65" t="inlineStr">
        <is>
          <t>마케팅2팀</t>
        </is>
      </c>
      <c r="D62" s="52" t="n"/>
      <c r="E62" s="54" t="n"/>
      <c r="F62" s="52" t="n"/>
      <c r="G62" s="55" t="n"/>
      <c r="H62" s="54" t="n"/>
      <c r="I62" s="54" t="n"/>
      <c r="J62" s="54" t="n"/>
      <c r="K62" s="56">
        <f>IF(SUM(U62:AY62)=0,"",SUM(U62:AY62))</f>
        <v/>
      </c>
      <c r="L62" s="57">
        <f>IFERROR(INDEX(U$2:AY$2,MATCH(TRUE,U62:AY62&lt;&gt;"",0)),"")</f>
        <v/>
      </c>
      <c r="M62" s="58">
        <f>IFERROR(LOOKUP(2,1/(U62:AY62&lt;&gt;""),U$2:AY$2),"")</f>
        <v/>
      </c>
      <c r="N62" s="59">
        <f>IF(OR(G62="",M62=""),"",G62-M62)</f>
        <v/>
      </c>
      <c r="O62" s="60" t="n"/>
      <c r="P62" s="61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  <c r="AG62" s="62" t="n"/>
      <c r="AH62" s="62" t="n"/>
      <c r="AI62" s="62" t="n"/>
      <c r="AJ62" s="62" t="n"/>
      <c r="AK62" s="62" t="n"/>
      <c r="AL62" s="62" t="n"/>
      <c r="AM62" s="62" t="n"/>
      <c r="AN62" s="62" t="n"/>
      <c r="AO62" s="62" t="n"/>
      <c r="AP62" s="62" t="n"/>
      <c r="AQ62" s="62" t="n"/>
      <c r="AR62" s="62" t="n"/>
      <c r="AS62" s="62" t="n"/>
      <c r="AT62" s="62" t="n"/>
      <c r="AU62" s="62" t="n"/>
      <c r="AV62" s="62" t="n"/>
      <c r="AW62" s="62" t="n"/>
      <c r="AX62" s="62" t="n"/>
      <c r="AY62" s="62" t="n"/>
    </row>
    <row r="63">
      <c r="A63" s="38">
        <f>IF(D63="","",COUNTA($D$40:D63))</f>
        <v/>
      </c>
      <c r="B63" s="52" t="n"/>
      <c r="C63" s="65" t="inlineStr">
        <is>
          <t>마케팅2팀</t>
        </is>
      </c>
      <c r="D63" s="52" t="n"/>
      <c r="E63" s="54" t="n"/>
      <c r="F63" s="52" t="n"/>
      <c r="G63" s="55" t="n"/>
      <c r="H63" s="54" t="n"/>
      <c r="I63" s="54" t="n"/>
      <c r="J63" s="54" t="n"/>
      <c r="K63" s="56">
        <f>IF(SUM(U63:AY63)=0,"",SUM(U63:AY63))</f>
        <v/>
      </c>
      <c r="L63" s="57">
        <f>IFERROR(INDEX(U$2:AY$2,MATCH(TRUE,U63:AY63&lt;&gt;"",0)),"")</f>
        <v/>
      </c>
      <c r="M63" s="58">
        <f>IFERROR(LOOKUP(2,1/(U63:AY63&lt;&gt;""),U$2:AY$2),"")</f>
        <v/>
      </c>
      <c r="N63" s="59">
        <f>IF(OR(G63="",M63=""),"",G63-M63)</f>
        <v/>
      </c>
      <c r="O63" s="60" t="n"/>
      <c r="P63" s="61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  <c r="AG63" s="62" t="n"/>
      <c r="AH63" s="62" t="n"/>
      <c r="AI63" s="62" t="n"/>
      <c r="AJ63" s="62" t="n"/>
      <c r="AK63" s="62" t="n"/>
      <c r="AL63" s="62" t="n"/>
      <c r="AM63" s="62" t="n"/>
      <c r="AN63" s="62" t="n"/>
      <c r="AO63" s="62" t="n"/>
      <c r="AP63" s="62" t="n"/>
      <c r="AQ63" s="62" t="n"/>
      <c r="AR63" s="62" t="n"/>
      <c r="AS63" s="62" t="n"/>
      <c r="AT63" s="62" t="n"/>
      <c r="AU63" s="62" t="n"/>
      <c r="AV63" s="62" t="n"/>
      <c r="AW63" s="62" t="n"/>
      <c r="AX63" s="62" t="n"/>
      <c r="AY63" s="62" t="n"/>
    </row>
    <row r="64">
      <c r="A64" s="38">
        <f>IF(D64="","",COUNTA($D$40:D64))</f>
        <v/>
      </c>
      <c r="B64" s="52" t="n"/>
      <c r="C64" s="65" t="inlineStr">
        <is>
          <t>마케팅2팀</t>
        </is>
      </c>
      <c r="D64" s="52" t="n"/>
      <c r="E64" s="54" t="n"/>
      <c r="F64" s="52" t="n"/>
      <c r="G64" s="55" t="n"/>
      <c r="H64" s="54" t="n"/>
      <c r="I64" s="54" t="n"/>
      <c r="J64" s="54" t="n"/>
      <c r="K64" s="56">
        <f>IF(SUM(U64:AY64)=0,"",SUM(U64:AY64))</f>
        <v/>
      </c>
      <c r="L64" s="57">
        <f>IFERROR(INDEX(U$2:AY$2,MATCH(TRUE,U64:AY64&lt;&gt;"",0)),"")</f>
        <v/>
      </c>
      <c r="M64" s="58">
        <f>IFERROR(LOOKUP(2,1/(U64:AY64&lt;&gt;""),U$2:AY$2),"")</f>
        <v/>
      </c>
      <c r="N64" s="59">
        <f>IF(OR(G64="",M64=""),"",G64-M64)</f>
        <v/>
      </c>
      <c r="O64" s="60" t="n"/>
      <c r="P64" s="61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  <c r="AG64" s="62" t="n"/>
      <c r="AH64" s="62" t="n"/>
      <c r="AI64" s="62" t="n"/>
      <c r="AJ64" s="62" t="n"/>
      <c r="AK64" s="62" t="n"/>
      <c r="AL64" s="62" t="n"/>
      <c r="AM64" s="62" t="n"/>
      <c r="AN64" s="62" t="n"/>
      <c r="AO64" s="62" t="n"/>
      <c r="AP64" s="62" t="n"/>
      <c r="AQ64" s="62" t="n"/>
      <c r="AR64" s="62" t="n"/>
      <c r="AS64" s="62" t="n"/>
      <c r="AT64" s="62" t="n"/>
      <c r="AU64" s="62" t="n"/>
      <c r="AV64" s="62" t="n"/>
      <c r="AW64" s="62" t="n"/>
      <c r="AX64" s="62" t="n"/>
      <c r="AY64" s="62" t="n"/>
    </row>
    <row r="65">
      <c r="A65" s="38">
        <f>IF(D65="","",COUNTA($D$40:D65))</f>
        <v/>
      </c>
      <c r="B65" s="52" t="n"/>
      <c r="C65" s="65" t="inlineStr">
        <is>
          <t>마케팅2팀</t>
        </is>
      </c>
      <c r="D65" s="52" t="n"/>
      <c r="E65" s="54" t="n"/>
      <c r="F65" s="52" t="n"/>
      <c r="G65" s="55" t="n"/>
      <c r="H65" s="54" t="n"/>
      <c r="I65" s="54" t="n"/>
      <c r="J65" s="54" t="n"/>
      <c r="K65" s="56">
        <f>IF(SUM(U65:AY65)=0,"",SUM(U65:AY65))</f>
        <v/>
      </c>
      <c r="L65" s="57">
        <f>IFERROR(INDEX(U$2:AY$2,MATCH(TRUE,U65:AY65&lt;&gt;"",0)),"")</f>
        <v/>
      </c>
      <c r="M65" s="58">
        <f>IFERROR(LOOKUP(2,1/(U65:AY65&lt;&gt;""),U$2:AY$2),"")</f>
        <v/>
      </c>
      <c r="N65" s="59">
        <f>IF(OR(G65="",M65=""),"",G65-M65)</f>
        <v/>
      </c>
      <c r="O65" s="60" t="n"/>
      <c r="P65" s="61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  <c r="AG65" s="62" t="n"/>
      <c r="AH65" s="62" t="n"/>
      <c r="AI65" s="62" t="n"/>
      <c r="AJ65" s="62" t="n"/>
      <c r="AK65" s="62" t="n"/>
      <c r="AL65" s="62" t="n"/>
      <c r="AM65" s="62" t="n"/>
      <c r="AN65" s="62" t="n"/>
      <c r="AO65" s="62" t="n"/>
      <c r="AP65" s="62" t="n"/>
      <c r="AQ65" s="62" t="n"/>
      <c r="AR65" s="62" t="n"/>
      <c r="AS65" s="62" t="n"/>
      <c r="AT65" s="62" t="n"/>
      <c r="AU65" s="62" t="n"/>
      <c r="AV65" s="62" t="n"/>
      <c r="AW65" s="62" t="n"/>
      <c r="AX65" s="62" t="n"/>
      <c r="AY65" s="62" t="n"/>
    </row>
    <row r="66">
      <c r="A66" s="38">
        <f>IF(D66="","",COUNTA($D$40:D66))</f>
        <v/>
      </c>
      <c r="B66" s="52" t="n"/>
      <c r="C66" s="65" t="inlineStr">
        <is>
          <t>마케팅2팀</t>
        </is>
      </c>
      <c r="D66" s="52" t="n"/>
      <c r="E66" s="54" t="n"/>
      <c r="F66" s="52" t="n"/>
      <c r="G66" s="55" t="n"/>
      <c r="H66" s="54" t="n"/>
      <c r="I66" s="54" t="n"/>
      <c r="J66" s="54" t="n"/>
      <c r="K66" s="56">
        <f>IF(SUM(U66:AY66)=0,"",SUM(U66:AY66))</f>
        <v/>
      </c>
      <c r="L66" s="57">
        <f>IFERROR(INDEX(U$2:AY$2,MATCH(TRUE,U66:AY66&lt;&gt;"",0)),"")</f>
        <v/>
      </c>
      <c r="M66" s="58">
        <f>IFERROR(LOOKUP(2,1/(U66:AY66&lt;&gt;""),U$2:AY$2),"")</f>
        <v/>
      </c>
      <c r="N66" s="59">
        <f>IF(OR(G66="",M66=""),"",G66-M66)</f>
        <v/>
      </c>
      <c r="O66" s="60" t="n"/>
      <c r="P66" s="61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  <c r="AG66" s="62" t="n"/>
      <c r="AH66" s="62" t="n"/>
      <c r="AI66" s="62" t="n"/>
      <c r="AJ66" s="62" t="n"/>
      <c r="AK66" s="62" t="n"/>
      <c r="AL66" s="62" t="n"/>
      <c r="AM66" s="62" t="n"/>
      <c r="AN66" s="62" t="n"/>
      <c r="AO66" s="62" t="n"/>
      <c r="AP66" s="62" t="n"/>
      <c r="AQ66" s="62" t="n"/>
      <c r="AR66" s="62" t="n"/>
      <c r="AS66" s="62" t="n"/>
      <c r="AT66" s="62" t="n"/>
      <c r="AU66" s="62" t="n"/>
      <c r="AV66" s="62" t="n"/>
      <c r="AW66" s="62" t="n"/>
      <c r="AX66" s="62" t="n"/>
      <c r="AY66" s="62" t="n"/>
    </row>
    <row r="67">
      <c r="A67" s="38">
        <f>IF(D67="","",COUNTA($D$40:D67))</f>
        <v/>
      </c>
      <c r="B67" s="52" t="n"/>
      <c r="C67" s="65" t="inlineStr">
        <is>
          <t>마케팅2팀</t>
        </is>
      </c>
      <c r="D67" s="52" t="n"/>
      <c r="E67" s="54" t="n"/>
      <c r="F67" s="52" t="n"/>
      <c r="G67" s="55" t="n"/>
      <c r="H67" s="54" t="n"/>
      <c r="I67" s="54" t="n"/>
      <c r="J67" s="54" t="n"/>
      <c r="K67" s="56">
        <f>IF(SUM(U67:AY67)=0,"",SUM(U67:AY67))</f>
        <v/>
      </c>
      <c r="L67" s="57">
        <f>IFERROR(INDEX(U$2:AY$2,MATCH(TRUE,U67:AY67&lt;&gt;"",0)),"")</f>
        <v/>
      </c>
      <c r="M67" s="58">
        <f>IFERROR(LOOKUP(2,1/(U67:AY67&lt;&gt;""),U$2:AY$2),"")</f>
        <v/>
      </c>
      <c r="N67" s="59">
        <f>IF(OR(G67="",M67=""),"",G67-M67)</f>
        <v/>
      </c>
      <c r="O67" s="60" t="n"/>
      <c r="P67" s="61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  <c r="AG67" s="62" t="n"/>
      <c r="AH67" s="62" t="n"/>
      <c r="AI67" s="62" t="n"/>
      <c r="AJ67" s="62" t="n"/>
      <c r="AK67" s="62" t="n"/>
      <c r="AL67" s="62" t="n"/>
      <c r="AM67" s="62" t="n"/>
      <c r="AN67" s="62" t="n"/>
      <c r="AO67" s="62" t="n"/>
      <c r="AP67" s="62" t="n"/>
      <c r="AQ67" s="62" t="n"/>
      <c r="AR67" s="62" t="n"/>
      <c r="AS67" s="62" t="n"/>
      <c r="AT67" s="62" t="n"/>
      <c r="AU67" s="62" t="n"/>
      <c r="AV67" s="62" t="n"/>
      <c r="AW67" s="62" t="n"/>
      <c r="AX67" s="62" t="n"/>
      <c r="AY67" s="62" t="n"/>
    </row>
    <row r="68">
      <c r="A68" s="38">
        <f>IF(D68="","",COUNTA($D$40:D68))</f>
        <v/>
      </c>
      <c r="B68" s="52" t="n"/>
      <c r="C68" s="65" t="inlineStr">
        <is>
          <t>마케팅2팀</t>
        </is>
      </c>
      <c r="D68" s="52" t="n"/>
      <c r="E68" s="54" t="n"/>
      <c r="F68" s="52" t="n"/>
      <c r="G68" s="55" t="n"/>
      <c r="H68" s="54" t="n"/>
      <c r="I68" s="54" t="n"/>
      <c r="J68" s="54" t="n"/>
      <c r="K68" s="56">
        <f>IF(SUM(U68:AY68)=0,"",SUM(U68:AY68))</f>
        <v/>
      </c>
      <c r="L68" s="57">
        <f>IFERROR(INDEX(U$2:AY$2,MATCH(TRUE,U68:AY68&lt;&gt;"",0)),"")</f>
        <v/>
      </c>
      <c r="M68" s="58">
        <f>IFERROR(LOOKUP(2,1/(U68:AY68&lt;&gt;""),U$2:AY$2),"")</f>
        <v/>
      </c>
      <c r="N68" s="59">
        <f>IF(OR(G68="",M68=""),"",G68-M68)</f>
        <v/>
      </c>
      <c r="O68" s="60" t="n"/>
      <c r="P68" s="61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  <c r="AG68" s="62" t="n"/>
      <c r="AH68" s="62" t="n"/>
      <c r="AI68" s="62" t="n"/>
      <c r="AJ68" s="62" t="n"/>
      <c r="AK68" s="62" t="n"/>
      <c r="AL68" s="62" t="n"/>
      <c r="AM68" s="62" t="n"/>
      <c r="AN68" s="62" t="n"/>
      <c r="AO68" s="62" t="n"/>
      <c r="AP68" s="62" t="n"/>
      <c r="AQ68" s="62" t="n"/>
      <c r="AR68" s="62" t="n"/>
      <c r="AS68" s="62" t="n"/>
      <c r="AT68" s="62" t="n"/>
      <c r="AU68" s="62" t="n"/>
      <c r="AV68" s="62" t="n"/>
      <c r="AW68" s="62" t="n"/>
      <c r="AX68" s="62" t="n"/>
      <c r="AY68" s="62" t="n"/>
    </row>
    <row r="69">
      <c r="A69" s="38">
        <f>IF(D69="","",COUNTA($D$40:D69))</f>
        <v/>
      </c>
      <c r="B69" s="52" t="n"/>
      <c r="C69" s="65" t="inlineStr">
        <is>
          <t>마케팅2팀</t>
        </is>
      </c>
      <c r="D69" s="52" t="n"/>
      <c r="E69" s="54" t="n"/>
      <c r="F69" s="52" t="n"/>
      <c r="G69" s="55" t="n"/>
      <c r="H69" s="54" t="n"/>
      <c r="I69" s="54" t="n"/>
      <c r="J69" s="54" t="n"/>
      <c r="K69" s="56">
        <f>IF(SUM(U69:AY69)=0,"",SUM(U69:AY69))</f>
        <v/>
      </c>
      <c r="L69" s="57">
        <f>IFERROR(INDEX(U$2:AY$2,MATCH(TRUE,U69:AY69&lt;&gt;"",0)),"")</f>
        <v/>
      </c>
      <c r="M69" s="58">
        <f>IFERROR(LOOKUP(2,1/(U69:AY69&lt;&gt;""),U$2:AY$2),"")</f>
        <v/>
      </c>
      <c r="N69" s="59">
        <f>IF(OR(G69="",M69=""),"",G69-M69)</f>
        <v/>
      </c>
      <c r="O69" s="60" t="n"/>
      <c r="P69" s="61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  <c r="AG69" s="62" t="n"/>
      <c r="AH69" s="62" t="n"/>
      <c r="AI69" s="62" t="n"/>
      <c r="AJ69" s="62" t="n"/>
      <c r="AK69" s="62" t="n"/>
      <c r="AL69" s="62" t="n"/>
      <c r="AM69" s="62" t="n"/>
      <c r="AN69" s="62" t="n"/>
      <c r="AO69" s="62" t="n"/>
      <c r="AP69" s="62" t="n"/>
      <c r="AQ69" s="62" t="n"/>
      <c r="AR69" s="62" t="n"/>
      <c r="AS69" s="62" t="n"/>
      <c r="AT69" s="62" t="n"/>
      <c r="AU69" s="62" t="n"/>
      <c r="AV69" s="62" t="n"/>
      <c r="AW69" s="62" t="n"/>
      <c r="AX69" s="62" t="n"/>
      <c r="AY69" s="62" t="n"/>
    </row>
    <row r="70">
      <c r="A70" s="66" t="inlineStr">
        <is>
          <t>마케팅3팀  (71~100행)</t>
        </is>
      </c>
      <c r="U70" s="67" t="n"/>
      <c r="V70" s="67" t="n"/>
      <c r="W70" s="67" t="n"/>
      <c r="X70" s="67" t="n"/>
      <c r="Y70" s="67" t="n"/>
      <c r="Z70" s="67" t="n"/>
      <c r="AA70" s="67" t="n"/>
      <c r="AB70" s="67" t="n"/>
      <c r="AC70" s="67" t="n"/>
      <c r="AD70" s="67" t="n"/>
      <c r="AE70" s="67" t="n"/>
      <c r="AF70" s="67" t="n"/>
      <c r="AG70" s="67" t="n"/>
      <c r="AH70" s="67" t="n"/>
      <c r="AI70" s="67" t="n"/>
      <c r="AJ70" s="67" t="n"/>
      <c r="AK70" s="67" t="n"/>
      <c r="AL70" s="67" t="n"/>
      <c r="AM70" s="67" t="n"/>
      <c r="AN70" s="67" t="n"/>
      <c r="AO70" s="67" t="n"/>
      <c r="AP70" s="67" t="n"/>
      <c r="AQ70" s="67" t="n"/>
      <c r="AR70" s="67" t="n"/>
      <c r="AS70" s="67" t="n"/>
      <c r="AT70" s="67" t="n"/>
      <c r="AU70" s="67" t="n"/>
      <c r="AV70" s="67" t="n"/>
      <c r="AW70" s="67" t="n"/>
      <c r="AX70" s="67" t="n"/>
      <c r="AY70" s="67" t="n"/>
    </row>
    <row r="71">
      <c r="A71" s="38">
        <f>IF(D71="","",COUNTA($D$71:D71))</f>
        <v/>
      </c>
      <c r="B71" s="52" t="n"/>
      <c r="C71" s="68" t="inlineStr">
        <is>
          <t>마케팅3팀</t>
        </is>
      </c>
      <c r="D71" s="52" t="n"/>
      <c r="E71" s="54" t="n"/>
      <c r="F71" s="52" t="n"/>
      <c r="G71" s="55" t="n"/>
      <c r="H71" s="54" t="n"/>
      <c r="I71" s="54" t="n"/>
      <c r="J71" s="54" t="n"/>
      <c r="K71" s="56">
        <f>IF(SUM(U71:AY71)=0,"",SUM(U71:AY71))</f>
        <v/>
      </c>
      <c r="L71" s="57">
        <f>IFERROR(INDEX(U$2:AY$2,MATCH(TRUE,U71:AY71&lt;&gt;"",0)),"")</f>
        <v/>
      </c>
      <c r="M71" s="58">
        <f>IFERROR(LOOKUP(2,1/(U71:AY71&lt;&gt;""),U$2:AY$2),"")</f>
        <v/>
      </c>
      <c r="N71" s="59">
        <f>IF(OR(G71="",M71=""),"",G71-M71)</f>
        <v/>
      </c>
      <c r="O71" s="60" t="n"/>
      <c r="P71" s="61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  <c r="AG71" s="62" t="n"/>
      <c r="AH71" s="62" t="n"/>
      <c r="AI71" s="62" t="n"/>
      <c r="AJ71" s="62" t="n"/>
      <c r="AK71" s="62" t="n"/>
      <c r="AL71" s="62" t="n"/>
      <c r="AM71" s="62" t="n"/>
      <c r="AN71" s="62" t="n"/>
      <c r="AO71" s="62" t="n"/>
      <c r="AP71" s="62" t="n"/>
      <c r="AQ71" s="62" t="n"/>
      <c r="AR71" s="62" t="n"/>
      <c r="AS71" s="62" t="n"/>
      <c r="AT71" s="62" t="n"/>
      <c r="AU71" s="62" t="n"/>
      <c r="AV71" s="62" t="n"/>
      <c r="AW71" s="62" t="n"/>
      <c r="AX71" s="62" t="n"/>
      <c r="AY71" s="62" t="n"/>
    </row>
    <row r="72">
      <c r="A72" s="38">
        <f>IF(D72="","",COUNTA($D$71:D72))</f>
        <v/>
      </c>
      <c r="B72" s="52" t="n"/>
      <c r="C72" s="68" t="inlineStr">
        <is>
          <t>마케팅3팀</t>
        </is>
      </c>
      <c r="D72" s="52" t="n"/>
      <c r="E72" s="54" t="n"/>
      <c r="F72" s="52" t="n"/>
      <c r="G72" s="55" t="n"/>
      <c r="H72" s="54" t="n"/>
      <c r="I72" s="54" t="n"/>
      <c r="J72" s="54" t="n"/>
      <c r="K72" s="56">
        <f>IF(SUM(U72:AY72)=0,"",SUM(U72:AY72))</f>
        <v/>
      </c>
      <c r="L72" s="57">
        <f>IFERROR(INDEX(U$2:AY$2,MATCH(TRUE,U72:AY72&lt;&gt;"",0)),"")</f>
        <v/>
      </c>
      <c r="M72" s="58">
        <f>IFERROR(LOOKUP(2,1/(U72:AY72&lt;&gt;""),U$2:AY$2),"")</f>
        <v/>
      </c>
      <c r="N72" s="59">
        <f>IF(OR(G72="",M72=""),"",G72-M72)</f>
        <v/>
      </c>
      <c r="O72" s="60" t="n"/>
      <c r="P72" s="61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  <c r="AG72" s="62" t="n"/>
      <c r="AH72" s="62" t="n"/>
      <c r="AI72" s="62" t="n"/>
      <c r="AJ72" s="62" t="n"/>
      <c r="AK72" s="62" t="n"/>
      <c r="AL72" s="62" t="n"/>
      <c r="AM72" s="62" t="n"/>
      <c r="AN72" s="62" t="n"/>
      <c r="AO72" s="62" t="n"/>
      <c r="AP72" s="62" t="n"/>
      <c r="AQ72" s="62" t="n"/>
      <c r="AR72" s="62" t="n"/>
      <c r="AS72" s="62" t="n"/>
      <c r="AT72" s="62" t="n"/>
      <c r="AU72" s="62" t="n"/>
      <c r="AV72" s="62" t="n"/>
      <c r="AW72" s="62" t="n"/>
      <c r="AX72" s="62" t="n"/>
      <c r="AY72" s="62" t="n"/>
    </row>
    <row r="73">
      <c r="A73" s="38">
        <f>IF(D73="","",COUNTA($D$71:D73))</f>
        <v/>
      </c>
      <c r="B73" s="52" t="n"/>
      <c r="C73" s="68" t="inlineStr">
        <is>
          <t>마케팅3팀</t>
        </is>
      </c>
      <c r="D73" s="52" t="n"/>
      <c r="E73" s="54" t="n"/>
      <c r="F73" s="52" t="n"/>
      <c r="G73" s="55" t="n"/>
      <c r="H73" s="54" t="n"/>
      <c r="I73" s="54" t="n"/>
      <c r="J73" s="54" t="n"/>
      <c r="K73" s="56">
        <f>IF(SUM(U73:AY73)=0,"",SUM(U73:AY73))</f>
        <v/>
      </c>
      <c r="L73" s="57">
        <f>IFERROR(INDEX(U$2:AY$2,MATCH(TRUE,U73:AY73&lt;&gt;"",0)),"")</f>
        <v/>
      </c>
      <c r="M73" s="58">
        <f>IFERROR(LOOKUP(2,1/(U73:AY73&lt;&gt;""),U$2:AY$2),"")</f>
        <v/>
      </c>
      <c r="N73" s="59">
        <f>IF(OR(G73="",M73=""),"",G73-M73)</f>
        <v/>
      </c>
      <c r="O73" s="60" t="n"/>
      <c r="P73" s="61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  <c r="AG73" s="62" t="n"/>
      <c r="AH73" s="62" t="n"/>
      <c r="AI73" s="62" t="n"/>
      <c r="AJ73" s="62" t="n"/>
      <c r="AK73" s="62" t="n"/>
      <c r="AL73" s="62" t="n"/>
      <c r="AM73" s="62" t="n"/>
      <c r="AN73" s="62" t="n"/>
      <c r="AO73" s="62" t="n"/>
      <c r="AP73" s="62" t="n"/>
      <c r="AQ73" s="62" t="n"/>
      <c r="AR73" s="62" t="n"/>
      <c r="AS73" s="62" t="n"/>
      <c r="AT73" s="62" t="n"/>
      <c r="AU73" s="62" t="n"/>
      <c r="AV73" s="62" t="n"/>
      <c r="AW73" s="62" t="n"/>
      <c r="AX73" s="62" t="n"/>
      <c r="AY73" s="62" t="n"/>
    </row>
    <row r="74">
      <c r="A74" s="38">
        <f>IF(D74="","",COUNTA($D$71:D74))</f>
        <v/>
      </c>
      <c r="B74" s="52" t="n"/>
      <c r="C74" s="68" t="inlineStr">
        <is>
          <t>마케팅3팀</t>
        </is>
      </c>
      <c r="D74" s="52" t="n"/>
      <c r="E74" s="54" t="n"/>
      <c r="F74" s="52" t="n"/>
      <c r="G74" s="55" t="n"/>
      <c r="H74" s="54" t="n"/>
      <c r="I74" s="54" t="n"/>
      <c r="J74" s="54" t="n"/>
      <c r="K74" s="56">
        <f>IF(SUM(U74:AY74)=0,"",SUM(U74:AY74))</f>
        <v/>
      </c>
      <c r="L74" s="57">
        <f>IFERROR(INDEX(U$2:AY$2,MATCH(TRUE,U74:AY74&lt;&gt;"",0)),"")</f>
        <v/>
      </c>
      <c r="M74" s="58">
        <f>IFERROR(LOOKUP(2,1/(U74:AY74&lt;&gt;""),U$2:AY$2),"")</f>
        <v/>
      </c>
      <c r="N74" s="59">
        <f>IF(OR(G74="",M74=""),"",G74-M74)</f>
        <v/>
      </c>
      <c r="O74" s="60" t="n"/>
      <c r="P74" s="61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  <c r="AG74" s="62" t="n"/>
      <c r="AH74" s="62" t="n"/>
      <c r="AI74" s="62" t="n"/>
      <c r="AJ74" s="62" t="n"/>
      <c r="AK74" s="62" t="n"/>
      <c r="AL74" s="62" t="n"/>
      <c r="AM74" s="62" t="n"/>
      <c r="AN74" s="62" t="n"/>
      <c r="AO74" s="62" t="n"/>
      <c r="AP74" s="62" t="n"/>
      <c r="AQ74" s="62" t="n"/>
      <c r="AR74" s="62" t="n"/>
      <c r="AS74" s="62" t="n"/>
      <c r="AT74" s="62" t="n"/>
      <c r="AU74" s="62" t="n"/>
      <c r="AV74" s="62" t="n"/>
      <c r="AW74" s="62" t="n"/>
      <c r="AX74" s="62" t="n"/>
      <c r="AY74" s="62" t="n"/>
    </row>
    <row r="75">
      <c r="A75" s="38">
        <f>IF(D75="","",COUNTA($D$71:D75))</f>
        <v/>
      </c>
      <c r="B75" s="52" t="n"/>
      <c r="C75" s="68" t="inlineStr">
        <is>
          <t>마케팅3팀</t>
        </is>
      </c>
      <c r="D75" s="52" t="n"/>
      <c r="E75" s="54" t="n"/>
      <c r="F75" s="52" t="n"/>
      <c r="G75" s="55" t="n"/>
      <c r="H75" s="54" t="n"/>
      <c r="I75" s="54" t="n"/>
      <c r="J75" s="54" t="n"/>
      <c r="K75" s="56">
        <f>IF(SUM(U75:AY75)=0,"",SUM(U75:AY75))</f>
        <v/>
      </c>
      <c r="L75" s="57">
        <f>IFERROR(INDEX(U$2:AY$2,MATCH(TRUE,U75:AY75&lt;&gt;"",0)),"")</f>
        <v/>
      </c>
      <c r="M75" s="58">
        <f>IFERROR(LOOKUP(2,1/(U75:AY75&lt;&gt;""),U$2:AY$2),"")</f>
        <v/>
      </c>
      <c r="N75" s="59">
        <f>IF(OR(G75="",M75=""),"",G75-M75)</f>
        <v/>
      </c>
      <c r="O75" s="60" t="n"/>
      <c r="P75" s="61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  <c r="AG75" s="62" t="n"/>
      <c r="AH75" s="62" t="n"/>
      <c r="AI75" s="62" t="n"/>
      <c r="AJ75" s="62" t="n"/>
      <c r="AK75" s="62" t="n"/>
      <c r="AL75" s="62" t="n"/>
      <c r="AM75" s="62" t="n"/>
      <c r="AN75" s="62" t="n"/>
      <c r="AO75" s="62" t="n"/>
      <c r="AP75" s="62" t="n"/>
      <c r="AQ75" s="62" t="n"/>
      <c r="AR75" s="62" t="n"/>
      <c r="AS75" s="62" t="n"/>
      <c r="AT75" s="62" t="n"/>
      <c r="AU75" s="62" t="n"/>
      <c r="AV75" s="62" t="n"/>
      <c r="AW75" s="62" t="n"/>
      <c r="AX75" s="62" t="n"/>
      <c r="AY75" s="62" t="n"/>
    </row>
    <row r="76">
      <c r="A76" s="38">
        <f>IF(D76="","",COUNTA($D$71:D76))</f>
        <v/>
      </c>
      <c r="B76" s="52" t="n"/>
      <c r="C76" s="68" t="inlineStr">
        <is>
          <t>마케팅3팀</t>
        </is>
      </c>
      <c r="D76" s="52" t="n"/>
      <c r="E76" s="54" t="n"/>
      <c r="F76" s="52" t="n"/>
      <c r="G76" s="55" t="n"/>
      <c r="H76" s="54" t="n"/>
      <c r="I76" s="54" t="n"/>
      <c r="J76" s="54" t="n"/>
      <c r="K76" s="56">
        <f>IF(SUM(U76:AY76)=0,"",SUM(U76:AY76))</f>
        <v/>
      </c>
      <c r="L76" s="57">
        <f>IFERROR(INDEX(U$2:AY$2,MATCH(TRUE,U76:AY76&lt;&gt;"",0)),"")</f>
        <v/>
      </c>
      <c r="M76" s="58">
        <f>IFERROR(LOOKUP(2,1/(U76:AY76&lt;&gt;""),U$2:AY$2),"")</f>
        <v/>
      </c>
      <c r="N76" s="59">
        <f>IF(OR(G76="",M76=""),"",G76-M76)</f>
        <v/>
      </c>
      <c r="O76" s="60" t="n"/>
      <c r="P76" s="61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  <c r="AG76" s="62" t="n"/>
      <c r="AH76" s="62" t="n"/>
      <c r="AI76" s="62" t="n"/>
      <c r="AJ76" s="62" t="n"/>
      <c r="AK76" s="62" t="n"/>
      <c r="AL76" s="62" t="n"/>
      <c r="AM76" s="62" t="n"/>
      <c r="AN76" s="62" t="n"/>
      <c r="AO76" s="62" t="n"/>
      <c r="AP76" s="62" t="n"/>
      <c r="AQ76" s="62" t="n"/>
      <c r="AR76" s="62" t="n"/>
      <c r="AS76" s="62" t="n"/>
      <c r="AT76" s="62" t="n"/>
      <c r="AU76" s="62" t="n"/>
      <c r="AV76" s="62" t="n"/>
      <c r="AW76" s="62" t="n"/>
      <c r="AX76" s="62" t="n"/>
      <c r="AY76" s="62" t="n"/>
    </row>
    <row r="77">
      <c r="A77" s="38">
        <f>IF(D77="","",COUNTA($D$71:D77))</f>
        <v/>
      </c>
      <c r="B77" s="52" t="n"/>
      <c r="C77" s="68" t="inlineStr">
        <is>
          <t>마케팅3팀</t>
        </is>
      </c>
      <c r="D77" s="52" t="n"/>
      <c r="E77" s="54" t="n"/>
      <c r="F77" s="52" t="n"/>
      <c r="G77" s="55" t="n"/>
      <c r="H77" s="54" t="n"/>
      <c r="I77" s="54" t="n"/>
      <c r="J77" s="54" t="n"/>
      <c r="K77" s="56">
        <f>IF(SUM(U77:AY77)=0,"",SUM(U77:AY77))</f>
        <v/>
      </c>
      <c r="L77" s="57">
        <f>IFERROR(INDEX(U$2:AY$2,MATCH(TRUE,U77:AY77&lt;&gt;"",0)),"")</f>
        <v/>
      </c>
      <c r="M77" s="58">
        <f>IFERROR(LOOKUP(2,1/(U77:AY77&lt;&gt;""),U$2:AY$2),"")</f>
        <v/>
      </c>
      <c r="N77" s="59">
        <f>IF(OR(G77="",M77=""),"",G77-M77)</f>
        <v/>
      </c>
      <c r="O77" s="60" t="n"/>
      <c r="P77" s="61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  <c r="AG77" s="62" t="n"/>
      <c r="AH77" s="62" t="n"/>
      <c r="AI77" s="62" t="n"/>
      <c r="AJ77" s="62" t="n"/>
      <c r="AK77" s="62" t="n"/>
      <c r="AL77" s="62" t="n"/>
      <c r="AM77" s="62" t="n"/>
      <c r="AN77" s="62" t="n"/>
      <c r="AO77" s="62" t="n"/>
      <c r="AP77" s="62" t="n"/>
      <c r="AQ77" s="62" t="n"/>
      <c r="AR77" s="62" t="n"/>
      <c r="AS77" s="62" t="n"/>
      <c r="AT77" s="62" t="n"/>
      <c r="AU77" s="62" t="n"/>
      <c r="AV77" s="62" t="n"/>
      <c r="AW77" s="62" t="n"/>
      <c r="AX77" s="62" t="n"/>
      <c r="AY77" s="62" t="n"/>
    </row>
    <row r="78">
      <c r="A78" s="38">
        <f>IF(D78="","",COUNTA($D$71:D78))</f>
        <v/>
      </c>
      <c r="B78" s="52" t="n"/>
      <c r="C78" s="68" t="inlineStr">
        <is>
          <t>마케팅3팀</t>
        </is>
      </c>
      <c r="D78" s="52" t="n"/>
      <c r="E78" s="54" t="n"/>
      <c r="F78" s="52" t="n"/>
      <c r="G78" s="55" t="n"/>
      <c r="H78" s="54" t="n"/>
      <c r="I78" s="54" t="n"/>
      <c r="J78" s="54" t="n"/>
      <c r="K78" s="56">
        <f>IF(SUM(U78:AY78)=0,"",SUM(U78:AY78))</f>
        <v/>
      </c>
      <c r="L78" s="57">
        <f>IFERROR(INDEX(U$2:AY$2,MATCH(TRUE,U78:AY78&lt;&gt;"",0)),"")</f>
        <v/>
      </c>
      <c r="M78" s="58">
        <f>IFERROR(LOOKUP(2,1/(U78:AY78&lt;&gt;""),U$2:AY$2),"")</f>
        <v/>
      </c>
      <c r="N78" s="59">
        <f>IF(OR(G78="",M78=""),"",G78-M78)</f>
        <v/>
      </c>
      <c r="O78" s="60" t="n"/>
      <c r="P78" s="61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  <c r="AG78" s="62" t="n"/>
      <c r="AH78" s="62" t="n"/>
      <c r="AI78" s="62" t="n"/>
      <c r="AJ78" s="62" t="n"/>
      <c r="AK78" s="62" t="n"/>
      <c r="AL78" s="62" t="n"/>
      <c r="AM78" s="62" t="n"/>
      <c r="AN78" s="62" t="n"/>
      <c r="AO78" s="62" t="n"/>
      <c r="AP78" s="62" t="n"/>
      <c r="AQ78" s="62" t="n"/>
      <c r="AR78" s="62" t="n"/>
      <c r="AS78" s="62" t="n"/>
      <c r="AT78" s="62" t="n"/>
      <c r="AU78" s="62" t="n"/>
      <c r="AV78" s="62" t="n"/>
      <c r="AW78" s="62" t="n"/>
      <c r="AX78" s="62" t="n"/>
      <c r="AY78" s="62" t="n"/>
    </row>
    <row r="79">
      <c r="A79" s="38">
        <f>IF(D79="","",COUNTA($D$71:D79))</f>
        <v/>
      </c>
      <c r="B79" s="52" t="n"/>
      <c r="C79" s="68" t="inlineStr">
        <is>
          <t>마케팅3팀</t>
        </is>
      </c>
      <c r="D79" s="52" t="n"/>
      <c r="E79" s="54" t="n"/>
      <c r="F79" s="52" t="n"/>
      <c r="G79" s="55" t="n"/>
      <c r="H79" s="54" t="n"/>
      <c r="I79" s="54" t="n"/>
      <c r="J79" s="54" t="n"/>
      <c r="K79" s="56">
        <f>IF(SUM(U79:AY79)=0,"",SUM(U79:AY79))</f>
        <v/>
      </c>
      <c r="L79" s="57">
        <f>IFERROR(INDEX(U$2:AY$2,MATCH(TRUE,U79:AY79&lt;&gt;"",0)),"")</f>
        <v/>
      </c>
      <c r="M79" s="58">
        <f>IFERROR(LOOKUP(2,1/(U79:AY79&lt;&gt;""),U$2:AY$2),"")</f>
        <v/>
      </c>
      <c r="N79" s="59">
        <f>IF(OR(G79="",M79=""),"",G79-M79)</f>
        <v/>
      </c>
      <c r="O79" s="60" t="n"/>
      <c r="P79" s="61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  <c r="AG79" s="62" t="n"/>
      <c r="AH79" s="62" t="n"/>
      <c r="AI79" s="62" t="n"/>
      <c r="AJ79" s="62" t="n"/>
      <c r="AK79" s="62" t="n"/>
      <c r="AL79" s="62" t="n"/>
      <c r="AM79" s="62" t="n"/>
      <c r="AN79" s="62" t="n"/>
      <c r="AO79" s="62" t="n"/>
      <c r="AP79" s="62" t="n"/>
      <c r="AQ79" s="62" t="n"/>
      <c r="AR79" s="62" t="n"/>
      <c r="AS79" s="62" t="n"/>
      <c r="AT79" s="62" t="n"/>
      <c r="AU79" s="62" t="n"/>
      <c r="AV79" s="62" t="n"/>
      <c r="AW79" s="62" t="n"/>
      <c r="AX79" s="62" t="n"/>
      <c r="AY79" s="62" t="n"/>
    </row>
    <row r="80">
      <c r="A80" s="38">
        <f>IF(D80="","",COUNTA($D$71:D80))</f>
        <v/>
      </c>
      <c r="B80" s="52" t="n"/>
      <c r="C80" s="68" t="inlineStr">
        <is>
          <t>마케팅3팀</t>
        </is>
      </c>
      <c r="D80" s="52" t="n"/>
      <c r="E80" s="54" t="n"/>
      <c r="F80" s="52" t="n"/>
      <c r="G80" s="55" t="n"/>
      <c r="H80" s="54" t="n"/>
      <c r="I80" s="54" t="n"/>
      <c r="J80" s="54" t="n"/>
      <c r="K80" s="56">
        <f>IF(SUM(U80:AY80)=0,"",SUM(U80:AY80))</f>
        <v/>
      </c>
      <c r="L80" s="57">
        <f>IFERROR(INDEX(U$2:AY$2,MATCH(TRUE,U80:AY80&lt;&gt;"",0)),"")</f>
        <v/>
      </c>
      <c r="M80" s="58">
        <f>IFERROR(LOOKUP(2,1/(U80:AY80&lt;&gt;""),U$2:AY$2),"")</f>
        <v/>
      </c>
      <c r="N80" s="59">
        <f>IF(OR(G80="",M80=""),"",G80-M80)</f>
        <v/>
      </c>
      <c r="O80" s="60" t="n"/>
      <c r="P80" s="61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  <c r="AG80" s="62" t="n"/>
      <c r="AH80" s="62" t="n"/>
      <c r="AI80" s="62" t="n"/>
      <c r="AJ80" s="62" t="n"/>
      <c r="AK80" s="62" t="n"/>
      <c r="AL80" s="62" t="n"/>
      <c r="AM80" s="62" t="n"/>
      <c r="AN80" s="62" t="n"/>
      <c r="AO80" s="62" t="n"/>
      <c r="AP80" s="62" t="n"/>
      <c r="AQ80" s="62" t="n"/>
      <c r="AR80" s="62" t="n"/>
      <c r="AS80" s="62" t="n"/>
      <c r="AT80" s="62" t="n"/>
      <c r="AU80" s="62" t="n"/>
      <c r="AV80" s="62" t="n"/>
      <c r="AW80" s="62" t="n"/>
      <c r="AX80" s="62" t="n"/>
      <c r="AY80" s="62" t="n"/>
    </row>
    <row r="81">
      <c r="A81" s="38">
        <f>IF(D81="","",COUNTA($D$71:D81))</f>
        <v/>
      </c>
      <c r="B81" s="52" t="n"/>
      <c r="C81" s="68" t="inlineStr">
        <is>
          <t>마케팅3팀</t>
        </is>
      </c>
      <c r="D81" s="52" t="n"/>
      <c r="E81" s="54" t="n"/>
      <c r="F81" s="52" t="n"/>
      <c r="G81" s="55" t="n"/>
      <c r="H81" s="54" t="n"/>
      <c r="I81" s="54" t="n"/>
      <c r="J81" s="54" t="n"/>
      <c r="K81" s="56">
        <f>IF(SUM(U81:AY81)=0,"",SUM(U81:AY81))</f>
        <v/>
      </c>
      <c r="L81" s="57">
        <f>IFERROR(INDEX(U$2:AY$2,MATCH(TRUE,U81:AY81&lt;&gt;"",0)),"")</f>
        <v/>
      </c>
      <c r="M81" s="58">
        <f>IFERROR(LOOKUP(2,1/(U81:AY81&lt;&gt;""),U$2:AY$2),"")</f>
        <v/>
      </c>
      <c r="N81" s="59">
        <f>IF(OR(G81="",M81=""),"",G81-M81)</f>
        <v/>
      </c>
      <c r="O81" s="60" t="n"/>
      <c r="P81" s="61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  <c r="AG81" s="62" t="n"/>
      <c r="AH81" s="62" t="n"/>
      <c r="AI81" s="62" t="n"/>
      <c r="AJ81" s="62" t="n"/>
      <c r="AK81" s="62" t="n"/>
      <c r="AL81" s="62" t="n"/>
      <c r="AM81" s="62" t="n"/>
      <c r="AN81" s="62" t="n"/>
      <c r="AO81" s="62" t="n"/>
      <c r="AP81" s="62" t="n"/>
      <c r="AQ81" s="62" t="n"/>
      <c r="AR81" s="62" t="n"/>
      <c r="AS81" s="62" t="n"/>
      <c r="AT81" s="62" t="n"/>
      <c r="AU81" s="62" t="n"/>
      <c r="AV81" s="62" t="n"/>
      <c r="AW81" s="62" t="n"/>
      <c r="AX81" s="62" t="n"/>
      <c r="AY81" s="62" t="n"/>
    </row>
    <row r="82">
      <c r="A82" s="38">
        <f>IF(D82="","",COUNTA($D$71:D82))</f>
        <v/>
      </c>
      <c r="B82" s="52" t="n"/>
      <c r="C82" s="68" t="inlineStr">
        <is>
          <t>마케팅3팀</t>
        </is>
      </c>
      <c r="D82" s="52" t="n"/>
      <c r="E82" s="54" t="n"/>
      <c r="F82" s="52" t="n"/>
      <c r="G82" s="55" t="n"/>
      <c r="H82" s="54" t="n"/>
      <c r="I82" s="54" t="n"/>
      <c r="J82" s="54" t="n"/>
      <c r="K82" s="56">
        <f>IF(SUM(U82:AY82)=0,"",SUM(U82:AY82))</f>
        <v/>
      </c>
      <c r="L82" s="57">
        <f>IFERROR(INDEX(U$2:AY$2,MATCH(TRUE,U82:AY82&lt;&gt;"",0)),"")</f>
        <v/>
      </c>
      <c r="M82" s="58">
        <f>IFERROR(LOOKUP(2,1/(U82:AY82&lt;&gt;""),U$2:AY$2),"")</f>
        <v/>
      </c>
      <c r="N82" s="59">
        <f>IF(OR(G82="",M82=""),"",G82-M82)</f>
        <v/>
      </c>
      <c r="O82" s="60" t="n"/>
      <c r="P82" s="61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  <c r="AG82" s="62" t="n"/>
      <c r="AH82" s="62" t="n"/>
      <c r="AI82" s="62" t="n"/>
      <c r="AJ82" s="62" t="n"/>
      <c r="AK82" s="62" t="n"/>
      <c r="AL82" s="62" t="n"/>
      <c r="AM82" s="62" t="n"/>
      <c r="AN82" s="62" t="n"/>
      <c r="AO82" s="62" t="n"/>
      <c r="AP82" s="62" t="n"/>
      <c r="AQ82" s="62" t="n"/>
      <c r="AR82" s="62" t="n"/>
      <c r="AS82" s="62" t="n"/>
      <c r="AT82" s="62" t="n"/>
      <c r="AU82" s="62" t="n"/>
      <c r="AV82" s="62" t="n"/>
      <c r="AW82" s="62" t="n"/>
      <c r="AX82" s="62" t="n"/>
      <c r="AY82" s="62" t="n"/>
    </row>
    <row r="83">
      <c r="A83" s="38">
        <f>IF(D83="","",COUNTA($D$71:D83))</f>
        <v/>
      </c>
      <c r="B83" s="52" t="n"/>
      <c r="C83" s="68" t="inlineStr">
        <is>
          <t>마케팅3팀</t>
        </is>
      </c>
      <c r="D83" s="52" t="n"/>
      <c r="E83" s="54" t="n"/>
      <c r="F83" s="52" t="n"/>
      <c r="G83" s="55" t="n"/>
      <c r="H83" s="54" t="n"/>
      <c r="I83" s="54" t="n"/>
      <c r="J83" s="54" t="n"/>
      <c r="K83" s="56">
        <f>IF(SUM(U83:AY83)=0,"",SUM(U83:AY83))</f>
        <v/>
      </c>
      <c r="L83" s="57">
        <f>IFERROR(INDEX(U$2:AY$2,MATCH(TRUE,U83:AY83&lt;&gt;"",0)),"")</f>
        <v/>
      </c>
      <c r="M83" s="58">
        <f>IFERROR(LOOKUP(2,1/(U83:AY83&lt;&gt;""),U$2:AY$2),"")</f>
        <v/>
      </c>
      <c r="N83" s="59">
        <f>IF(OR(G83="",M83=""),"",G83-M83)</f>
        <v/>
      </c>
      <c r="O83" s="60" t="n"/>
      <c r="P83" s="61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  <c r="AG83" s="62" t="n"/>
      <c r="AH83" s="62" t="n"/>
      <c r="AI83" s="62" t="n"/>
      <c r="AJ83" s="62" t="n"/>
      <c r="AK83" s="62" t="n"/>
      <c r="AL83" s="62" t="n"/>
      <c r="AM83" s="62" t="n"/>
      <c r="AN83" s="62" t="n"/>
      <c r="AO83" s="62" t="n"/>
      <c r="AP83" s="62" t="n"/>
      <c r="AQ83" s="62" t="n"/>
      <c r="AR83" s="62" t="n"/>
      <c r="AS83" s="62" t="n"/>
      <c r="AT83" s="62" t="n"/>
      <c r="AU83" s="62" t="n"/>
      <c r="AV83" s="62" t="n"/>
      <c r="AW83" s="62" t="n"/>
      <c r="AX83" s="62" t="n"/>
      <c r="AY83" s="62" t="n"/>
    </row>
    <row r="84">
      <c r="A84" s="38">
        <f>IF(D84="","",COUNTA($D$71:D84))</f>
        <v/>
      </c>
      <c r="B84" s="52" t="n"/>
      <c r="C84" s="68" t="inlineStr">
        <is>
          <t>마케팅3팀</t>
        </is>
      </c>
      <c r="D84" s="52" t="n"/>
      <c r="E84" s="54" t="n"/>
      <c r="F84" s="52" t="n"/>
      <c r="G84" s="55" t="n"/>
      <c r="H84" s="54" t="n"/>
      <c r="I84" s="54" t="n"/>
      <c r="J84" s="54" t="n"/>
      <c r="K84" s="56">
        <f>IF(SUM(U84:AY84)=0,"",SUM(U84:AY84))</f>
        <v/>
      </c>
      <c r="L84" s="57">
        <f>IFERROR(INDEX(U$2:AY$2,MATCH(TRUE,U84:AY84&lt;&gt;"",0)),"")</f>
        <v/>
      </c>
      <c r="M84" s="58">
        <f>IFERROR(LOOKUP(2,1/(U84:AY84&lt;&gt;""),U$2:AY$2),"")</f>
        <v/>
      </c>
      <c r="N84" s="59">
        <f>IF(OR(G84="",M84=""),"",G84-M84)</f>
        <v/>
      </c>
      <c r="O84" s="60" t="n"/>
      <c r="P84" s="61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  <c r="AG84" s="62" t="n"/>
      <c r="AH84" s="62" t="n"/>
      <c r="AI84" s="62" t="n"/>
      <c r="AJ84" s="62" t="n"/>
      <c r="AK84" s="62" t="n"/>
      <c r="AL84" s="62" t="n"/>
      <c r="AM84" s="62" t="n"/>
      <c r="AN84" s="62" t="n"/>
      <c r="AO84" s="62" t="n"/>
      <c r="AP84" s="62" t="n"/>
      <c r="AQ84" s="62" t="n"/>
      <c r="AR84" s="62" t="n"/>
      <c r="AS84" s="62" t="n"/>
      <c r="AT84" s="62" t="n"/>
      <c r="AU84" s="62" t="n"/>
      <c r="AV84" s="62" t="n"/>
      <c r="AW84" s="62" t="n"/>
      <c r="AX84" s="62" t="n"/>
      <c r="AY84" s="62" t="n"/>
    </row>
    <row r="85">
      <c r="A85" s="38">
        <f>IF(D85="","",COUNTA($D$71:D85))</f>
        <v/>
      </c>
      <c r="B85" s="52" t="n"/>
      <c r="C85" s="68" t="inlineStr">
        <is>
          <t>마케팅3팀</t>
        </is>
      </c>
      <c r="D85" s="52" t="n"/>
      <c r="E85" s="54" t="n"/>
      <c r="F85" s="52" t="n"/>
      <c r="G85" s="55" t="n"/>
      <c r="H85" s="54" t="n"/>
      <c r="I85" s="54" t="n"/>
      <c r="J85" s="54" t="n"/>
      <c r="K85" s="56">
        <f>IF(SUM(U85:AY85)=0,"",SUM(U85:AY85))</f>
        <v/>
      </c>
      <c r="L85" s="57">
        <f>IFERROR(INDEX(U$2:AY$2,MATCH(TRUE,U85:AY85&lt;&gt;"",0)),"")</f>
        <v/>
      </c>
      <c r="M85" s="58">
        <f>IFERROR(LOOKUP(2,1/(U85:AY85&lt;&gt;""),U$2:AY$2),"")</f>
        <v/>
      </c>
      <c r="N85" s="59">
        <f>IF(OR(G85="",M85=""),"",G85-M85)</f>
        <v/>
      </c>
      <c r="O85" s="60" t="n"/>
      <c r="P85" s="61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  <c r="AG85" s="62" t="n"/>
      <c r="AH85" s="62" t="n"/>
      <c r="AI85" s="62" t="n"/>
      <c r="AJ85" s="62" t="n"/>
      <c r="AK85" s="62" t="n"/>
      <c r="AL85" s="62" t="n"/>
      <c r="AM85" s="62" t="n"/>
      <c r="AN85" s="62" t="n"/>
      <c r="AO85" s="62" t="n"/>
      <c r="AP85" s="62" t="n"/>
      <c r="AQ85" s="62" t="n"/>
      <c r="AR85" s="62" t="n"/>
      <c r="AS85" s="62" t="n"/>
      <c r="AT85" s="62" t="n"/>
      <c r="AU85" s="62" t="n"/>
      <c r="AV85" s="62" t="n"/>
      <c r="AW85" s="62" t="n"/>
      <c r="AX85" s="62" t="n"/>
      <c r="AY85" s="62" t="n"/>
    </row>
    <row r="86">
      <c r="A86" s="38">
        <f>IF(D86="","",COUNTA($D$71:D86))</f>
        <v/>
      </c>
      <c r="B86" s="52" t="n"/>
      <c r="C86" s="68" t="inlineStr">
        <is>
          <t>마케팅3팀</t>
        </is>
      </c>
      <c r="D86" s="52" t="n"/>
      <c r="E86" s="54" t="n"/>
      <c r="F86" s="52" t="n"/>
      <c r="G86" s="55" t="n"/>
      <c r="H86" s="54" t="n"/>
      <c r="I86" s="54" t="n"/>
      <c r="J86" s="54" t="n"/>
      <c r="K86" s="56">
        <f>IF(SUM(U86:AY86)=0,"",SUM(U86:AY86))</f>
        <v/>
      </c>
      <c r="L86" s="57">
        <f>IFERROR(INDEX(U$2:AY$2,MATCH(TRUE,U86:AY86&lt;&gt;"",0)),"")</f>
        <v/>
      </c>
      <c r="M86" s="58">
        <f>IFERROR(LOOKUP(2,1/(U86:AY86&lt;&gt;""),U$2:AY$2),"")</f>
        <v/>
      </c>
      <c r="N86" s="59">
        <f>IF(OR(G86="",M86=""),"",G86-M86)</f>
        <v/>
      </c>
      <c r="O86" s="60" t="n"/>
      <c r="P86" s="61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  <c r="AG86" s="62" t="n"/>
      <c r="AH86" s="62" t="n"/>
      <c r="AI86" s="62" t="n"/>
      <c r="AJ86" s="62" t="n"/>
      <c r="AK86" s="62" t="n"/>
      <c r="AL86" s="62" t="n"/>
      <c r="AM86" s="62" t="n"/>
      <c r="AN86" s="62" t="n"/>
      <c r="AO86" s="62" t="n"/>
      <c r="AP86" s="62" t="n"/>
      <c r="AQ86" s="62" t="n"/>
      <c r="AR86" s="62" t="n"/>
      <c r="AS86" s="62" t="n"/>
      <c r="AT86" s="62" t="n"/>
      <c r="AU86" s="62" t="n"/>
      <c r="AV86" s="62" t="n"/>
      <c r="AW86" s="62" t="n"/>
      <c r="AX86" s="62" t="n"/>
      <c r="AY86" s="62" t="n"/>
    </row>
    <row r="87">
      <c r="A87" s="38">
        <f>IF(D87="","",COUNTA($D$71:D87))</f>
        <v/>
      </c>
      <c r="B87" s="52" t="n"/>
      <c r="C87" s="68" t="inlineStr">
        <is>
          <t>마케팅3팀</t>
        </is>
      </c>
      <c r="D87" s="52" t="n"/>
      <c r="E87" s="54" t="n"/>
      <c r="F87" s="52" t="n"/>
      <c r="G87" s="55" t="n"/>
      <c r="H87" s="54" t="n"/>
      <c r="I87" s="54" t="n"/>
      <c r="J87" s="54" t="n"/>
      <c r="K87" s="56">
        <f>IF(SUM(U87:AY87)=0,"",SUM(U87:AY87))</f>
        <v/>
      </c>
      <c r="L87" s="57">
        <f>IFERROR(INDEX(U$2:AY$2,MATCH(TRUE,U87:AY87&lt;&gt;"",0)),"")</f>
        <v/>
      </c>
      <c r="M87" s="58">
        <f>IFERROR(LOOKUP(2,1/(U87:AY87&lt;&gt;""),U$2:AY$2),"")</f>
        <v/>
      </c>
      <c r="N87" s="59">
        <f>IF(OR(G87="",M87=""),"",G87-M87)</f>
        <v/>
      </c>
      <c r="O87" s="60" t="n"/>
      <c r="P87" s="61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  <c r="AG87" s="62" t="n"/>
      <c r="AH87" s="62" t="n"/>
      <c r="AI87" s="62" t="n"/>
      <c r="AJ87" s="62" t="n"/>
      <c r="AK87" s="62" t="n"/>
      <c r="AL87" s="62" t="n"/>
      <c r="AM87" s="62" t="n"/>
      <c r="AN87" s="62" t="n"/>
      <c r="AO87" s="62" t="n"/>
      <c r="AP87" s="62" t="n"/>
      <c r="AQ87" s="62" t="n"/>
      <c r="AR87" s="62" t="n"/>
      <c r="AS87" s="62" t="n"/>
      <c r="AT87" s="62" t="n"/>
      <c r="AU87" s="62" t="n"/>
      <c r="AV87" s="62" t="n"/>
      <c r="AW87" s="62" t="n"/>
      <c r="AX87" s="62" t="n"/>
      <c r="AY87" s="62" t="n"/>
    </row>
    <row r="88">
      <c r="A88" s="38">
        <f>IF(D88="","",COUNTA($D$71:D88))</f>
        <v/>
      </c>
      <c r="B88" s="52" t="n"/>
      <c r="C88" s="68" t="inlineStr">
        <is>
          <t>마케팅3팀</t>
        </is>
      </c>
      <c r="D88" s="52" t="n"/>
      <c r="E88" s="54" t="n"/>
      <c r="F88" s="52" t="n"/>
      <c r="G88" s="55" t="n"/>
      <c r="H88" s="54" t="n"/>
      <c r="I88" s="54" t="n"/>
      <c r="J88" s="54" t="n"/>
      <c r="K88" s="56">
        <f>IF(SUM(U88:AY88)=0,"",SUM(U88:AY88))</f>
        <v/>
      </c>
      <c r="L88" s="57">
        <f>IFERROR(INDEX(U$2:AY$2,MATCH(TRUE,U88:AY88&lt;&gt;"",0)),"")</f>
        <v/>
      </c>
      <c r="M88" s="58">
        <f>IFERROR(LOOKUP(2,1/(U88:AY88&lt;&gt;""),U$2:AY$2),"")</f>
        <v/>
      </c>
      <c r="N88" s="59">
        <f>IF(OR(G88="",M88=""),"",G88-M88)</f>
        <v/>
      </c>
      <c r="O88" s="60" t="n"/>
      <c r="P88" s="61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  <c r="AG88" s="62" t="n"/>
      <c r="AH88" s="62" t="n"/>
      <c r="AI88" s="62" t="n"/>
      <c r="AJ88" s="62" t="n"/>
      <c r="AK88" s="62" t="n"/>
      <c r="AL88" s="62" t="n"/>
      <c r="AM88" s="62" t="n"/>
      <c r="AN88" s="62" t="n"/>
      <c r="AO88" s="62" t="n"/>
      <c r="AP88" s="62" t="n"/>
      <c r="AQ88" s="62" t="n"/>
      <c r="AR88" s="62" t="n"/>
      <c r="AS88" s="62" t="n"/>
      <c r="AT88" s="62" t="n"/>
      <c r="AU88" s="62" t="n"/>
      <c r="AV88" s="62" t="n"/>
      <c r="AW88" s="62" t="n"/>
      <c r="AX88" s="62" t="n"/>
      <c r="AY88" s="62" t="n"/>
    </row>
    <row r="89">
      <c r="A89" s="38">
        <f>IF(D89="","",COUNTA($D$71:D89))</f>
        <v/>
      </c>
      <c r="B89" s="52" t="n"/>
      <c r="C89" s="68" t="inlineStr">
        <is>
          <t>마케팅3팀</t>
        </is>
      </c>
      <c r="D89" s="52" t="n"/>
      <c r="E89" s="54" t="n"/>
      <c r="F89" s="52" t="n"/>
      <c r="G89" s="55" t="n"/>
      <c r="H89" s="54" t="n"/>
      <c r="I89" s="54" t="n"/>
      <c r="J89" s="54" t="n"/>
      <c r="K89" s="56">
        <f>IF(SUM(U89:AY89)=0,"",SUM(U89:AY89))</f>
        <v/>
      </c>
      <c r="L89" s="57">
        <f>IFERROR(INDEX(U$2:AY$2,MATCH(TRUE,U89:AY89&lt;&gt;"",0)),"")</f>
        <v/>
      </c>
      <c r="M89" s="58">
        <f>IFERROR(LOOKUP(2,1/(U89:AY89&lt;&gt;""),U$2:AY$2),"")</f>
        <v/>
      </c>
      <c r="N89" s="59">
        <f>IF(OR(G89="",M89=""),"",G89-M89)</f>
        <v/>
      </c>
      <c r="O89" s="60" t="n"/>
      <c r="P89" s="61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  <c r="AG89" s="62" t="n"/>
      <c r="AH89" s="62" t="n"/>
      <c r="AI89" s="62" t="n"/>
      <c r="AJ89" s="62" t="n"/>
      <c r="AK89" s="62" t="n"/>
      <c r="AL89" s="62" t="n"/>
      <c r="AM89" s="62" t="n"/>
      <c r="AN89" s="62" t="n"/>
      <c r="AO89" s="62" t="n"/>
      <c r="AP89" s="62" t="n"/>
      <c r="AQ89" s="62" t="n"/>
      <c r="AR89" s="62" t="n"/>
      <c r="AS89" s="62" t="n"/>
      <c r="AT89" s="62" t="n"/>
      <c r="AU89" s="62" t="n"/>
      <c r="AV89" s="62" t="n"/>
      <c r="AW89" s="62" t="n"/>
      <c r="AX89" s="62" t="n"/>
      <c r="AY89" s="62" t="n"/>
    </row>
    <row r="90">
      <c r="A90" s="38">
        <f>IF(D90="","",COUNTA($D$71:D90))</f>
        <v/>
      </c>
      <c r="B90" s="52" t="n"/>
      <c r="C90" s="68" t="inlineStr">
        <is>
          <t>마케팅3팀</t>
        </is>
      </c>
      <c r="D90" s="52" t="n"/>
      <c r="E90" s="54" t="n"/>
      <c r="F90" s="52" t="n"/>
      <c r="G90" s="55" t="n"/>
      <c r="H90" s="54" t="n"/>
      <c r="I90" s="54" t="n"/>
      <c r="J90" s="54" t="n"/>
      <c r="K90" s="56">
        <f>IF(SUM(U90:AY90)=0,"",SUM(U90:AY90))</f>
        <v/>
      </c>
      <c r="L90" s="57">
        <f>IFERROR(INDEX(U$2:AY$2,MATCH(TRUE,U90:AY90&lt;&gt;"",0)),"")</f>
        <v/>
      </c>
      <c r="M90" s="58">
        <f>IFERROR(LOOKUP(2,1/(U90:AY90&lt;&gt;""),U$2:AY$2),"")</f>
        <v/>
      </c>
      <c r="N90" s="59">
        <f>IF(OR(G90="",M90=""),"",G90-M90)</f>
        <v/>
      </c>
      <c r="O90" s="60" t="n"/>
      <c r="P90" s="61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  <c r="AG90" s="62" t="n"/>
      <c r="AH90" s="62" t="n"/>
      <c r="AI90" s="62" t="n"/>
      <c r="AJ90" s="62" t="n"/>
      <c r="AK90" s="62" t="n"/>
      <c r="AL90" s="62" t="n"/>
      <c r="AM90" s="62" t="n"/>
      <c r="AN90" s="62" t="n"/>
      <c r="AO90" s="62" t="n"/>
      <c r="AP90" s="62" t="n"/>
      <c r="AQ90" s="62" t="n"/>
      <c r="AR90" s="62" t="n"/>
      <c r="AS90" s="62" t="n"/>
      <c r="AT90" s="62" t="n"/>
      <c r="AU90" s="62" t="n"/>
      <c r="AV90" s="62" t="n"/>
      <c r="AW90" s="62" t="n"/>
      <c r="AX90" s="62" t="n"/>
      <c r="AY90" s="62" t="n"/>
    </row>
    <row r="91">
      <c r="A91" s="38">
        <f>IF(D91="","",COUNTA($D$71:D91))</f>
        <v/>
      </c>
      <c r="B91" s="52" t="n"/>
      <c r="C91" s="68" t="inlineStr">
        <is>
          <t>마케팅3팀</t>
        </is>
      </c>
      <c r="D91" s="52" t="n"/>
      <c r="E91" s="54" t="n"/>
      <c r="F91" s="52" t="n"/>
      <c r="G91" s="55" t="n"/>
      <c r="H91" s="54" t="n"/>
      <c r="I91" s="54" t="n"/>
      <c r="J91" s="54" t="n"/>
      <c r="K91" s="56">
        <f>IF(SUM(U91:AY91)=0,"",SUM(U91:AY91))</f>
        <v/>
      </c>
      <c r="L91" s="57">
        <f>IFERROR(INDEX(U$2:AY$2,MATCH(TRUE,U91:AY91&lt;&gt;"",0)),"")</f>
        <v/>
      </c>
      <c r="M91" s="58">
        <f>IFERROR(LOOKUP(2,1/(U91:AY91&lt;&gt;""),U$2:AY$2),"")</f>
        <v/>
      </c>
      <c r="N91" s="59">
        <f>IF(OR(G91="",M91=""),"",G91-M91)</f>
        <v/>
      </c>
      <c r="O91" s="60" t="n"/>
      <c r="P91" s="61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  <c r="AG91" s="62" t="n"/>
      <c r="AH91" s="62" t="n"/>
      <c r="AI91" s="62" t="n"/>
      <c r="AJ91" s="62" t="n"/>
      <c r="AK91" s="62" t="n"/>
      <c r="AL91" s="62" t="n"/>
      <c r="AM91" s="62" t="n"/>
      <c r="AN91" s="62" t="n"/>
      <c r="AO91" s="62" t="n"/>
      <c r="AP91" s="62" t="n"/>
      <c r="AQ91" s="62" t="n"/>
      <c r="AR91" s="62" t="n"/>
      <c r="AS91" s="62" t="n"/>
      <c r="AT91" s="62" t="n"/>
      <c r="AU91" s="62" t="n"/>
      <c r="AV91" s="62" t="n"/>
      <c r="AW91" s="62" t="n"/>
      <c r="AX91" s="62" t="n"/>
      <c r="AY91" s="62" t="n"/>
    </row>
    <row r="92">
      <c r="A92" s="38">
        <f>IF(D92="","",COUNTA($D$71:D92))</f>
        <v/>
      </c>
      <c r="B92" s="52" t="n"/>
      <c r="C92" s="68" t="inlineStr">
        <is>
          <t>마케팅3팀</t>
        </is>
      </c>
      <c r="D92" s="52" t="n"/>
      <c r="E92" s="54" t="n"/>
      <c r="F92" s="52" t="n"/>
      <c r="G92" s="55" t="n"/>
      <c r="H92" s="54" t="n"/>
      <c r="I92" s="54" t="n"/>
      <c r="J92" s="54" t="n"/>
      <c r="K92" s="56">
        <f>IF(SUM(U92:AY92)=0,"",SUM(U92:AY92))</f>
        <v/>
      </c>
      <c r="L92" s="57">
        <f>IFERROR(INDEX(U$2:AY$2,MATCH(TRUE,U92:AY92&lt;&gt;"",0)),"")</f>
        <v/>
      </c>
      <c r="M92" s="58">
        <f>IFERROR(LOOKUP(2,1/(U92:AY92&lt;&gt;""),U$2:AY$2),"")</f>
        <v/>
      </c>
      <c r="N92" s="59">
        <f>IF(OR(G92="",M92=""),"",G92-M92)</f>
        <v/>
      </c>
      <c r="O92" s="60" t="n"/>
      <c r="P92" s="61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  <c r="AG92" s="62" t="n"/>
      <c r="AH92" s="62" t="n"/>
      <c r="AI92" s="62" t="n"/>
      <c r="AJ92" s="62" t="n"/>
      <c r="AK92" s="62" t="n"/>
      <c r="AL92" s="62" t="n"/>
      <c r="AM92" s="62" t="n"/>
      <c r="AN92" s="62" t="n"/>
      <c r="AO92" s="62" t="n"/>
      <c r="AP92" s="62" t="n"/>
      <c r="AQ92" s="62" t="n"/>
      <c r="AR92" s="62" t="n"/>
      <c r="AS92" s="62" t="n"/>
      <c r="AT92" s="62" t="n"/>
      <c r="AU92" s="62" t="n"/>
      <c r="AV92" s="62" t="n"/>
      <c r="AW92" s="62" t="n"/>
      <c r="AX92" s="62" t="n"/>
      <c r="AY92" s="62" t="n"/>
    </row>
    <row r="93">
      <c r="A93" s="38">
        <f>IF(D93="","",COUNTA($D$71:D93))</f>
        <v/>
      </c>
      <c r="B93" s="52" t="n"/>
      <c r="C93" s="68" t="inlineStr">
        <is>
          <t>마케팅3팀</t>
        </is>
      </c>
      <c r="D93" s="52" t="n"/>
      <c r="E93" s="54" t="n"/>
      <c r="F93" s="52" t="n"/>
      <c r="G93" s="55" t="n"/>
      <c r="H93" s="54" t="n"/>
      <c r="I93" s="54" t="n"/>
      <c r="J93" s="54" t="n"/>
      <c r="K93" s="56">
        <f>IF(SUM(U93:AY93)=0,"",SUM(U93:AY93))</f>
        <v/>
      </c>
      <c r="L93" s="57">
        <f>IFERROR(INDEX(U$2:AY$2,MATCH(TRUE,U93:AY93&lt;&gt;"",0)),"")</f>
        <v/>
      </c>
      <c r="M93" s="58">
        <f>IFERROR(LOOKUP(2,1/(U93:AY93&lt;&gt;""),U$2:AY$2),"")</f>
        <v/>
      </c>
      <c r="N93" s="59">
        <f>IF(OR(G93="",M93=""),"",G93-M93)</f>
        <v/>
      </c>
      <c r="O93" s="60" t="n"/>
      <c r="P93" s="61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  <c r="AG93" s="62" t="n"/>
      <c r="AH93" s="62" t="n"/>
      <c r="AI93" s="62" t="n"/>
      <c r="AJ93" s="62" t="n"/>
      <c r="AK93" s="62" t="n"/>
      <c r="AL93" s="62" t="n"/>
      <c r="AM93" s="62" t="n"/>
      <c r="AN93" s="62" t="n"/>
      <c r="AO93" s="62" t="n"/>
      <c r="AP93" s="62" t="n"/>
      <c r="AQ93" s="62" t="n"/>
      <c r="AR93" s="62" t="n"/>
      <c r="AS93" s="62" t="n"/>
      <c r="AT93" s="62" t="n"/>
      <c r="AU93" s="62" t="n"/>
      <c r="AV93" s="62" t="n"/>
      <c r="AW93" s="62" t="n"/>
      <c r="AX93" s="62" t="n"/>
      <c r="AY93" s="62" t="n"/>
    </row>
    <row r="94">
      <c r="A94" s="38">
        <f>IF(D94="","",COUNTA($D$71:D94))</f>
        <v/>
      </c>
      <c r="B94" s="52" t="n"/>
      <c r="C94" s="68" t="inlineStr">
        <is>
          <t>마케팅3팀</t>
        </is>
      </c>
      <c r="D94" s="52" t="n"/>
      <c r="E94" s="54" t="n"/>
      <c r="F94" s="52" t="n"/>
      <c r="G94" s="55" t="n"/>
      <c r="H94" s="54" t="n"/>
      <c r="I94" s="54" t="n"/>
      <c r="J94" s="54" t="n"/>
      <c r="K94" s="56">
        <f>IF(SUM(U94:AY94)=0,"",SUM(U94:AY94))</f>
        <v/>
      </c>
      <c r="L94" s="57">
        <f>IFERROR(INDEX(U$2:AY$2,MATCH(TRUE,U94:AY94&lt;&gt;"",0)),"")</f>
        <v/>
      </c>
      <c r="M94" s="58">
        <f>IFERROR(LOOKUP(2,1/(U94:AY94&lt;&gt;""),U$2:AY$2),"")</f>
        <v/>
      </c>
      <c r="N94" s="59">
        <f>IF(OR(G94="",M94=""),"",G94-M94)</f>
        <v/>
      </c>
      <c r="O94" s="60" t="n"/>
      <c r="P94" s="61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  <c r="AG94" s="62" t="n"/>
      <c r="AH94" s="62" t="n"/>
      <c r="AI94" s="62" t="n"/>
      <c r="AJ94" s="62" t="n"/>
      <c r="AK94" s="62" t="n"/>
      <c r="AL94" s="62" t="n"/>
      <c r="AM94" s="62" t="n"/>
      <c r="AN94" s="62" t="n"/>
      <c r="AO94" s="62" t="n"/>
      <c r="AP94" s="62" t="n"/>
      <c r="AQ94" s="62" t="n"/>
      <c r="AR94" s="62" t="n"/>
      <c r="AS94" s="62" t="n"/>
      <c r="AT94" s="62" t="n"/>
      <c r="AU94" s="62" t="n"/>
      <c r="AV94" s="62" t="n"/>
      <c r="AW94" s="62" t="n"/>
      <c r="AX94" s="62" t="n"/>
      <c r="AY94" s="62" t="n"/>
    </row>
    <row r="95">
      <c r="A95" s="38">
        <f>IF(D95="","",COUNTA($D$71:D95))</f>
        <v/>
      </c>
      <c r="B95" s="52" t="n"/>
      <c r="C95" s="68" t="inlineStr">
        <is>
          <t>마케팅3팀</t>
        </is>
      </c>
      <c r="D95" s="52" t="n"/>
      <c r="E95" s="54" t="n"/>
      <c r="F95" s="52" t="n"/>
      <c r="G95" s="55" t="n"/>
      <c r="H95" s="54" t="n"/>
      <c r="I95" s="54" t="n"/>
      <c r="J95" s="54" t="n"/>
      <c r="K95" s="56">
        <f>IF(SUM(U95:AY95)=0,"",SUM(U95:AY95))</f>
        <v/>
      </c>
      <c r="L95" s="57">
        <f>IFERROR(INDEX(U$2:AY$2,MATCH(TRUE,U95:AY95&lt;&gt;"",0)),"")</f>
        <v/>
      </c>
      <c r="M95" s="58">
        <f>IFERROR(LOOKUP(2,1/(U95:AY95&lt;&gt;""),U$2:AY$2),"")</f>
        <v/>
      </c>
      <c r="N95" s="59">
        <f>IF(OR(G95="",M95=""),"",G95-M95)</f>
        <v/>
      </c>
      <c r="O95" s="60" t="n"/>
      <c r="P95" s="61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  <c r="AG95" s="62" t="n"/>
      <c r="AH95" s="62" t="n"/>
      <c r="AI95" s="62" t="n"/>
      <c r="AJ95" s="62" t="n"/>
      <c r="AK95" s="62" t="n"/>
      <c r="AL95" s="62" t="n"/>
      <c r="AM95" s="62" t="n"/>
      <c r="AN95" s="62" t="n"/>
      <c r="AO95" s="62" t="n"/>
      <c r="AP95" s="62" t="n"/>
      <c r="AQ95" s="62" t="n"/>
      <c r="AR95" s="62" t="n"/>
      <c r="AS95" s="62" t="n"/>
      <c r="AT95" s="62" t="n"/>
      <c r="AU95" s="62" t="n"/>
      <c r="AV95" s="62" t="n"/>
      <c r="AW95" s="62" t="n"/>
      <c r="AX95" s="62" t="n"/>
      <c r="AY95" s="62" t="n"/>
    </row>
    <row r="96">
      <c r="A96" s="38">
        <f>IF(D96="","",COUNTA($D$71:D96))</f>
        <v/>
      </c>
      <c r="B96" s="52" t="n"/>
      <c r="C96" s="68" t="inlineStr">
        <is>
          <t>마케팅3팀</t>
        </is>
      </c>
      <c r="D96" s="52" t="n"/>
      <c r="E96" s="54" t="n"/>
      <c r="F96" s="52" t="n"/>
      <c r="G96" s="55" t="n"/>
      <c r="H96" s="54" t="n"/>
      <c r="I96" s="54" t="n"/>
      <c r="J96" s="54" t="n"/>
      <c r="K96" s="56">
        <f>IF(SUM(U96:AY96)=0,"",SUM(U96:AY96))</f>
        <v/>
      </c>
      <c r="L96" s="57">
        <f>IFERROR(INDEX(U$2:AY$2,MATCH(TRUE,U96:AY96&lt;&gt;"",0)),"")</f>
        <v/>
      </c>
      <c r="M96" s="58">
        <f>IFERROR(LOOKUP(2,1/(U96:AY96&lt;&gt;""),U$2:AY$2),"")</f>
        <v/>
      </c>
      <c r="N96" s="59">
        <f>IF(OR(G96="",M96=""),"",G96-M96)</f>
        <v/>
      </c>
      <c r="O96" s="60" t="n"/>
      <c r="P96" s="61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  <c r="AG96" s="62" t="n"/>
      <c r="AH96" s="62" t="n"/>
      <c r="AI96" s="62" t="n"/>
      <c r="AJ96" s="62" t="n"/>
      <c r="AK96" s="62" t="n"/>
      <c r="AL96" s="62" t="n"/>
      <c r="AM96" s="62" t="n"/>
      <c r="AN96" s="62" t="n"/>
      <c r="AO96" s="62" t="n"/>
      <c r="AP96" s="62" t="n"/>
      <c r="AQ96" s="62" t="n"/>
      <c r="AR96" s="62" t="n"/>
      <c r="AS96" s="62" t="n"/>
      <c r="AT96" s="62" t="n"/>
      <c r="AU96" s="62" t="n"/>
      <c r="AV96" s="62" t="n"/>
      <c r="AW96" s="62" t="n"/>
      <c r="AX96" s="62" t="n"/>
      <c r="AY96" s="62" t="n"/>
    </row>
    <row r="97">
      <c r="A97" s="38">
        <f>IF(D97="","",COUNTA($D$71:D97))</f>
        <v/>
      </c>
      <c r="B97" s="52" t="n"/>
      <c r="C97" s="68" t="inlineStr">
        <is>
          <t>마케팅3팀</t>
        </is>
      </c>
      <c r="D97" s="52" t="n"/>
      <c r="E97" s="54" t="n"/>
      <c r="F97" s="52" t="n"/>
      <c r="G97" s="55" t="n"/>
      <c r="H97" s="54" t="n"/>
      <c r="I97" s="54" t="n"/>
      <c r="J97" s="54" t="n"/>
      <c r="K97" s="56">
        <f>IF(SUM(U97:AY97)=0,"",SUM(U97:AY97))</f>
        <v/>
      </c>
      <c r="L97" s="57">
        <f>IFERROR(INDEX(U$2:AY$2,MATCH(TRUE,U97:AY97&lt;&gt;"",0)),"")</f>
        <v/>
      </c>
      <c r="M97" s="58">
        <f>IFERROR(LOOKUP(2,1/(U97:AY97&lt;&gt;""),U$2:AY$2),"")</f>
        <v/>
      </c>
      <c r="N97" s="59">
        <f>IF(OR(G97="",M97=""),"",G97-M97)</f>
        <v/>
      </c>
      <c r="O97" s="60" t="n"/>
      <c r="P97" s="61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  <c r="AG97" s="62" t="n"/>
      <c r="AH97" s="62" t="n"/>
      <c r="AI97" s="62" t="n"/>
      <c r="AJ97" s="62" t="n"/>
      <c r="AK97" s="62" t="n"/>
      <c r="AL97" s="62" t="n"/>
      <c r="AM97" s="62" t="n"/>
      <c r="AN97" s="62" t="n"/>
      <c r="AO97" s="62" t="n"/>
      <c r="AP97" s="62" t="n"/>
      <c r="AQ97" s="62" t="n"/>
      <c r="AR97" s="62" t="n"/>
      <c r="AS97" s="62" t="n"/>
      <c r="AT97" s="62" t="n"/>
      <c r="AU97" s="62" t="n"/>
      <c r="AV97" s="62" t="n"/>
      <c r="AW97" s="62" t="n"/>
      <c r="AX97" s="62" t="n"/>
      <c r="AY97" s="62" t="n"/>
    </row>
    <row r="98">
      <c r="A98" s="38">
        <f>IF(D98="","",COUNTA($D$71:D98))</f>
        <v/>
      </c>
      <c r="B98" s="52" t="n"/>
      <c r="C98" s="68" t="inlineStr">
        <is>
          <t>마케팅3팀</t>
        </is>
      </c>
      <c r="D98" s="52" t="n"/>
      <c r="E98" s="54" t="n"/>
      <c r="F98" s="52" t="n"/>
      <c r="G98" s="55" t="n"/>
      <c r="H98" s="54" t="n"/>
      <c r="I98" s="54" t="n"/>
      <c r="J98" s="54" t="n"/>
      <c r="K98" s="56">
        <f>IF(SUM(U98:AY98)=0,"",SUM(U98:AY98))</f>
        <v/>
      </c>
      <c r="L98" s="57">
        <f>IFERROR(INDEX(U$2:AY$2,MATCH(TRUE,U98:AY98&lt;&gt;"",0)),"")</f>
        <v/>
      </c>
      <c r="M98" s="58">
        <f>IFERROR(LOOKUP(2,1/(U98:AY98&lt;&gt;""),U$2:AY$2),"")</f>
        <v/>
      </c>
      <c r="N98" s="59">
        <f>IF(OR(G98="",M98=""),"",G98-M98)</f>
        <v/>
      </c>
      <c r="O98" s="60" t="n"/>
      <c r="P98" s="61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  <c r="AG98" s="62" t="n"/>
      <c r="AH98" s="62" t="n"/>
      <c r="AI98" s="62" t="n"/>
      <c r="AJ98" s="62" t="n"/>
      <c r="AK98" s="62" t="n"/>
      <c r="AL98" s="62" t="n"/>
      <c r="AM98" s="62" t="n"/>
      <c r="AN98" s="62" t="n"/>
      <c r="AO98" s="62" t="n"/>
      <c r="AP98" s="62" t="n"/>
      <c r="AQ98" s="62" t="n"/>
      <c r="AR98" s="62" t="n"/>
      <c r="AS98" s="62" t="n"/>
      <c r="AT98" s="62" t="n"/>
      <c r="AU98" s="62" t="n"/>
      <c r="AV98" s="62" t="n"/>
      <c r="AW98" s="62" t="n"/>
      <c r="AX98" s="62" t="n"/>
      <c r="AY98" s="62" t="n"/>
    </row>
    <row r="99">
      <c r="A99" s="38">
        <f>IF(D99="","",COUNTA($D$71:D99))</f>
        <v/>
      </c>
      <c r="B99" s="52" t="n"/>
      <c r="C99" s="68" t="inlineStr">
        <is>
          <t>마케팅3팀</t>
        </is>
      </c>
      <c r="D99" s="52" t="n"/>
      <c r="E99" s="54" t="n"/>
      <c r="F99" s="52" t="n"/>
      <c r="G99" s="55" t="n"/>
      <c r="H99" s="54" t="n"/>
      <c r="I99" s="54" t="n"/>
      <c r="J99" s="54" t="n"/>
      <c r="K99" s="56">
        <f>IF(SUM(U99:AY99)=0,"",SUM(U99:AY99))</f>
        <v/>
      </c>
      <c r="L99" s="57">
        <f>IFERROR(INDEX(U$2:AY$2,MATCH(TRUE,U99:AY99&lt;&gt;"",0)),"")</f>
        <v/>
      </c>
      <c r="M99" s="58">
        <f>IFERROR(LOOKUP(2,1/(U99:AY99&lt;&gt;""),U$2:AY$2),"")</f>
        <v/>
      </c>
      <c r="N99" s="59">
        <f>IF(OR(G99="",M99=""),"",G99-M99)</f>
        <v/>
      </c>
      <c r="O99" s="60" t="n"/>
      <c r="P99" s="61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  <c r="AG99" s="62" t="n"/>
      <c r="AH99" s="62" t="n"/>
      <c r="AI99" s="62" t="n"/>
      <c r="AJ99" s="62" t="n"/>
      <c r="AK99" s="62" t="n"/>
      <c r="AL99" s="62" t="n"/>
      <c r="AM99" s="62" t="n"/>
      <c r="AN99" s="62" t="n"/>
      <c r="AO99" s="62" t="n"/>
      <c r="AP99" s="62" t="n"/>
      <c r="AQ99" s="62" t="n"/>
      <c r="AR99" s="62" t="n"/>
      <c r="AS99" s="62" t="n"/>
      <c r="AT99" s="62" t="n"/>
      <c r="AU99" s="62" t="n"/>
      <c r="AV99" s="62" t="n"/>
      <c r="AW99" s="62" t="n"/>
      <c r="AX99" s="62" t="n"/>
      <c r="AY99" s="62" t="n"/>
    </row>
    <row r="100">
      <c r="A100" s="38">
        <f>IF(D100="","",COUNTA($D$71:D100))</f>
        <v/>
      </c>
      <c r="B100" s="52" t="n"/>
      <c r="C100" s="68" t="inlineStr">
        <is>
          <t>마케팅3팀</t>
        </is>
      </c>
      <c r="D100" s="52" t="n"/>
      <c r="E100" s="54" t="n"/>
      <c r="F100" s="52" t="n"/>
      <c r="G100" s="55" t="n"/>
      <c r="H100" s="54" t="n"/>
      <c r="I100" s="54" t="n"/>
      <c r="J100" s="54" t="n"/>
      <c r="K100" s="56">
        <f>IF(SUM(U100:AY100)=0,"",SUM(U100:AY100))</f>
        <v/>
      </c>
      <c r="L100" s="57">
        <f>IFERROR(INDEX(U$2:AY$2,MATCH(TRUE,U100:AY100&lt;&gt;"",0)),"")</f>
        <v/>
      </c>
      <c r="M100" s="58">
        <f>IFERROR(LOOKUP(2,1/(U100:AY100&lt;&gt;""),U$2:AY$2),"")</f>
        <v/>
      </c>
      <c r="N100" s="59">
        <f>IF(OR(G100="",M100=""),"",G100-M100)</f>
        <v/>
      </c>
      <c r="O100" s="60" t="n"/>
      <c r="P100" s="61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  <c r="AG100" s="62" t="n"/>
      <c r="AH100" s="62" t="n"/>
      <c r="AI100" s="62" t="n"/>
      <c r="AJ100" s="62" t="n"/>
      <c r="AK100" s="62" t="n"/>
      <c r="AL100" s="62" t="n"/>
      <c r="AM100" s="62" t="n"/>
      <c r="AN100" s="62" t="n"/>
      <c r="AO100" s="62" t="n"/>
      <c r="AP100" s="62" t="n"/>
      <c r="AQ100" s="62" t="n"/>
      <c r="AR100" s="62" t="n"/>
      <c r="AS100" s="62" t="n"/>
      <c r="AT100" s="62" t="n"/>
      <c r="AU100" s="62" t="n"/>
      <c r="AV100" s="62" t="n"/>
      <c r="AW100" s="62" t="n"/>
      <c r="AX100" s="62" t="n"/>
      <c r="AY100" s="62" t="n"/>
    </row>
    <row r="101">
      <c r="A101" s="69" t="inlineStr">
        <is>
          <t>마케팅4팀  (102~131행)</t>
        </is>
      </c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  <c r="AJ101" s="70" t="n"/>
      <c r="AK101" s="70" t="n"/>
      <c r="AL101" s="70" t="n"/>
      <c r="AM101" s="70" t="n"/>
      <c r="AN101" s="70" t="n"/>
      <c r="AO101" s="70" t="n"/>
      <c r="AP101" s="70" t="n"/>
      <c r="AQ101" s="70" t="n"/>
      <c r="AR101" s="70" t="n"/>
      <c r="AS101" s="70" t="n"/>
      <c r="AT101" s="70" t="n"/>
      <c r="AU101" s="70" t="n"/>
      <c r="AV101" s="70" t="n"/>
      <c r="AW101" s="70" t="n"/>
      <c r="AX101" s="70" t="n"/>
      <c r="AY101" s="70" t="n"/>
    </row>
    <row r="102">
      <c r="A102" s="38">
        <f>IF(D102="","",COUNTA($D$102:D102))</f>
        <v/>
      </c>
      <c r="B102" s="52" t="n"/>
      <c r="C102" s="71" t="inlineStr">
        <is>
          <t>마케팅4팀</t>
        </is>
      </c>
      <c r="D102" s="52" t="n"/>
      <c r="E102" s="54" t="n"/>
      <c r="F102" s="52" t="n"/>
      <c r="G102" s="55" t="n"/>
      <c r="H102" s="54" t="n"/>
      <c r="I102" s="54" t="n"/>
      <c r="J102" s="54" t="n"/>
      <c r="K102" s="56">
        <f>IF(SUM(U102:AY102)=0,"",SUM(U102:AY102))</f>
        <v/>
      </c>
      <c r="L102" s="57">
        <f>IFERROR(INDEX(U$2:AY$2,MATCH(TRUE,U102:AY102&lt;&gt;"",0)),"")</f>
        <v/>
      </c>
      <c r="M102" s="58">
        <f>IFERROR(LOOKUP(2,1/(U102:AY102&lt;&gt;""),U$2:AY$2),"")</f>
        <v/>
      </c>
      <c r="N102" s="59">
        <f>IF(OR(G102="",M102=""),"",G102-M102)</f>
        <v/>
      </c>
      <c r="O102" s="60" t="n"/>
      <c r="P102" s="61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  <c r="AG102" s="62" t="n"/>
      <c r="AH102" s="62" t="n"/>
      <c r="AI102" s="62" t="n"/>
      <c r="AJ102" s="62" t="n"/>
      <c r="AK102" s="62" t="n"/>
      <c r="AL102" s="62" t="n"/>
      <c r="AM102" s="62" t="n"/>
      <c r="AN102" s="62" t="n"/>
      <c r="AO102" s="62" t="n"/>
      <c r="AP102" s="62" t="n"/>
      <c r="AQ102" s="62" t="n"/>
      <c r="AR102" s="62" t="n"/>
      <c r="AS102" s="62" t="n"/>
      <c r="AT102" s="62" t="n"/>
      <c r="AU102" s="62" t="n"/>
      <c r="AV102" s="62" t="n"/>
      <c r="AW102" s="62" t="n"/>
      <c r="AX102" s="62" t="n"/>
      <c r="AY102" s="62" t="n"/>
    </row>
    <row r="103">
      <c r="A103" s="38">
        <f>IF(D103="","",COUNTA($D$102:D103))</f>
        <v/>
      </c>
      <c r="B103" s="52" t="n"/>
      <c r="C103" s="71" t="inlineStr">
        <is>
          <t>마케팅4팀</t>
        </is>
      </c>
      <c r="D103" s="52" t="n"/>
      <c r="E103" s="54" t="n"/>
      <c r="F103" s="52" t="n"/>
      <c r="G103" s="55" t="n"/>
      <c r="H103" s="54" t="n"/>
      <c r="I103" s="54" t="n"/>
      <c r="J103" s="54" t="n"/>
      <c r="K103" s="56">
        <f>IF(SUM(U103:AY103)=0,"",SUM(U103:AY103))</f>
        <v/>
      </c>
      <c r="L103" s="57">
        <f>IFERROR(INDEX(U$2:AY$2,MATCH(TRUE,U103:AY103&lt;&gt;"",0)),"")</f>
        <v/>
      </c>
      <c r="M103" s="58">
        <f>IFERROR(LOOKUP(2,1/(U103:AY103&lt;&gt;""),U$2:AY$2),"")</f>
        <v/>
      </c>
      <c r="N103" s="59">
        <f>IF(OR(G103="",M103=""),"",G103-M103)</f>
        <v/>
      </c>
      <c r="O103" s="60" t="n"/>
      <c r="P103" s="61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  <c r="AG103" s="62" t="n"/>
      <c r="AH103" s="62" t="n"/>
      <c r="AI103" s="62" t="n"/>
      <c r="AJ103" s="62" t="n"/>
      <c r="AK103" s="62" t="n"/>
      <c r="AL103" s="62" t="n"/>
      <c r="AM103" s="62" t="n"/>
      <c r="AN103" s="62" t="n"/>
      <c r="AO103" s="62" t="n"/>
      <c r="AP103" s="62" t="n"/>
      <c r="AQ103" s="62" t="n"/>
      <c r="AR103" s="62" t="n"/>
      <c r="AS103" s="62" t="n"/>
      <c r="AT103" s="62" t="n"/>
      <c r="AU103" s="62" t="n"/>
      <c r="AV103" s="62" t="n"/>
      <c r="AW103" s="62" t="n"/>
      <c r="AX103" s="62" t="n"/>
      <c r="AY103" s="62" t="n"/>
    </row>
    <row r="104">
      <c r="A104" s="38">
        <f>IF(D104="","",COUNTA($D$102:D104))</f>
        <v/>
      </c>
      <c r="B104" s="52" t="n"/>
      <c r="C104" s="71" t="inlineStr">
        <is>
          <t>마케팅4팀</t>
        </is>
      </c>
      <c r="D104" s="52" t="n"/>
      <c r="E104" s="54" t="n"/>
      <c r="F104" s="52" t="n"/>
      <c r="G104" s="55" t="n"/>
      <c r="H104" s="54" t="n"/>
      <c r="I104" s="54" t="n"/>
      <c r="J104" s="54" t="n"/>
      <c r="K104" s="56">
        <f>IF(SUM(U104:AY104)=0,"",SUM(U104:AY104))</f>
        <v/>
      </c>
      <c r="L104" s="57">
        <f>IFERROR(INDEX(U$2:AY$2,MATCH(TRUE,U104:AY104&lt;&gt;"",0)),"")</f>
        <v/>
      </c>
      <c r="M104" s="58">
        <f>IFERROR(LOOKUP(2,1/(U104:AY104&lt;&gt;""),U$2:AY$2),"")</f>
        <v/>
      </c>
      <c r="N104" s="59">
        <f>IF(OR(G104="",M104=""),"",G104-M104)</f>
        <v/>
      </c>
      <c r="O104" s="60" t="n"/>
      <c r="P104" s="61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  <c r="AG104" s="62" t="n"/>
      <c r="AH104" s="62" t="n"/>
      <c r="AI104" s="62" t="n"/>
      <c r="AJ104" s="62" t="n"/>
      <c r="AK104" s="62" t="n"/>
      <c r="AL104" s="62" t="n"/>
      <c r="AM104" s="62" t="n"/>
      <c r="AN104" s="62" t="n"/>
      <c r="AO104" s="62" t="n"/>
      <c r="AP104" s="62" t="n"/>
      <c r="AQ104" s="62" t="n"/>
      <c r="AR104" s="62" t="n"/>
      <c r="AS104" s="62" t="n"/>
      <c r="AT104" s="62" t="n"/>
      <c r="AU104" s="62" t="n"/>
      <c r="AV104" s="62" t="n"/>
      <c r="AW104" s="62" t="n"/>
      <c r="AX104" s="62" t="n"/>
      <c r="AY104" s="62" t="n"/>
    </row>
    <row r="105">
      <c r="A105" s="38">
        <f>IF(D105="","",COUNTA($D$102:D105))</f>
        <v/>
      </c>
      <c r="B105" s="52" t="n"/>
      <c r="C105" s="71" t="inlineStr">
        <is>
          <t>마케팅4팀</t>
        </is>
      </c>
      <c r="D105" s="52" t="n"/>
      <c r="E105" s="54" t="n"/>
      <c r="F105" s="52" t="n"/>
      <c r="G105" s="55" t="n"/>
      <c r="H105" s="54" t="n"/>
      <c r="I105" s="54" t="n"/>
      <c r="J105" s="54" t="n"/>
      <c r="K105" s="56">
        <f>IF(SUM(U105:AY105)=0,"",SUM(U105:AY105))</f>
        <v/>
      </c>
      <c r="L105" s="57">
        <f>IFERROR(INDEX(U$2:AY$2,MATCH(TRUE,U105:AY105&lt;&gt;"",0)),"")</f>
        <v/>
      </c>
      <c r="M105" s="58">
        <f>IFERROR(LOOKUP(2,1/(U105:AY105&lt;&gt;""),U$2:AY$2),"")</f>
        <v/>
      </c>
      <c r="N105" s="59">
        <f>IF(OR(G105="",M105=""),"",G105-M105)</f>
        <v/>
      </c>
      <c r="O105" s="60" t="n"/>
      <c r="P105" s="61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  <c r="AG105" s="62" t="n"/>
      <c r="AH105" s="62" t="n"/>
      <c r="AI105" s="62" t="n"/>
      <c r="AJ105" s="62" t="n"/>
      <c r="AK105" s="62" t="n"/>
      <c r="AL105" s="62" t="n"/>
      <c r="AM105" s="62" t="n"/>
      <c r="AN105" s="62" t="n"/>
      <c r="AO105" s="62" t="n"/>
      <c r="AP105" s="62" t="n"/>
      <c r="AQ105" s="62" t="n"/>
      <c r="AR105" s="62" t="n"/>
      <c r="AS105" s="62" t="n"/>
      <c r="AT105" s="62" t="n"/>
      <c r="AU105" s="62" t="n"/>
      <c r="AV105" s="62" t="n"/>
      <c r="AW105" s="62" t="n"/>
      <c r="AX105" s="62" t="n"/>
      <c r="AY105" s="62" t="n"/>
    </row>
    <row r="106">
      <c r="A106" s="38">
        <f>IF(D106="","",COUNTA($D$102:D106))</f>
        <v/>
      </c>
      <c r="B106" s="52" t="n"/>
      <c r="C106" s="71" t="inlineStr">
        <is>
          <t>마케팅4팀</t>
        </is>
      </c>
      <c r="D106" s="52" t="n"/>
      <c r="E106" s="54" t="n"/>
      <c r="F106" s="52" t="n"/>
      <c r="G106" s="55" t="n"/>
      <c r="H106" s="54" t="n"/>
      <c r="I106" s="54" t="n"/>
      <c r="J106" s="54" t="n"/>
      <c r="K106" s="56">
        <f>IF(SUM(U106:AY106)=0,"",SUM(U106:AY106))</f>
        <v/>
      </c>
      <c r="L106" s="57">
        <f>IFERROR(INDEX(U$2:AY$2,MATCH(TRUE,U106:AY106&lt;&gt;"",0)),"")</f>
        <v/>
      </c>
      <c r="M106" s="58">
        <f>IFERROR(LOOKUP(2,1/(U106:AY106&lt;&gt;""),U$2:AY$2),"")</f>
        <v/>
      </c>
      <c r="N106" s="59">
        <f>IF(OR(G106="",M106=""),"",G106-M106)</f>
        <v/>
      </c>
      <c r="O106" s="60" t="n"/>
      <c r="P106" s="61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  <c r="AG106" s="62" t="n"/>
      <c r="AH106" s="62" t="n"/>
      <c r="AI106" s="62" t="n"/>
      <c r="AJ106" s="62" t="n"/>
      <c r="AK106" s="62" t="n"/>
      <c r="AL106" s="62" t="n"/>
      <c r="AM106" s="62" t="n"/>
      <c r="AN106" s="62" t="n"/>
      <c r="AO106" s="62" t="n"/>
      <c r="AP106" s="62" t="n"/>
      <c r="AQ106" s="62" t="n"/>
      <c r="AR106" s="62" t="n"/>
      <c r="AS106" s="62" t="n"/>
      <c r="AT106" s="62" t="n"/>
      <c r="AU106" s="62" t="n"/>
      <c r="AV106" s="62" t="n"/>
      <c r="AW106" s="62" t="n"/>
      <c r="AX106" s="62" t="n"/>
      <c r="AY106" s="62" t="n"/>
    </row>
    <row r="107">
      <c r="A107" s="38">
        <f>IF(D107="","",COUNTA($D$102:D107))</f>
        <v/>
      </c>
      <c r="B107" s="52" t="n"/>
      <c r="C107" s="71" t="inlineStr">
        <is>
          <t>마케팅4팀</t>
        </is>
      </c>
      <c r="D107" s="52" t="n"/>
      <c r="E107" s="54" t="n"/>
      <c r="F107" s="52" t="n"/>
      <c r="G107" s="55" t="n"/>
      <c r="H107" s="54" t="n"/>
      <c r="I107" s="54" t="n"/>
      <c r="J107" s="54" t="n"/>
      <c r="K107" s="56">
        <f>IF(SUM(U107:AY107)=0,"",SUM(U107:AY107))</f>
        <v/>
      </c>
      <c r="L107" s="57">
        <f>IFERROR(INDEX(U$2:AY$2,MATCH(TRUE,U107:AY107&lt;&gt;"",0)),"")</f>
        <v/>
      </c>
      <c r="M107" s="58">
        <f>IFERROR(LOOKUP(2,1/(U107:AY107&lt;&gt;""),U$2:AY$2),"")</f>
        <v/>
      </c>
      <c r="N107" s="59">
        <f>IF(OR(G107="",M107=""),"",G107-M107)</f>
        <v/>
      </c>
      <c r="O107" s="60" t="n"/>
      <c r="P107" s="61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  <c r="AG107" s="62" t="n"/>
      <c r="AH107" s="62" t="n"/>
      <c r="AI107" s="62" t="n"/>
      <c r="AJ107" s="62" t="n"/>
      <c r="AK107" s="62" t="n"/>
      <c r="AL107" s="62" t="n"/>
      <c r="AM107" s="62" t="n"/>
      <c r="AN107" s="62" t="n"/>
      <c r="AO107" s="62" t="n"/>
      <c r="AP107" s="62" t="n"/>
      <c r="AQ107" s="62" t="n"/>
      <c r="AR107" s="62" t="n"/>
      <c r="AS107" s="62" t="n"/>
      <c r="AT107" s="62" t="n"/>
      <c r="AU107" s="62" t="n"/>
      <c r="AV107" s="62" t="n"/>
      <c r="AW107" s="62" t="n"/>
      <c r="AX107" s="62" t="n"/>
      <c r="AY107" s="62" t="n"/>
    </row>
    <row r="108">
      <c r="A108" s="38">
        <f>IF(D108="","",COUNTA($D$102:D108))</f>
        <v/>
      </c>
      <c r="B108" s="52" t="n"/>
      <c r="C108" s="71" t="inlineStr">
        <is>
          <t>마케팅4팀</t>
        </is>
      </c>
      <c r="D108" s="52" t="n"/>
      <c r="E108" s="54" t="n"/>
      <c r="F108" s="52" t="n"/>
      <c r="G108" s="55" t="n"/>
      <c r="H108" s="54" t="n"/>
      <c r="I108" s="54" t="n"/>
      <c r="J108" s="54" t="n"/>
      <c r="K108" s="56">
        <f>IF(SUM(U108:AY108)=0,"",SUM(U108:AY108))</f>
        <v/>
      </c>
      <c r="L108" s="57">
        <f>IFERROR(INDEX(U$2:AY$2,MATCH(TRUE,U108:AY108&lt;&gt;"",0)),"")</f>
        <v/>
      </c>
      <c r="M108" s="58">
        <f>IFERROR(LOOKUP(2,1/(U108:AY108&lt;&gt;""),U$2:AY$2),"")</f>
        <v/>
      </c>
      <c r="N108" s="59">
        <f>IF(OR(G108="",M108=""),"",G108-M108)</f>
        <v/>
      </c>
      <c r="O108" s="60" t="n"/>
      <c r="P108" s="61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  <c r="AG108" s="62" t="n"/>
      <c r="AH108" s="62" t="n"/>
      <c r="AI108" s="62" t="n"/>
      <c r="AJ108" s="62" t="n"/>
      <c r="AK108" s="62" t="n"/>
      <c r="AL108" s="62" t="n"/>
      <c r="AM108" s="62" t="n"/>
      <c r="AN108" s="62" t="n"/>
      <c r="AO108" s="62" t="n"/>
      <c r="AP108" s="62" t="n"/>
      <c r="AQ108" s="62" t="n"/>
      <c r="AR108" s="62" t="n"/>
      <c r="AS108" s="62" t="n"/>
      <c r="AT108" s="62" t="n"/>
      <c r="AU108" s="62" t="n"/>
      <c r="AV108" s="62" t="n"/>
      <c r="AW108" s="62" t="n"/>
      <c r="AX108" s="62" t="n"/>
      <c r="AY108" s="62" t="n"/>
    </row>
    <row r="109">
      <c r="A109" s="38">
        <f>IF(D109="","",COUNTA($D$102:D109))</f>
        <v/>
      </c>
      <c r="B109" s="52" t="n"/>
      <c r="C109" s="71" t="inlineStr">
        <is>
          <t>마케팅4팀</t>
        </is>
      </c>
      <c r="D109" s="52" t="n"/>
      <c r="E109" s="54" t="n"/>
      <c r="F109" s="52" t="n"/>
      <c r="G109" s="55" t="n"/>
      <c r="H109" s="54" t="n"/>
      <c r="I109" s="54" t="n"/>
      <c r="J109" s="54" t="n"/>
      <c r="K109" s="56">
        <f>IF(SUM(U109:AY109)=0,"",SUM(U109:AY109))</f>
        <v/>
      </c>
      <c r="L109" s="57">
        <f>IFERROR(INDEX(U$2:AY$2,MATCH(TRUE,U109:AY109&lt;&gt;"",0)),"")</f>
        <v/>
      </c>
      <c r="M109" s="58">
        <f>IFERROR(LOOKUP(2,1/(U109:AY109&lt;&gt;""),U$2:AY$2),"")</f>
        <v/>
      </c>
      <c r="N109" s="59">
        <f>IF(OR(G109="",M109=""),"",G109-M109)</f>
        <v/>
      </c>
      <c r="O109" s="60" t="n"/>
      <c r="P109" s="61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  <c r="AG109" s="62" t="n"/>
      <c r="AH109" s="62" t="n"/>
      <c r="AI109" s="62" t="n"/>
      <c r="AJ109" s="62" t="n"/>
      <c r="AK109" s="62" t="n"/>
      <c r="AL109" s="62" t="n"/>
      <c r="AM109" s="62" t="n"/>
      <c r="AN109" s="62" t="n"/>
      <c r="AO109" s="62" t="n"/>
      <c r="AP109" s="62" t="n"/>
      <c r="AQ109" s="62" t="n"/>
      <c r="AR109" s="62" t="n"/>
      <c r="AS109" s="62" t="n"/>
      <c r="AT109" s="62" t="n"/>
      <c r="AU109" s="62" t="n"/>
      <c r="AV109" s="62" t="n"/>
      <c r="AW109" s="62" t="n"/>
      <c r="AX109" s="62" t="n"/>
      <c r="AY109" s="62" t="n"/>
    </row>
    <row r="110">
      <c r="A110" s="38">
        <f>IF(D110="","",COUNTA($D$102:D110))</f>
        <v/>
      </c>
      <c r="B110" s="52" t="n"/>
      <c r="C110" s="71" t="inlineStr">
        <is>
          <t>마케팅4팀</t>
        </is>
      </c>
      <c r="D110" s="52" t="n"/>
      <c r="E110" s="54" t="n"/>
      <c r="F110" s="52" t="n"/>
      <c r="G110" s="55" t="n"/>
      <c r="H110" s="54" t="n"/>
      <c r="I110" s="54" t="n"/>
      <c r="J110" s="54" t="n"/>
      <c r="K110" s="56">
        <f>IF(SUM(U110:AY110)=0,"",SUM(U110:AY110))</f>
        <v/>
      </c>
      <c r="L110" s="57">
        <f>IFERROR(INDEX(U$2:AY$2,MATCH(TRUE,U110:AY110&lt;&gt;"",0)),"")</f>
        <v/>
      </c>
      <c r="M110" s="58">
        <f>IFERROR(LOOKUP(2,1/(U110:AY110&lt;&gt;""),U$2:AY$2),"")</f>
        <v/>
      </c>
      <c r="N110" s="59">
        <f>IF(OR(G110="",M110=""),"",G110-M110)</f>
        <v/>
      </c>
      <c r="O110" s="60" t="n"/>
      <c r="P110" s="61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  <c r="AG110" s="62" t="n"/>
      <c r="AH110" s="62" t="n"/>
      <c r="AI110" s="62" t="n"/>
      <c r="AJ110" s="62" t="n"/>
      <c r="AK110" s="62" t="n"/>
      <c r="AL110" s="62" t="n"/>
      <c r="AM110" s="62" t="n"/>
      <c r="AN110" s="62" t="n"/>
      <c r="AO110" s="62" t="n"/>
      <c r="AP110" s="62" t="n"/>
      <c r="AQ110" s="62" t="n"/>
      <c r="AR110" s="62" t="n"/>
      <c r="AS110" s="62" t="n"/>
      <c r="AT110" s="62" t="n"/>
      <c r="AU110" s="62" t="n"/>
      <c r="AV110" s="62" t="n"/>
      <c r="AW110" s="62" t="n"/>
      <c r="AX110" s="62" t="n"/>
      <c r="AY110" s="62" t="n"/>
    </row>
    <row r="111">
      <c r="A111" s="38">
        <f>IF(D111="","",COUNTA($D$102:D111))</f>
        <v/>
      </c>
      <c r="B111" s="52" t="n"/>
      <c r="C111" s="71" t="inlineStr">
        <is>
          <t>마케팅4팀</t>
        </is>
      </c>
      <c r="D111" s="52" t="n"/>
      <c r="E111" s="54" t="n"/>
      <c r="F111" s="52" t="n"/>
      <c r="G111" s="55" t="n"/>
      <c r="H111" s="54" t="n"/>
      <c r="I111" s="54" t="n"/>
      <c r="J111" s="54" t="n"/>
      <c r="K111" s="56">
        <f>IF(SUM(U111:AY111)=0,"",SUM(U111:AY111))</f>
        <v/>
      </c>
      <c r="L111" s="57">
        <f>IFERROR(INDEX(U$2:AY$2,MATCH(TRUE,U111:AY111&lt;&gt;"",0)),"")</f>
        <v/>
      </c>
      <c r="M111" s="58">
        <f>IFERROR(LOOKUP(2,1/(U111:AY111&lt;&gt;""),U$2:AY$2),"")</f>
        <v/>
      </c>
      <c r="N111" s="59">
        <f>IF(OR(G111="",M111=""),"",G111-M111)</f>
        <v/>
      </c>
      <c r="O111" s="60" t="n"/>
      <c r="P111" s="61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  <c r="AG111" s="62" t="n"/>
      <c r="AH111" s="62" t="n"/>
      <c r="AI111" s="62" t="n"/>
      <c r="AJ111" s="62" t="n"/>
      <c r="AK111" s="62" t="n"/>
      <c r="AL111" s="62" t="n"/>
      <c r="AM111" s="62" t="n"/>
      <c r="AN111" s="62" t="n"/>
      <c r="AO111" s="62" t="n"/>
      <c r="AP111" s="62" t="n"/>
      <c r="AQ111" s="62" t="n"/>
      <c r="AR111" s="62" t="n"/>
      <c r="AS111" s="62" t="n"/>
      <c r="AT111" s="62" t="n"/>
      <c r="AU111" s="62" t="n"/>
      <c r="AV111" s="62" t="n"/>
      <c r="AW111" s="62" t="n"/>
      <c r="AX111" s="62" t="n"/>
      <c r="AY111" s="62" t="n"/>
    </row>
    <row r="112">
      <c r="A112" s="38">
        <f>IF(D112="","",COUNTA($D$102:D112))</f>
        <v/>
      </c>
      <c r="B112" s="52" t="n"/>
      <c r="C112" s="71" t="inlineStr">
        <is>
          <t>마케팅4팀</t>
        </is>
      </c>
      <c r="D112" s="52" t="n"/>
      <c r="E112" s="54" t="n"/>
      <c r="F112" s="52" t="n"/>
      <c r="G112" s="55" t="n"/>
      <c r="H112" s="54" t="n"/>
      <c r="I112" s="54" t="n"/>
      <c r="J112" s="54" t="n"/>
      <c r="K112" s="56">
        <f>IF(SUM(U112:AY112)=0,"",SUM(U112:AY112))</f>
        <v/>
      </c>
      <c r="L112" s="57">
        <f>IFERROR(INDEX(U$2:AY$2,MATCH(TRUE,U112:AY112&lt;&gt;"",0)),"")</f>
        <v/>
      </c>
      <c r="M112" s="58">
        <f>IFERROR(LOOKUP(2,1/(U112:AY112&lt;&gt;""),U$2:AY$2),"")</f>
        <v/>
      </c>
      <c r="N112" s="59">
        <f>IF(OR(G112="",M112=""),"",G112-M112)</f>
        <v/>
      </c>
      <c r="O112" s="60" t="n"/>
      <c r="P112" s="61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  <c r="AG112" s="62" t="n"/>
      <c r="AH112" s="62" t="n"/>
      <c r="AI112" s="62" t="n"/>
      <c r="AJ112" s="62" t="n"/>
      <c r="AK112" s="62" t="n"/>
      <c r="AL112" s="62" t="n"/>
      <c r="AM112" s="62" t="n"/>
      <c r="AN112" s="62" t="n"/>
      <c r="AO112" s="62" t="n"/>
      <c r="AP112" s="62" t="n"/>
      <c r="AQ112" s="62" t="n"/>
      <c r="AR112" s="62" t="n"/>
      <c r="AS112" s="62" t="n"/>
      <c r="AT112" s="62" t="n"/>
      <c r="AU112" s="62" t="n"/>
      <c r="AV112" s="62" t="n"/>
      <c r="AW112" s="62" t="n"/>
      <c r="AX112" s="62" t="n"/>
      <c r="AY112" s="62" t="n"/>
    </row>
    <row r="113">
      <c r="A113" s="38">
        <f>IF(D113="","",COUNTA($D$102:D113))</f>
        <v/>
      </c>
      <c r="B113" s="52" t="n"/>
      <c r="C113" s="71" t="inlineStr">
        <is>
          <t>마케팅4팀</t>
        </is>
      </c>
      <c r="D113" s="52" t="n"/>
      <c r="E113" s="54" t="n"/>
      <c r="F113" s="52" t="n"/>
      <c r="G113" s="55" t="n"/>
      <c r="H113" s="54" t="n"/>
      <c r="I113" s="54" t="n"/>
      <c r="J113" s="54" t="n"/>
      <c r="K113" s="56">
        <f>IF(SUM(U113:AY113)=0,"",SUM(U113:AY113))</f>
        <v/>
      </c>
      <c r="L113" s="57">
        <f>IFERROR(INDEX(U$2:AY$2,MATCH(TRUE,U113:AY113&lt;&gt;"",0)),"")</f>
        <v/>
      </c>
      <c r="M113" s="58">
        <f>IFERROR(LOOKUP(2,1/(U113:AY113&lt;&gt;""),U$2:AY$2),"")</f>
        <v/>
      </c>
      <c r="N113" s="59">
        <f>IF(OR(G113="",M113=""),"",G113-M113)</f>
        <v/>
      </c>
      <c r="O113" s="60" t="n"/>
      <c r="P113" s="61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  <c r="AG113" s="62" t="n"/>
      <c r="AH113" s="62" t="n"/>
      <c r="AI113" s="62" t="n"/>
      <c r="AJ113" s="62" t="n"/>
      <c r="AK113" s="62" t="n"/>
      <c r="AL113" s="62" t="n"/>
      <c r="AM113" s="62" t="n"/>
      <c r="AN113" s="62" t="n"/>
      <c r="AO113" s="62" t="n"/>
      <c r="AP113" s="62" t="n"/>
      <c r="AQ113" s="62" t="n"/>
      <c r="AR113" s="62" t="n"/>
      <c r="AS113" s="62" t="n"/>
      <c r="AT113" s="62" t="n"/>
      <c r="AU113" s="62" t="n"/>
      <c r="AV113" s="62" t="n"/>
      <c r="AW113" s="62" t="n"/>
      <c r="AX113" s="62" t="n"/>
      <c r="AY113" s="62" t="n"/>
    </row>
    <row r="114">
      <c r="A114" s="38">
        <f>IF(D114="","",COUNTA($D$102:D114))</f>
        <v/>
      </c>
      <c r="B114" s="52" t="n"/>
      <c r="C114" s="71" t="inlineStr">
        <is>
          <t>마케팅4팀</t>
        </is>
      </c>
      <c r="D114" s="52" t="n"/>
      <c r="E114" s="54" t="n"/>
      <c r="F114" s="52" t="n"/>
      <c r="G114" s="55" t="n"/>
      <c r="H114" s="54" t="n"/>
      <c r="I114" s="54" t="n"/>
      <c r="J114" s="54" t="n"/>
      <c r="K114" s="56">
        <f>IF(SUM(U114:AY114)=0,"",SUM(U114:AY114))</f>
        <v/>
      </c>
      <c r="L114" s="57">
        <f>IFERROR(INDEX(U$2:AY$2,MATCH(TRUE,U114:AY114&lt;&gt;"",0)),"")</f>
        <v/>
      </c>
      <c r="M114" s="58">
        <f>IFERROR(LOOKUP(2,1/(U114:AY114&lt;&gt;""),U$2:AY$2),"")</f>
        <v/>
      </c>
      <c r="N114" s="59">
        <f>IF(OR(G114="",M114=""),"",G114-M114)</f>
        <v/>
      </c>
      <c r="O114" s="60" t="n"/>
      <c r="P114" s="61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  <c r="AG114" s="62" t="n"/>
      <c r="AH114" s="62" t="n"/>
      <c r="AI114" s="62" t="n"/>
      <c r="AJ114" s="62" t="n"/>
      <c r="AK114" s="62" t="n"/>
      <c r="AL114" s="62" t="n"/>
      <c r="AM114" s="62" t="n"/>
      <c r="AN114" s="62" t="n"/>
      <c r="AO114" s="62" t="n"/>
      <c r="AP114" s="62" t="n"/>
      <c r="AQ114" s="62" t="n"/>
      <c r="AR114" s="62" t="n"/>
      <c r="AS114" s="62" t="n"/>
      <c r="AT114" s="62" t="n"/>
      <c r="AU114" s="62" t="n"/>
      <c r="AV114" s="62" t="n"/>
      <c r="AW114" s="62" t="n"/>
      <c r="AX114" s="62" t="n"/>
      <c r="AY114" s="62" t="n"/>
    </row>
    <row r="115">
      <c r="A115" s="38">
        <f>IF(D115="","",COUNTA($D$102:D115))</f>
        <v/>
      </c>
      <c r="B115" s="52" t="n"/>
      <c r="C115" s="71" t="inlineStr">
        <is>
          <t>마케팅4팀</t>
        </is>
      </c>
      <c r="D115" s="52" t="n"/>
      <c r="E115" s="54" t="n"/>
      <c r="F115" s="52" t="n"/>
      <c r="G115" s="55" t="n"/>
      <c r="H115" s="54" t="n"/>
      <c r="I115" s="54" t="n"/>
      <c r="J115" s="54" t="n"/>
      <c r="K115" s="56">
        <f>IF(SUM(U115:AY115)=0,"",SUM(U115:AY115))</f>
        <v/>
      </c>
      <c r="L115" s="57">
        <f>IFERROR(INDEX(U$2:AY$2,MATCH(TRUE,U115:AY115&lt;&gt;"",0)),"")</f>
        <v/>
      </c>
      <c r="M115" s="58">
        <f>IFERROR(LOOKUP(2,1/(U115:AY115&lt;&gt;""),U$2:AY$2),"")</f>
        <v/>
      </c>
      <c r="N115" s="59">
        <f>IF(OR(G115="",M115=""),"",G115-M115)</f>
        <v/>
      </c>
      <c r="O115" s="60" t="n"/>
      <c r="P115" s="61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  <c r="AG115" s="62" t="n"/>
      <c r="AH115" s="62" t="n"/>
      <c r="AI115" s="62" t="n"/>
      <c r="AJ115" s="62" t="n"/>
      <c r="AK115" s="62" t="n"/>
      <c r="AL115" s="62" t="n"/>
      <c r="AM115" s="62" t="n"/>
      <c r="AN115" s="62" t="n"/>
      <c r="AO115" s="62" t="n"/>
      <c r="AP115" s="62" t="n"/>
      <c r="AQ115" s="62" t="n"/>
      <c r="AR115" s="62" t="n"/>
      <c r="AS115" s="62" t="n"/>
      <c r="AT115" s="62" t="n"/>
      <c r="AU115" s="62" t="n"/>
      <c r="AV115" s="62" t="n"/>
      <c r="AW115" s="62" t="n"/>
      <c r="AX115" s="62" t="n"/>
      <c r="AY115" s="62" t="n"/>
    </row>
    <row r="116">
      <c r="A116" s="38">
        <f>IF(D116="","",COUNTA($D$102:D116))</f>
        <v/>
      </c>
      <c r="B116" s="52" t="n"/>
      <c r="C116" s="71" t="inlineStr">
        <is>
          <t>마케팅4팀</t>
        </is>
      </c>
      <c r="D116" s="52" t="n"/>
      <c r="E116" s="54" t="n"/>
      <c r="F116" s="52" t="n"/>
      <c r="G116" s="55" t="n"/>
      <c r="H116" s="54" t="n"/>
      <c r="I116" s="54" t="n"/>
      <c r="J116" s="54" t="n"/>
      <c r="K116" s="56">
        <f>IF(SUM(U116:AY116)=0,"",SUM(U116:AY116))</f>
        <v/>
      </c>
      <c r="L116" s="57">
        <f>IFERROR(INDEX(U$2:AY$2,MATCH(TRUE,U116:AY116&lt;&gt;"",0)),"")</f>
        <v/>
      </c>
      <c r="M116" s="58">
        <f>IFERROR(LOOKUP(2,1/(U116:AY116&lt;&gt;""),U$2:AY$2),"")</f>
        <v/>
      </c>
      <c r="N116" s="59">
        <f>IF(OR(G116="",M116=""),"",G116-M116)</f>
        <v/>
      </c>
      <c r="O116" s="60" t="n"/>
      <c r="P116" s="61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  <c r="AG116" s="62" t="n"/>
      <c r="AH116" s="62" t="n"/>
      <c r="AI116" s="62" t="n"/>
      <c r="AJ116" s="62" t="n"/>
      <c r="AK116" s="62" t="n"/>
      <c r="AL116" s="62" t="n"/>
      <c r="AM116" s="62" t="n"/>
      <c r="AN116" s="62" t="n"/>
      <c r="AO116" s="62" t="n"/>
      <c r="AP116" s="62" t="n"/>
      <c r="AQ116" s="62" t="n"/>
      <c r="AR116" s="62" t="n"/>
      <c r="AS116" s="62" t="n"/>
      <c r="AT116" s="62" t="n"/>
      <c r="AU116" s="62" t="n"/>
      <c r="AV116" s="62" t="n"/>
      <c r="AW116" s="62" t="n"/>
      <c r="AX116" s="62" t="n"/>
      <c r="AY116" s="62" t="n"/>
    </row>
    <row r="117">
      <c r="A117" s="38">
        <f>IF(D117="","",COUNTA($D$102:D117))</f>
        <v/>
      </c>
      <c r="B117" s="52" t="n"/>
      <c r="C117" s="71" t="inlineStr">
        <is>
          <t>마케팅4팀</t>
        </is>
      </c>
      <c r="D117" s="52" t="n"/>
      <c r="E117" s="54" t="n"/>
      <c r="F117" s="52" t="n"/>
      <c r="G117" s="55" t="n"/>
      <c r="H117" s="54" t="n"/>
      <c r="I117" s="54" t="n"/>
      <c r="J117" s="54" t="n"/>
      <c r="K117" s="56">
        <f>IF(SUM(U117:AY117)=0,"",SUM(U117:AY117))</f>
        <v/>
      </c>
      <c r="L117" s="57">
        <f>IFERROR(INDEX(U$2:AY$2,MATCH(TRUE,U117:AY117&lt;&gt;"",0)),"")</f>
        <v/>
      </c>
      <c r="M117" s="58">
        <f>IFERROR(LOOKUP(2,1/(U117:AY117&lt;&gt;""),U$2:AY$2),"")</f>
        <v/>
      </c>
      <c r="N117" s="59">
        <f>IF(OR(G117="",M117=""),"",G117-M117)</f>
        <v/>
      </c>
      <c r="O117" s="60" t="n"/>
      <c r="P117" s="61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  <c r="AG117" s="62" t="n"/>
      <c r="AH117" s="62" t="n"/>
      <c r="AI117" s="62" t="n"/>
      <c r="AJ117" s="62" t="n"/>
      <c r="AK117" s="62" t="n"/>
      <c r="AL117" s="62" t="n"/>
      <c r="AM117" s="62" t="n"/>
      <c r="AN117" s="62" t="n"/>
      <c r="AO117" s="62" t="n"/>
      <c r="AP117" s="62" t="n"/>
      <c r="AQ117" s="62" t="n"/>
      <c r="AR117" s="62" t="n"/>
      <c r="AS117" s="62" t="n"/>
      <c r="AT117" s="62" t="n"/>
      <c r="AU117" s="62" t="n"/>
      <c r="AV117" s="62" t="n"/>
      <c r="AW117" s="62" t="n"/>
      <c r="AX117" s="62" t="n"/>
      <c r="AY117" s="62" t="n"/>
    </row>
    <row r="118">
      <c r="A118" s="38">
        <f>IF(D118="","",COUNTA($D$102:D118))</f>
        <v/>
      </c>
      <c r="B118" s="52" t="n"/>
      <c r="C118" s="71" t="inlineStr">
        <is>
          <t>마케팅4팀</t>
        </is>
      </c>
      <c r="D118" s="52" t="n"/>
      <c r="E118" s="54" t="n"/>
      <c r="F118" s="52" t="n"/>
      <c r="G118" s="55" t="n"/>
      <c r="H118" s="54" t="n"/>
      <c r="I118" s="54" t="n"/>
      <c r="J118" s="54" t="n"/>
      <c r="K118" s="56">
        <f>IF(SUM(U118:AY118)=0,"",SUM(U118:AY118))</f>
        <v/>
      </c>
      <c r="L118" s="57">
        <f>IFERROR(INDEX(U$2:AY$2,MATCH(TRUE,U118:AY118&lt;&gt;"",0)),"")</f>
        <v/>
      </c>
      <c r="M118" s="58">
        <f>IFERROR(LOOKUP(2,1/(U118:AY118&lt;&gt;""),U$2:AY$2),"")</f>
        <v/>
      </c>
      <c r="N118" s="59">
        <f>IF(OR(G118="",M118=""),"",G118-M118)</f>
        <v/>
      </c>
      <c r="O118" s="60" t="n"/>
      <c r="P118" s="61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  <c r="AG118" s="62" t="n"/>
      <c r="AH118" s="62" t="n"/>
      <c r="AI118" s="62" t="n"/>
      <c r="AJ118" s="62" t="n"/>
      <c r="AK118" s="62" t="n"/>
      <c r="AL118" s="62" t="n"/>
      <c r="AM118" s="62" t="n"/>
      <c r="AN118" s="62" t="n"/>
      <c r="AO118" s="62" t="n"/>
      <c r="AP118" s="62" t="n"/>
      <c r="AQ118" s="62" t="n"/>
      <c r="AR118" s="62" t="n"/>
      <c r="AS118" s="62" t="n"/>
      <c r="AT118" s="62" t="n"/>
      <c r="AU118" s="62" t="n"/>
      <c r="AV118" s="62" t="n"/>
      <c r="AW118" s="62" t="n"/>
      <c r="AX118" s="62" t="n"/>
      <c r="AY118" s="62" t="n"/>
    </row>
    <row r="119">
      <c r="A119" s="38">
        <f>IF(D119="","",COUNTA($D$102:D119))</f>
        <v/>
      </c>
      <c r="B119" s="52" t="n"/>
      <c r="C119" s="71" t="inlineStr">
        <is>
          <t>마케팅4팀</t>
        </is>
      </c>
      <c r="D119" s="52" t="n"/>
      <c r="E119" s="54" t="n"/>
      <c r="F119" s="52" t="n"/>
      <c r="G119" s="55" t="n"/>
      <c r="H119" s="54" t="n"/>
      <c r="I119" s="54" t="n"/>
      <c r="J119" s="54" t="n"/>
      <c r="K119" s="56">
        <f>IF(SUM(U119:AY119)=0,"",SUM(U119:AY119))</f>
        <v/>
      </c>
      <c r="L119" s="57">
        <f>IFERROR(INDEX(U$2:AY$2,MATCH(TRUE,U119:AY119&lt;&gt;"",0)),"")</f>
        <v/>
      </c>
      <c r="M119" s="58">
        <f>IFERROR(LOOKUP(2,1/(U119:AY119&lt;&gt;""),U$2:AY$2),"")</f>
        <v/>
      </c>
      <c r="N119" s="59">
        <f>IF(OR(G119="",M119=""),"",G119-M119)</f>
        <v/>
      </c>
      <c r="O119" s="60" t="n"/>
      <c r="P119" s="61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  <c r="AG119" s="62" t="n"/>
      <c r="AH119" s="62" t="n"/>
      <c r="AI119" s="62" t="n"/>
      <c r="AJ119" s="62" t="n"/>
      <c r="AK119" s="62" t="n"/>
      <c r="AL119" s="62" t="n"/>
      <c r="AM119" s="62" t="n"/>
      <c r="AN119" s="62" t="n"/>
      <c r="AO119" s="62" t="n"/>
      <c r="AP119" s="62" t="n"/>
      <c r="AQ119" s="62" t="n"/>
      <c r="AR119" s="62" t="n"/>
      <c r="AS119" s="62" t="n"/>
      <c r="AT119" s="62" t="n"/>
      <c r="AU119" s="62" t="n"/>
      <c r="AV119" s="62" t="n"/>
      <c r="AW119" s="62" t="n"/>
      <c r="AX119" s="62" t="n"/>
      <c r="AY119" s="62" t="n"/>
    </row>
    <row r="120">
      <c r="A120" s="38">
        <f>IF(D120="","",COUNTA($D$102:D120))</f>
        <v/>
      </c>
      <c r="B120" s="52" t="n"/>
      <c r="C120" s="71" t="inlineStr">
        <is>
          <t>마케팅4팀</t>
        </is>
      </c>
      <c r="D120" s="52" t="n"/>
      <c r="E120" s="54" t="n"/>
      <c r="F120" s="52" t="n"/>
      <c r="G120" s="55" t="n"/>
      <c r="H120" s="54" t="n"/>
      <c r="I120" s="54" t="n"/>
      <c r="J120" s="54" t="n"/>
      <c r="K120" s="56">
        <f>IF(SUM(U120:AY120)=0,"",SUM(U120:AY120))</f>
        <v/>
      </c>
      <c r="L120" s="57">
        <f>IFERROR(INDEX(U$2:AY$2,MATCH(TRUE,U120:AY120&lt;&gt;"",0)),"")</f>
        <v/>
      </c>
      <c r="M120" s="58">
        <f>IFERROR(LOOKUP(2,1/(U120:AY120&lt;&gt;""),U$2:AY$2),"")</f>
        <v/>
      </c>
      <c r="N120" s="59">
        <f>IF(OR(G120="",M120=""),"",G120-M120)</f>
        <v/>
      </c>
      <c r="O120" s="60" t="n"/>
      <c r="P120" s="61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  <c r="AG120" s="62" t="n"/>
      <c r="AH120" s="62" t="n"/>
      <c r="AI120" s="62" t="n"/>
      <c r="AJ120" s="62" t="n"/>
      <c r="AK120" s="62" t="n"/>
      <c r="AL120" s="62" t="n"/>
      <c r="AM120" s="62" t="n"/>
      <c r="AN120" s="62" t="n"/>
      <c r="AO120" s="62" t="n"/>
      <c r="AP120" s="62" t="n"/>
      <c r="AQ120" s="62" t="n"/>
      <c r="AR120" s="62" t="n"/>
      <c r="AS120" s="62" t="n"/>
      <c r="AT120" s="62" t="n"/>
      <c r="AU120" s="62" t="n"/>
      <c r="AV120" s="62" t="n"/>
      <c r="AW120" s="62" t="n"/>
      <c r="AX120" s="62" t="n"/>
      <c r="AY120" s="62" t="n"/>
    </row>
    <row r="121">
      <c r="A121" s="38">
        <f>IF(D121="","",COUNTA($D$102:D121))</f>
        <v/>
      </c>
      <c r="B121" s="52" t="n"/>
      <c r="C121" s="71" t="inlineStr">
        <is>
          <t>마케팅4팀</t>
        </is>
      </c>
      <c r="D121" s="52" t="n"/>
      <c r="E121" s="54" t="n"/>
      <c r="F121" s="52" t="n"/>
      <c r="G121" s="55" t="n"/>
      <c r="H121" s="54" t="n"/>
      <c r="I121" s="54" t="n"/>
      <c r="J121" s="54" t="n"/>
      <c r="K121" s="56">
        <f>IF(SUM(U121:AY121)=0,"",SUM(U121:AY121))</f>
        <v/>
      </c>
      <c r="L121" s="57">
        <f>IFERROR(INDEX(U$2:AY$2,MATCH(TRUE,U121:AY121&lt;&gt;"",0)),"")</f>
        <v/>
      </c>
      <c r="M121" s="58">
        <f>IFERROR(LOOKUP(2,1/(U121:AY121&lt;&gt;""),U$2:AY$2),"")</f>
        <v/>
      </c>
      <c r="N121" s="59">
        <f>IF(OR(G121="",M121=""),"",G121-M121)</f>
        <v/>
      </c>
      <c r="O121" s="60" t="n"/>
      <c r="P121" s="61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  <c r="AG121" s="62" t="n"/>
      <c r="AH121" s="62" t="n"/>
      <c r="AI121" s="62" t="n"/>
      <c r="AJ121" s="62" t="n"/>
      <c r="AK121" s="62" t="n"/>
      <c r="AL121" s="62" t="n"/>
      <c r="AM121" s="62" t="n"/>
      <c r="AN121" s="62" t="n"/>
      <c r="AO121" s="62" t="n"/>
      <c r="AP121" s="62" t="n"/>
      <c r="AQ121" s="62" t="n"/>
      <c r="AR121" s="62" t="n"/>
      <c r="AS121" s="62" t="n"/>
      <c r="AT121" s="62" t="n"/>
      <c r="AU121" s="62" t="n"/>
      <c r="AV121" s="62" t="n"/>
      <c r="AW121" s="62" t="n"/>
      <c r="AX121" s="62" t="n"/>
      <c r="AY121" s="62" t="n"/>
    </row>
    <row r="122">
      <c r="A122" s="38">
        <f>IF(D122="","",COUNTA($D$102:D122))</f>
        <v/>
      </c>
      <c r="B122" s="52" t="n"/>
      <c r="C122" s="71" t="inlineStr">
        <is>
          <t>마케팅4팀</t>
        </is>
      </c>
      <c r="D122" s="52" t="n"/>
      <c r="E122" s="54" t="n"/>
      <c r="F122" s="52" t="n"/>
      <c r="G122" s="55" t="n"/>
      <c r="H122" s="54" t="n"/>
      <c r="I122" s="54" t="n"/>
      <c r="J122" s="54" t="n"/>
      <c r="K122" s="56">
        <f>IF(SUM(U122:AY122)=0,"",SUM(U122:AY122))</f>
        <v/>
      </c>
      <c r="L122" s="57">
        <f>IFERROR(INDEX(U$2:AY$2,MATCH(TRUE,U122:AY122&lt;&gt;"",0)),"")</f>
        <v/>
      </c>
      <c r="M122" s="58">
        <f>IFERROR(LOOKUP(2,1/(U122:AY122&lt;&gt;""),U$2:AY$2),"")</f>
        <v/>
      </c>
      <c r="N122" s="59">
        <f>IF(OR(G122="",M122=""),"",G122-M122)</f>
        <v/>
      </c>
      <c r="O122" s="60" t="n"/>
      <c r="P122" s="61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  <c r="AG122" s="62" t="n"/>
      <c r="AH122" s="62" t="n"/>
      <c r="AI122" s="62" t="n"/>
      <c r="AJ122" s="62" t="n"/>
      <c r="AK122" s="62" t="n"/>
      <c r="AL122" s="62" t="n"/>
      <c r="AM122" s="62" t="n"/>
      <c r="AN122" s="62" t="n"/>
      <c r="AO122" s="62" t="n"/>
      <c r="AP122" s="62" t="n"/>
      <c r="AQ122" s="62" t="n"/>
      <c r="AR122" s="62" t="n"/>
      <c r="AS122" s="62" t="n"/>
      <c r="AT122" s="62" t="n"/>
      <c r="AU122" s="62" t="n"/>
      <c r="AV122" s="62" t="n"/>
      <c r="AW122" s="62" t="n"/>
      <c r="AX122" s="62" t="n"/>
      <c r="AY122" s="62" t="n"/>
    </row>
    <row r="123">
      <c r="A123" s="38">
        <f>IF(D123="","",COUNTA($D$102:D123))</f>
        <v/>
      </c>
      <c r="B123" s="52" t="n"/>
      <c r="C123" s="71" t="inlineStr">
        <is>
          <t>마케팅4팀</t>
        </is>
      </c>
      <c r="D123" s="52" t="n"/>
      <c r="E123" s="54" t="n"/>
      <c r="F123" s="52" t="n"/>
      <c r="G123" s="55" t="n"/>
      <c r="H123" s="54" t="n"/>
      <c r="I123" s="54" t="n"/>
      <c r="J123" s="54" t="n"/>
      <c r="K123" s="56">
        <f>IF(SUM(U123:AY123)=0,"",SUM(U123:AY123))</f>
        <v/>
      </c>
      <c r="L123" s="57">
        <f>IFERROR(INDEX(U$2:AY$2,MATCH(TRUE,U123:AY123&lt;&gt;"",0)),"")</f>
        <v/>
      </c>
      <c r="M123" s="58">
        <f>IFERROR(LOOKUP(2,1/(U123:AY123&lt;&gt;""),U$2:AY$2),"")</f>
        <v/>
      </c>
      <c r="N123" s="59">
        <f>IF(OR(G123="",M123=""),"",G123-M123)</f>
        <v/>
      </c>
      <c r="O123" s="60" t="n"/>
      <c r="P123" s="61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  <c r="AG123" s="62" t="n"/>
      <c r="AH123" s="62" t="n"/>
      <c r="AI123" s="62" t="n"/>
      <c r="AJ123" s="62" t="n"/>
      <c r="AK123" s="62" t="n"/>
      <c r="AL123" s="62" t="n"/>
      <c r="AM123" s="62" t="n"/>
      <c r="AN123" s="62" t="n"/>
      <c r="AO123" s="62" t="n"/>
      <c r="AP123" s="62" t="n"/>
      <c r="AQ123" s="62" t="n"/>
      <c r="AR123" s="62" t="n"/>
      <c r="AS123" s="62" t="n"/>
      <c r="AT123" s="62" t="n"/>
      <c r="AU123" s="62" t="n"/>
      <c r="AV123" s="62" t="n"/>
      <c r="AW123" s="62" t="n"/>
      <c r="AX123" s="62" t="n"/>
      <c r="AY123" s="62" t="n"/>
    </row>
    <row r="124">
      <c r="A124" s="38">
        <f>IF(D124="","",COUNTA($D$102:D124))</f>
        <v/>
      </c>
      <c r="B124" s="52" t="n"/>
      <c r="C124" s="71" t="inlineStr">
        <is>
          <t>마케팅4팀</t>
        </is>
      </c>
      <c r="D124" s="52" t="n"/>
      <c r="E124" s="54" t="n"/>
      <c r="F124" s="52" t="n"/>
      <c r="G124" s="55" t="n"/>
      <c r="H124" s="54" t="n"/>
      <c r="I124" s="54" t="n"/>
      <c r="J124" s="54" t="n"/>
      <c r="K124" s="56">
        <f>IF(SUM(U124:AY124)=0,"",SUM(U124:AY124))</f>
        <v/>
      </c>
      <c r="L124" s="57">
        <f>IFERROR(INDEX(U$2:AY$2,MATCH(TRUE,U124:AY124&lt;&gt;"",0)),"")</f>
        <v/>
      </c>
      <c r="M124" s="58">
        <f>IFERROR(LOOKUP(2,1/(U124:AY124&lt;&gt;""),U$2:AY$2),"")</f>
        <v/>
      </c>
      <c r="N124" s="59">
        <f>IF(OR(G124="",M124=""),"",G124-M124)</f>
        <v/>
      </c>
      <c r="O124" s="60" t="n"/>
      <c r="P124" s="61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  <c r="AG124" s="62" t="n"/>
      <c r="AH124" s="62" t="n"/>
      <c r="AI124" s="62" t="n"/>
      <c r="AJ124" s="62" t="n"/>
      <c r="AK124" s="62" t="n"/>
      <c r="AL124" s="62" t="n"/>
      <c r="AM124" s="62" t="n"/>
      <c r="AN124" s="62" t="n"/>
      <c r="AO124" s="62" t="n"/>
      <c r="AP124" s="62" t="n"/>
      <c r="AQ124" s="62" t="n"/>
      <c r="AR124" s="62" t="n"/>
      <c r="AS124" s="62" t="n"/>
      <c r="AT124" s="62" t="n"/>
      <c r="AU124" s="62" t="n"/>
      <c r="AV124" s="62" t="n"/>
      <c r="AW124" s="62" t="n"/>
      <c r="AX124" s="62" t="n"/>
      <c r="AY124" s="62" t="n"/>
    </row>
    <row r="125">
      <c r="A125" s="38">
        <f>IF(D125="","",COUNTA($D$102:D125))</f>
        <v/>
      </c>
      <c r="B125" s="52" t="n"/>
      <c r="C125" s="71" t="inlineStr">
        <is>
          <t>마케팅4팀</t>
        </is>
      </c>
      <c r="D125" s="52" t="n"/>
      <c r="E125" s="54" t="n"/>
      <c r="F125" s="52" t="n"/>
      <c r="G125" s="55" t="n"/>
      <c r="H125" s="54" t="n"/>
      <c r="I125" s="54" t="n"/>
      <c r="J125" s="54" t="n"/>
      <c r="K125" s="56">
        <f>IF(SUM(U125:AY125)=0,"",SUM(U125:AY125))</f>
        <v/>
      </c>
      <c r="L125" s="57">
        <f>IFERROR(INDEX(U$2:AY$2,MATCH(TRUE,U125:AY125&lt;&gt;"",0)),"")</f>
        <v/>
      </c>
      <c r="M125" s="58">
        <f>IFERROR(LOOKUP(2,1/(U125:AY125&lt;&gt;""),U$2:AY$2),"")</f>
        <v/>
      </c>
      <c r="N125" s="59">
        <f>IF(OR(G125="",M125=""),"",G125-M125)</f>
        <v/>
      </c>
      <c r="O125" s="60" t="n"/>
      <c r="P125" s="61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  <c r="AG125" s="62" t="n"/>
      <c r="AH125" s="62" t="n"/>
      <c r="AI125" s="62" t="n"/>
      <c r="AJ125" s="62" t="n"/>
      <c r="AK125" s="62" t="n"/>
      <c r="AL125" s="62" t="n"/>
      <c r="AM125" s="62" t="n"/>
      <c r="AN125" s="62" t="n"/>
      <c r="AO125" s="62" t="n"/>
      <c r="AP125" s="62" t="n"/>
      <c r="AQ125" s="62" t="n"/>
      <c r="AR125" s="62" t="n"/>
      <c r="AS125" s="62" t="n"/>
      <c r="AT125" s="62" t="n"/>
      <c r="AU125" s="62" t="n"/>
      <c r="AV125" s="62" t="n"/>
      <c r="AW125" s="62" t="n"/>
      <c r="AX125" s="62" t="n"/>
      <c r="AY125" s="62" t="n"/>
    </row>
    <row r="126">
      <c r="A126" s="38">
        <f>IF(D126="","",COUNTA($D$102:D126))</f>
        <v/>
      </c>
      <c r="B126" s="52" t="n"/>
      <c r="C126" s="71" t="inlineStr">
        <is>
          <t>마케팅4팀</t>
        </is>
      </c>
      <c r="D126" s="52" t="n"/>
      <c r="E126" s="54" t="n"/>
      <c r="F126" s="52" t="n"/>
      <c r="G126" s="55" t="n"/>
      <c r="H126" s="54" t="n"/>
      <c r="I126" s="54" t="n"/>
      <c r="J126" s="54" t="n"/>
      <c r="K126" s="56">
        <f>IF(SUM(U126:AY126)=0,"",SUM(U126:AY126))</f>
        <v/>
      </c>
      <c r="L126" s="57">
        <f>IFERROR(INDEX(U$2:AY$2,MATCH(TRUE,U126:AY126&lt;&gt;"",0)),"")</f>
        <v/>
      </c>
      <c r="M126" s="58">
        <f>IFERROR(LOOKUP(2,1/(U126:AY126&lt;&gt;""),U$2:AY$2),"")</f>
        <v/>
      </c>
      <c r="N126" s="59">
        <f>IF(OR(G126="",M126=""),"",G126-M126)</f>
        <v/>
      </c>
      <c r="O126" s="60" t="n"/>
      <c r="P126" s="61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  <c r="AG126" s="62" t="n"/>
      <c r="AH126" s="62" t="n"/>
      <c r="AI126" s="62" t="n"/>
      <c r="AJ126" s="62" t="n"/>
      <c r="AK126" s="62" t="n"/>
      <c r="AL126" s="62" t="n"/>
      <c r="AM126" s="62" t="n"/>
      <c r="AN126" s="62" t="n"/>
      <c r="AO126" s="62" t="n"/>
      <c r="AP126" s="62" t="n"/>
      <c r="AQ126" s="62" t="n"/>
      <c r="AR126" s="62" t="n"/>
      <c r="AS126" s="62" t="n"/>
      <c r="AT126" s="62" t="n"/>
      <c r="AU126" s="62" t="n"/>
      <c r="AV126" s="62" t="n"/>
      <c r="AW126" s="62" t="n"/>
      <c r="AX126" s="62" t="n"/>
      <c r="AY126" s="62" t="n"/>
    </row>
    <row r="127">
      <c r="A127" s="38">
        <f>IF(D127="","",COUNTA($D$102:D127))</f>
        <v/>
      </c>
      <c r="B127" s="52" t="n"/>
      <c r="C127" s="71" t="inlineStr">
        <is>
          <t>마케팅4팀</t>
        </is>
      </c>
      <c r="D127" s="52" t="n"/>
      <c r="E127" s="54" t="n"/>
      <c r="F127" s="52" t="n"/>
      <c r="G127" s="55" t="n"/>
      <c r="H127" s="54" t="n"/>
      <c r="I127" s="54" t="n"/>
      <c r="J127" s="54" t="n"/>
      <c r="K127" s="56">
        <f>IF(SUM(U127:AY127)=0,"",SUM(U127:AY127))</f>
        <v/>
      </c>
      <c r="L127" s="57">
        <f>IFERROR(INDEX(U$2:AY$2,MATCH(TRUE,U127:AY127&lt;&gt;"",0)),"")</f>
        <v/>
      </c>
      <c r="M127" s="58">
        <f>IFERROR(LOOKUP(2,1/(U127:AY127&lt;&gt;""),U$2:AY$2),"")</f>
        <v/>
      </c>
      <c r="N127" s="59">
        <f>IF(OR(G127="",M127=""),"",G127-M127)</f>
        <v/>
      </c>
      <c r="O127" s="60" t="n"/>
      <c r="P127" s="61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  <c r="AG127" s="62" t="n"/>
      <c r="AH127" s="62" t="n"/>
      <c r="AI127" s="62" t="n"/>
      <c r="AJ127" s="62" t="n"/>
      <c r="AK127" s="62" t="n"/>
      <c r="AL127" s="62" t="n"/>
      <c r="AM127" s="62" t="n"/>
      <c r="AN127" s="62" t="n"/>
      <c r="AO127" s="62" t="n"/>
      <c r="AP127" s="62" t="n"/>
      <c r="AQ127" s="62" t="n"/>
      <c r="AR127" s="62" t="n"/>
      <c r="AS127" s="62" t="n"/>
      <c r="AT127" s="62" t="n"/>
      <c r="AU127" s="62" t="n"/>
      <c r="AV127" s="62" t="n"/>
      <c r="AW127" s="62" t="n"/>
      <c r="AX127" s="62" t="n"/>
      <c r="AY127" s="62" t="n"/>
    </row>
    <row r="128">
      <c r="A128" s="38">
        <f>IF(D128="","",COUNTA($D$102:D128))</f>
        <v/>
      </c>
      <c r="B128" s="52" t="n"/>
      <c r="C128" s="71" t="inlineStr">
        <is>
          <t>마케팅4팀</t>
        </is>
      </c>
      <c r="D128" s="52" t="n"/>
      <c r="E128" s="54" t="n"/>
      <c r="F128" s="52" t="n"/>
      <c r="G128" s="55" t="n"/>
      <c r="H128" s="54" t="n"/>
      <c r="I128" s="54" t="n"/>
      <c r="J128" s="54" t="n"/>
      <c r="K128" s="56">
        <f>IF(SUM(U128:AY128)=0,"",SUM(U128:AY128))</f>
        <v/>
      </c>
      <c r="L128" s="57">
        <f>IFERROR(INDEX(U$2:AY$2,MATCH(TRUE,U128:AY128&lt;&gt;"",0)),"")</f>
        <v/>
      </c>
      <c r="M128" s="58">
        <f>IFERROR(LOOKUP(2,1/(U128:AY128&lt;&gt;""),U$2:AY$2),"")</f>
        <v/>
      </c>
      <c r="N128" s="59">
        <f>IF(OR(G128="",M128=""),"",G128-M128)</f>
        <v/>
      </c>
      <c r="O128" s="60" t="n"/>
      <c r="P128" s="61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  <c r="AG128" s="62" t="n"/>
      <c r="AH128" s="62" t="n"/>
      <c r="AI128" s="62" t="n"/>
      <c r="AJ128" s="62" t="n"/>
      <c r="AK128" s="62" t="n"/>
      <c r="AL128" s="62" t="n"/>
      <c r="AM128" s="62" t="n"/>
      <c r="AN128" s="62" t="n"/>
      <c r="AO128" s="62" t="n"/>
      <c r="AP128" s="62" t="n"/>
      <c r="AQ128" s="62" t="n"/>
      <c r="AR128" s="62" t="n"/>
      <c r="AS128" s="62" t="n"/>
      <c r="AT128" s="62" t="n"/>
      <c r="AU128" s="62" t="n"/>
      <c r="AV128" s="62" t="n"/>
      <c r="AW128" s="62" t="n"/>
      <c r="AX128" s="62" t="n"/>
      <c r="AY128" s="62" t="n"/>
    </row>
    <row r="129">
      <c r="A129" s="38">
        <f>IF(D129="","",COUNTA($D$102:D129))</f>
        <v/>
      </c>
      <c r="B129" s="52" t="n"/>
      <c r="C129" s="71" t="inlineStr">
        <is>
          <t>마케팅4팀</t>
        </is>
      </c>
      <c r="D129" s="52" t="n"/>
      <c r="E129" s="54" t="n"/>
      <c r="F129" s="52" t="n"/>
      <c r="G129" s="55" t="n"/>
      <c r="H129" s="54" t="n"/>
      <c r="I129" s="54" t="n"/>
      <c r="J129" s="54" t="n"/>
      <c r="K129" s="56">
        <f>IF(SUM(U129:AY129)=0,"",SUM(U129:AY129))</f>
        <v/>
      </c>
      <c r="L129" s="57">
        <f>IFERROR(INDEX(U$2:AY$2,MATCH(TRUE,U129:AY129&lt;&gt;"",0)),"")</f>
        <v/>
      </c>
      <c r="M129" s="58">
        <f>IFERROR(LOOKUP(2,1/(U129:AY129&lt;&gt;""),U$2:AY$2),"")</f>
        <v/>
      </c>
      <c r="N129" s="59">
        <f>IF(OR(G129="",M129=""),"",G129-M129)</f>
        <v/>
      </c>
      <c r="O129" s="60" t="n"/>
      <c r="P129" s="61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  <c r="AG129" s="62" t="n"/>
      <c r="AH129" s="62" t="n"/>
      <c r="AI129" s="62" t="n"/>
      <c r="AJ129" s="62" t="n"/>
      <c r="AK129" s="62" t="n"/>
      <c r="AL129" s="62" t="n"/>
      <c r="AM129" s="62" t="n"/>
      <c r="AN129" s="62" t="n"/>
      <c r="AO129" s="62" t="n"/>
      <c r="AP129" s="62" t="n"/>
      <c r="AQ129" s="62" t="n"/>
      <c r="AR129" s="62" t="n"/>
      <c r="AS129" s="62" t="n"/>
      <c r="AT129" s="62" t="n"/>
      <c r="AU129" s="62" t="n"/>
      <c r="AV129" s="62" t="n"/>
      <c r="AW129" s="62" t="n"/>
      <c r="AX129" s="62" t="n"/>
      <c r="AY129" s="62" t="n"/>
    </row>
    <row r="130">
      <c r="A130" s="38">
        <f>IF(D130="","",COUNTA($D$102:D130))</f>
        <v/>
      </c>
      <c r="B130" s="52" t="n"/>
      <c r="C130" s="71" t="inlineStr">
        <is>
          <t>마케팅4팀</t>
        </is>
      </c>
      <c r="D130" s="52" t="n"/>
      <c r="E130" s="54" t="n"/>
      <c r="F130" s="52" t="n"/>
      <c r="G130" s="55" t="n"/>
      <c r="H130" s="54" t="n"/>
      <c r="I130" s="54" t="n"/>
      <c r="J130" s="54" t="n"/>
      <c r="K130" s="56">
        <f>IF(SUM(U130:AY130)=0,"",SUM(U130:AY130))</f>
        <v/>
      </c>
      <c r="L130" s="57">
        <f>IFERROR(INDEX(U$2:AY$2,MATCH(TRUE,U130:AY130&lt;&gt;"",0)),"")</f>
        <v/>
      </c>
      <c r="M130" s="58">
        <f>IFERROR(LOOKUP(2,1/(U130:AY130&lt;&gt;""),U$2:AY$2),"")</f>
        <v/>
      </c>
      <c r="N130" s="59">
        <f>IF(OR(G130="",M130=""),"",G130-M130)</f>
        <v/>
      </c>
      <c r="O130" s="60" t="n"/>
      <c r="P130" s="61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  <c r="AG130" s="62" t="n"/>
      <c r="AH130" s="62" t="n"/>
      <c r="AI130" s="62" t="n"/>
      <c r="AJ130" s="62" t="n"/>
      <c r="AK130" s="62" t="n"/>
      <c r="AL130" s="62" t="n"/>
      <c r="AM130" s="62" t="n"/>
      <c r="AN130" s="62" t="n"/>
      <c r="AO130" s="62" t="n"/>
      <c r="AP130" s="62" t="n"/>
      <c r="AQ130" s="62" t="n"/>
      <c r="AR130" s="62" t="n"/>
      <c r="AS130" s="62" t="n"/>
      <c r="AT130" s="62" t="n"/>
      <c r="AU130" s="62" t="n"/>
      <c r="AV130" s="62" t="n"/>
      <c r="AW130" s="62" t="n"/>
      <c r="AX130" s="62" t="n"/>
      <c r="AY130" s="62" t="n"/>
    </row>
    <row r="131">
      <c r="A131" s="38">
        <f>IF(D131="","",COUNTA($D$102:D131))</f>
        <v/>
      </c>
      <c r="B131" s="52" t="n"/>
      <c r="C131" s="71" t="inlineStr">
        <is>
          <t>마케팅4팀</t>
        </is>
      </c>
      <c r="D131" s="52" t="n"/>
      <c r="E131" s="54" t="n"/>
      <c r="F131" s="52" t="n"/>
      <c r="G131" s="55" t="n"/>
      <c r="H131" s="54" t="n"/>
      <c r="I131" s="54" t="n"/>
      <c r="J131" s="54" t="n"/>
      <c r="K131" s="56">
        <f>IF(SUM(U131:AY131)=0,"",SUM(U131:AY131))</f>
        <v/>
      </c>
      <c r="L131" s="57">
        <f>IFERROR(INDEX(U$2:AY$2,MATCH(TRUE,U131:AY131&lt;&gt;"",0)),"")</f>
        <v/>
      </c>
      <c r="M131" s="58">
        <f>IFERROR(LOOKUP(2,1/(U131:AY131&lt;&gt;""),U$2:AY$2),"")</f>
        <v/>
      </c>
      <c r="N131" s="59">
        <f>IF(OR(G131="",M131=""),"",G131-M131)</f>
        <v/>
      </c>
      <c r="O131" s="60" t="n"/>
      <c r="P131" s="61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  <c r="AG131" s="62" t="n"/>
      <c r="AH131" s="62" t="n"/>
      <c r="AI131" s="62" t="n"/>
      <c r="AJ131" s="62" t="n"/>
      <c r="AK131" s="62" t="n"/>
      <c r="AL131" s="62" t="n"/>
      <c r="AM131" s="62" t="n"/>
      <c r="AN131" s="62" t="n"/>
      <c r="AO131" s="62" t="n"/>
      <c r="AP131" s="62" t="n"/>
      <c r="AQ131" s="62" t="n"/>
      <c r="AR131" s="62" t="n"/>
      <c r="AS131" s="62" t="n"/>
      <c r="AT131" s="62" t="n"/>
      <c r="AU131" s="62" t="n"/>
      <c r="AV131" s="62" t="n"/>
      <c r="AW131" s="62" t="n"/>
      <c r="AX131" s="62" t="n"/>
      <c r="AY131" s="62" t="n"/>
    </row>
    <row r="132">
      <c r="A132" s="72" t="inlineStr">
        <is>
          <t>기타  (133~162행)</t>
        </is>
      </c>
      <c r="U132" s="34" t="n"/>
      <c r="V132" s="34" t="n"/>
      <c r="W132" s="34" t="n"/>
      <c r="X132" s="34" t="n"/>
      <c r="Y132" s="34" t="n"/>
      <c r="Z132" s="34" t="n"/>
      <c r="AA132" s="34" t="n"/>
      <c r="AB132" s="34" t="n"/>
      <c r="AC132" s="34" t="n"/>
      <c r="AD132" s="34" t="n"/>
      <c r="AE132" s="34" t="n"/>
      <c r="AF132" s="34" t="n"/>
      <c r="AG132" s="34" t="n"/>
      <c r="AH132" s="34" t="n"/>
      <c r="AI132" s="34" t="n"/>
      <c r="AJ132" s="34" t="n"/>
      <c r="AK132" s="34" t="n"/>
      <c r="AL132" s="34" t="n"/>
      <c r="AM132" s="34" t="n"/>
      <c r="AN132" s="34" t="n"/>
      <c r="AO132" s="34" t="n"/>
      <c r="AP132" s="34" t="n"/>
      <c r="AQ132" s="34" t="n"/>
      <c r="AR132" s="34" t="n"/>
      <c r="AS132" s="34" t="n"/>
      <c r="AT132" s="34" t="n"/>
      <c r="AU132" s="34" t="n"/>
      <c r="AV132" s="34" t="n"/>
      <c r="AW132" s="34" t="n"/>
      <c r="AX132" s="34" t="n"/>
      <c r="AY132" s="34" t="n"/>
    </row>
    <row r="133">
      <c r="A133" s="38">
        <f>IF(D133="","",COUNTA($D$133:D133))</f>
        <v/>
      </c>
      <c r="B133" s="52" t="n"/>
      <c r="C133" s="73" t="inlineStr">
        <is>
          <t>기타</t>
        </is>
      </c>
      <c r="D133" s="52" t="n"/>
      <c r="E133" s="54" t="n"/>
      <c r="F133" s="52" t="n"/>
      <c r="G133" s="55" t="n"/>
      <c r="H133" s="54" t="n"/>
      <c r="I133" s="54" t="n"/>
      <c r="J133" s="54" t="n"/>
      <c r="K133" s="56">
        <f>IF(SUM(U133:AY133)=0,"",SUM(U133:AY133))</f>
        <v/>
      </c>
      <c r="L133" s="57">
        <f>IFERROR(INDEX(U$2:AY$2,MATCH(TRUE,U133:AY133&lt;&gt;"",0)),"")</f>
        <v/>
      </c>
      <c r="M133" s="58">
        <f>IFERROR(LOOKUP(2,1/(U133:AY133&lt;&gt;""),U$2:AY$2),"")</f>
        <v/>
      </c>
      <c r="N133" s="59">
        <f>IF(OR(G133="",M133=""),"",G133-M133)</f>
        <v/>
      </c>
      <c r="O133" s="60" t="n"/>
      <c r="P133" s="61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  <c r="AG133" s="62" t="n"/>
      <c r="AH133" s="62" t="n"/>
      <c r="AI133" s="62" t="n"/>
      <c r="AJ133" s="62" t="n"/>
      <c r="AK133" s="62" t="n"/>
      <c r="AL133" s="62" t="n"/>
      <c r="AM133" s="62" t="n"/>
      <c r="AN133" s="62" t="n"/>
      <c r="AO133" s="62" t="n"/>
      <c r="AP133" s="62" t="n"/>
      <c r="AQ133" s="62" t="n"/>
      <c r="AR133" s="62" t="n"/>
      <c r="AS133" s="62" t="n"/>
      <c r="AT133" s="62" t="n"/>
      <c r="AU133" s="62" t="n"/>
      <c r="AV133" s="62" t="n"/>
      <c r="AW133" s="62" t="n"/>
      <c r="AX133" s="62" t="n"/>
      <c r="AY133" s="62" t="n"/>
    </row>
    <row r="134">
      <c r="A134" s="38">
        <f>IF(D134="","",COUNTA($D$133:D134))</f>
        <v/>
      </c>
      <c r="B134" s="52" t="n"/>
      <c r="C134" s="73" t="inlineStr">
        <is>
          <t>기타</t>
        </is>
      </c>
      <c r="D134" s="52" t="n"/>
      <c r="E134" s="54" t="n"/>
      <c r="F134" s="52" t="n"/>
      <c r="G134" s="55" t="n"/>
      <c r="H134" s="54" t="n"/>
      <c r="I134" s="54" t="n"/>
      <c r="J134" s="54" t="n"/>
      <c r="K134" s="56">
        <f>IF(SUM(U134:AY134)=0,"",SUM(U134:AY134))</f>
        <v/>
      </c>
      <c r="L134" s="57">
        <f>IFERROR(INDEX(U$2:AY$2,MATCH(TRUE,U134:AY134&lt;&gt;"",0)),"")</f>
        <v/>
      </c>
      <c r="M134" s="58">
        <f>IFERROR(LOOKUP(2,1/(U134:AY134&lt;&gt;""),U$2:AY$2),"")</f>
        <v/>
      </c>
      <c r="N134" s="59">
        <f>IF(OR(G134="",M134=""),"",G134-M134)</f>
        <v/>
      </c>
      <c r="O134" s="60" t="n"/>
      <c r="P134" s="61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  <c r="AG134" s="62" t="n"/>
      <c r="AH134" s="62" t="n"/>
      <c r="AI134" s="62" t="n"/>
      <c r="AJ134" s="62" t="n"/>
      <c r="AK134" s="62" t="n"/>
      <c r="AL134" s="62" t="n"/>
      <c r="AM134" s="62" t="n"/>
      <c r="AN134" s="62" t="n"/>
      <c r="AO134" s="62" t="n"/>
      <c r="AP134" s="62" t="n"/>
      <c r="AQ134" s="62" t="n"/>
      <c r="AR134" s="62" t="n"/>
      <c r="AS134" s="62" t="n"/>
      <c r="AT134" s="62" t="n"/>
      <c r="AU134" s="62" t="n"/>
      <c r="AV134" s="62" t="n"/>
      <c r="AW134" s="62" t="n"/>
      <c r="AX134" s="62" t="n"/>
      <c r="AY134" s="62" t="n"/>
    </row>
    <row r="135">
      <c r="A135" s="38">
        <f>IF(D135="","",COUNTA($D$133:D135))</f>
        <v/>
      </c>
      <c r="B135" s="52" t="n"/>
      <c r="C135" s="73" t="inlineStr">
        <is>
          <t>기타</t>
        </is>
      </c>
      <c r="D135" s="52" t="n"/>
      <c r="E135" s="54" t="n"/>
      <c r="F135" s="52" t="n"/>
      <c r="G135" s="55" t="n"/>
      <c r="H135" s="54" t="n"/>
      <c r="I135" s="54" t="n"/>
      <c r="J135" s="54" t="n"/>
      <c r="K135" s="56">
        <f>IF(SUM(U135:AY135)=0,"",SUM(U135:AY135))</f>
        <v/>
      </c>
      <c r="L135" s="57">
        <f>IFERROR(INDEX(U$2:AY$2,MATCH(TRUE,U135:AY135&lt;&gt;"",0)),"")</f>
        <v/>
      </c>
      <c r="M135" s="58">
        <f>IFERROR(LOOKUP(2,1/(U135:AY135&lt;&gt;""),U$2:AY$2),"")</f>
        <v/>
      </c>
      <c r="N135" s="59">
        <f>IF(OR(G135="",M135=""),"",G135-M135)</f>
        <v/>
      </c>
      <c r="O135" s="60" t="n"/>
      <c r="P135" s="61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  <c r="AG135" s="62" t="n"/>
      <c r="AH135" s="62" t="n"/>
      <c r="AI135" s="62" t="n"/>
      <c r="AJ135" s="62" t="n"/>
      <c r="AK135" s="62" t="n"/>
      <c r="AL135" s="62" t="n"/>
      <c r="AM135" s="62" t="n"/>
      <c r="AN135" s="62" t="n"/>
      <c r="AO135" s="62" t="n"/>
      <c r="AP135" s="62" t="n"/>
      <c r="AQ135" s="62" t="n"/>
      <c r="AR135" s="62" t="n"/>
      <c r="AS135" s="62" t="n"/>
      <c r="AT135" s="62" t="n"/>
      <c r="AU135" s="62" t="n"/>
      <c r="AV135" s="62" t="n"/>
      <c r="AW135" s="62" t="n"/>
      <c r="AX135" s="62" t="n"/>
      <c r="AY135" s="62" t="n"/>
    </row>
    <row r="136">
      <c r="A136" s="38">
        <f>IF(D136="","",COUNTA($D$133:D136))</f>
        <v/>
      </c>
      <c r="B136" s="52" t="n"/>
      <c r="C136" s="73" t="inlineStr">
        <is>
          <t>기타</t>
        </is>
      </c>
      <c r="D136" s="52" t="n"/>
      <c r="E136" s="54" t="n"/>
      <c r="F136" s="52" t="n"/>
      <c r="G136" s="55" t="n"/>
      <c r="H136" s="54" t="n"/>
      <c r="I136" s="54" t="n"/>
      <c r="J136" s="54" t="n"/>
      <c r="K136" s="56">
        <f>IF(SUM(U136:AY136)=0,"",SUM(U136:AY136))</f>
        <v/>
      </c>
      <c r="L136" s="57">
        <f>IFERROR(INDEX(U$2:AY$2,MATCH(TRUE,U136:AY136&lt;&gt;"",0)),"")</f>
        <v/>
      </c>
      <c r="M136" s="58">
        <f>IFERROR(LOOKUP(2,1/(U136:AY136&lt;&gt;""),U$2:AY$2),"")</f>
        <v/>
      </c>
      <c r="N136" s="59">
        <f>IF(OR(G136="",M136=""),"",G136-M136)</f>
        <v/>
      </c>
      <c r="O136" s="60" t="n"/>
      <c r="P136" s="61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  <c r="AG136" s="62" t="n"/>
      <c r="AH136" s="62" t="n"/>
      <c r="AI136" s="62" t="n"/>
      <c r="AJ136" s="62" t="n"/>
      <c r="AK136" s="62" t="n"/>
      <c r="AL136" s="62" t="n"/>
      <c r="AM136" s="62" t="n"/>
      <c r="AN136" s="62" t="n"/>
      <c r="AO136" s="62" t="n"/>
      <c r="AP136" s="62" t="n"/>
      <c r="AQ136" s="62" t="n"/>
      <c r="AR136" s="62" t="n"/>
      <c r="AS136" s="62" t="n"/>
      <c r="AT136" s="62" t="n"/>
      <c r="AU136" s="62" t="n"/>
      <c r="AV136" s="62" t="n"/>
      <c r="AW136" s="62" t="n"/>
      <c r="AX136" s="62" t="n"/>
      <c r="AY136" s="62" t="n"/>
    </row>
    <row r="137">
      <c r="A137" s="38">
        <f>IF(D137="","",COUNTA($D$133:D137))</f>
        <v/>
      </c>
      <c r="B137" s="52" t="n"/>
      <c r="C137" s="73" t="inlineStr">
        <is>
          <t>기타</t>
        </is>
      </c>
      <c r="D137" s="52" t="n"/>
      <c r="E137" s="54" t="n"/>
      <c r="F137" s="52" t="n"/>
      <c r="G137" s="55" t="n"/>
      <c r="H137" s="54" t="n"/>
      <c r="I137" s="54" t="n"/>
      <c r="J137" s="54" t="n"/>
      <c r="K137" s="56">
        <f>IF(SUM(U137:AY137)=0,"",SUM(U137:AY137))</f>
        <v/>
      </c>
      <c r="L137" s="57">
        <f>IFERROR(INDEX(U$2:AY$2,MATCH(TRUE,U137:AY137&lt;&gt;"",0)),"")</f>
        <v/>
      </c>
      <c r="M137" s="58">
        <f>IFERROR(LOOKUP(2,1/(U137:AY137&lt;&gt;""),U$2:AY$2),"")</f>
        <v/>
      </c>
      <c r="N137" s="59">
        <f>IF(OR(G137="",M137=""),"",G137-M137)</f>
        <v/>
      </c>
      <c r="O137" s="60" t="n"/>
      <c r="P137" s="61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  <c r="AG137" s="62" t="n"/>
      <c r="AH137" s="62" t="n"/>
      <c r="AI137" s="62" t="n"/>
      <c r="AJ137" s="62" t="n"/>
      <c r="AK137" s="62" t="n"/>
      <c r="AL137" s="62" t="n"/>
      <c r="AM137" s="62" t="n"/>
      <c r="AN137" s="62" t="n"/>
      <c r="AO137" s="62" t="n"/>
      <c r="AP137" s="62" t="n"/>
      <c r="AQ137" s="62" t="n"/>
      <c r="AR137" s="62" t="n"/>
      <c r="AS137" s="62" t="n"/>
      <c r="AT137" s="62" t="n"/>
      <c r="AU137" s="62" t="n"/>
      <c r="AV137" s="62" t="n"/>
      <c r="AW137" s="62" t="n"/>
      <c r="AX137" s="62" t="n"/>
      <c r="AY137" s="62" t="n"/>
    </row>
    <row r="138">
      <c r="A138" s="38">
        <f>IF(D138="","",COUNTA($D$133:D138))</f>
        <v/>
      </c>
      <c r="B138" s="52" t="n"/>
      <c r="C138" s="73" t="inlineStr">
        <is>
          <t>기타</t>
        </is>
      </c>
      <c r="D138" s="52" t="n"/>
      <c r="E138" s="54" t="n"/>
      <c r="F138" s="52" t="n"/>
      <c r="G138" s="55" t="n"/>
      <c r="H138" s="54" t="n"/>
      <c r="I138" s="54" t="n"/>
      <c r="J138" s="54" t="n"/>
      <c r="K138" s="56">
        <f>IF(SUM(U138:AY138)=0,"",SUM(U138:AY138))</f>
        <v/>
      </c>
      <c r="L138" s="57">
        <f>IFERROR(INDEX(U$2:AY$2,MATCH(TRUE,U138:AY138&lt;&gt;"",0)),"")</f>
        <v/>
      </c>
      <c r="M138" s="58">
        <f>IFERROR(LOOKUP(2,1/(U138:AY138&lt;&gt;""),U$2:AY$2),"")</f>
        <v/>
      </c>
      <c r="N138" s="59">
        <f>IF(OR(G138="",M138=""),"",G138-M138)</f>
        <v/>
      </c>
      <c r="O138" s="60" t="n"/>
      <c r="P138" s="61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  <c r="AG138" s="62" t="n"/>
      <c r="AH138" s="62" t="n"/>
      <c r="AI138" s="62" t="n"/>
      <c r="AJ138" s="62" t="n"/>
      <c r="AK138" s="62" t="n"/>
      <c r="AL138" s="62" t="n"/>
      <c r="AM138" s="62" t="n"/>
      <c r="AN138" s="62" t="n"/>
      <c r="AO138" s="62" t="n"/>
      <c r="AP138" s="62" t="n"/>
      <c r="AQ138" s="62" t="n"/>
      <c r="AR138" s="62" t="n"/>
      <c r="AS138" s="62" t="n"/>
      <c r="AT138" s="62" t="n"/>
      <c r="AU138" s="62" t="n"/>
      <c r="AV138" s="62" t="n"/>
      <c r="AW138" s="62" t="n"/>
      <c r="AX138" s="62" t="n"/>
      <c r="AY138" s="62" t="n"/>
    </row>
    <row r="139">
      <c r="A139" s="38">
        <f>IF(D139="","",COUNTA($D$133:D139))</f>
        <v/>
      </c>
      <c r="B139" s="52" t="n"/>
      <c r="C139" s="73" t="inlineStr">
        <is>
          <t>기타</t>
        </is>
      </c>
      <c r="D139" s="52" t="n"/>
      <c r="E139" s="54" t="n"/>
      <c r="F139" s="52" t="n"/>
      <c r="G139" s="55" t="n"/>
      <c r="H139" s="54" t="n"/>
      <c r="I139" s="54" t="n"/>
      <c r="J139" s="54" t="n"/>
      <c r="K139" s="56">
        <f>IF(SUM(U139:AY139)=0,"",SUM(U139:AY139))</f>
        <v/>
      </c>
      <c r="L139" s="57">
        <f>IFERROR(INDEX(U$2:AY$2,MATCH(TRUE,U139:AY139&lt;&gt;"",0)),"")</f>
        <v/>
      </c>
      <c r="M139" s="58">
        <f>IFERROR(LOOKUP(2,1/(U139:AY139&lt;&gt;""),U$2:AY$2),"")</f>
        <v/>
      </c>
      <c r="N139" s="59">
        <f>IF(OR(G139="",M139=""),"",G139-M139)</f>
        <v/>
      </c>
      <c r="O139" s="60" t="n"/>
      <c r="P139" s="61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  <c r="AG139" s="62" t="n"/>
      <c r="AH139" s="62" t="n"/>
      <c r="AI139" s="62" t="n"/>
      <c r="AJ139" s="62" t="n"/>
      <c r="AK139" s="62" t="n"/>
      <c r="AL139" s="62" t="n"/>
      <c r="AM139" s="62" t="n"/>
      <c r="AN139" s="62" t="n"/>
      <c r="AO139" s="62" t="n"/>
      <c r="AP139" s="62" t="n"/>
      <c r="AQ139" s="62" t="n"/>
      <c r="AR139" s="62" t="n"/>
      <c r="AS139" s="62" t="n"/>
      <c r="AT139" s="62" t="n"/>
      <c r="AU139" s="62" t="n"/>
      <c r="AV139" s="62" t="n"/>
      <c r="AW139" s="62" t="n"/>
      <c r="AX139" s="62" t="n"/>
      <c r="AY139" s="62" t="n"/>
    </row>
    <row r="140">
      <c r="A140" s="38">
        <f>IF(D140="","",COUNTA($D$133:D140))</f>
        <v/>
      </c>
      <c r="B140" s="52" t="n"/>
      <c r="C140" s="73" t="inlineStr">
        <is>
          <t>기타</t>
        </is>
      </c>
      <c r="D140" s="52" t="n"/>
      <c r="E140" s="54" t="n"/>
      <c r="F140" s="52" t="n"/>
      <c r="G140" s="55" t="n"/>
      <c r="H140" s="54" t="n"/>
      <c r="I140" s="54" t="n"/>
      <c r="J140" s="54" t="n"/>
      <c r="K140" s="56">
        <f>IF(SUM(U140:AY140)=0,"",SUM(U140:AY140))</f>
        <v/>
      </c>
      <c r="L140" s="57">
        <f>IFERROR(INDEX(U$2:AY$2,MATCH(TRUE,U140:AY140&lt;&gt;"",0)),"")</f>
        <v/>
      </c>
      <c r="M140" s="58">
        <f>IFERROR(LOOKUP(2,1/(U140:AY140&lt;&gt;""),U$2:AY$2),"")</f>
        <v/>
      </c>
      <c r="N140" s="59">
        <f>IF(OR(G140="",M140=""),"",G140-M140)</f>
        <v/>
      </c>
      <c r="O140" s="60" t="n"/>
      <c r="P140" s="61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  <c r="AG140" s="62" t="n"/>
      <c r="AH140" s="62" t="n"/>
      <c r="AI140" s="62" t="n"/>
      <c r="AJ140" s="62" t="n"/>
      <c r="AK140" s="62" t="n"/>
      <c r="AL140" s="62" t="n"/>
      <c r="AM140" s="62" t="n"/>
      <c r="AN140" s="62" t="n"/>
      <c r="AO140" s="62" t="n"/>
      <c r="AP140" s="62" t="n"/>
      <c r="AQ140" s="62" t="n"/>
      <c r="AR140" s="62" t="n"/>
      <c r="AS140" s="62" t="n"/>
      <c r="AT140" s="62" t="n"/>
      <c r="AU140" s="62" t="n"/>
      <c r="AV140" s="62" t="n"/>
      <c r="AW140" s="62" t="n"/>
      <c r="AX140" s="62" t="n"/>
      <c r="AY140" s="62" t="n"/>
    </row>
    <row r="141">
      <c r="A141" s="38">
        <f>IF(D141="","",COUNTA($D$133:D141))</f>
        <v/>
      </c>
      <c r="B141" s="52" t="n"/>
      <c r="C141" s="73" t="inlineStr">
        <is>
          <t>기타</t>
        </is>
      </c>
      <c r="D141" s="52" t="n"/>
      <c r="E141" s="54" t="n"/>
      <c r="F141" s="52" t="n"/>
      <c r="G141" s="55" t="n"/>
      <c r="H141" s="54" t="n"/>
      <c r="I141" s="54" t="n"/>
      <c r="J141" s="54" t="n"/>
      <c r="K141" s="56">
        <f>IF(SUM(U141:AY141)=0,"",SUM(U141:AY141))</f>
        <v/>
      </c>
      <c r="L141" s="57">
        <f>IFERROR(INDEX(U$2:AY$2,MATCH(TRUE,U141:AY141&lt;&gt;"",0)),"")</f>
        <v/>
      </c>
      <c r="M141" s="58">
        <f>IFERROR(LOOKUP(2,1/(U141:AY141&lt;&gt;""),U$2:AY$2),"")</f>
        <v/>
      </c>
      <c r="N141" s="59">
        <f>IF(OR(G141="",M141=""),"",G141-M141)</f>
        <v/>
      </c>
      <c r="O141" s="60" t="n"/>
      <c r="P141" s="61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  <c r="AG141" s="62" t="n"/>
      <c r="AH141" s="62" t="n"/>
      <c r="AI141" s="62" t="n"/>
      <c r="AJ141" s="62" t="n"/>
      <c r="AK141" s="62" t="n"/>
      <c r="AL141" s="62" t="n"/>
      <c r="AM141" s="62" t="n"/>
      <c r="AN141" s="62" t="n"/>
      <c r="AO141" s="62" t="n"/>
      <c r="AP141" s="62" t="n"/>
      <c r="AQ141" s="62" t="n"/>
      <c r="AR141" s="62" t="n"/>
      <c r="AS141" s="62" t="n"/>
      <c r="AT141" s="62" t="n"/>
      <c r="AU141" s="62" t="n"/>
      <c r="AV141" s="62" t="n"/>
      <c r="AW141" s="62" t="n"/>
      <c r="AX141" s="62" t="n"/>
      <c r="AY141" s="62" t="n"/>
    </row>
    <row r="142">
      <c r="A142" s="38">
        <f>IF(D142="","",COUNTA($D$133:D142))</f>
        <v/>
      </c>
      <c r="B142" s="52" t="n"/>
      <c r="C142" s="73" t="inlineStr">
        <is>
          <t>기타</t>
        </is>
      </c>
      <c r="D142" s="52" t="n"/>
      <c r="E142" s="54" t="n"/>
      <c r="F142" s="52" t="n"/>
      <c r="G142" s="55" t="n"/>
      <c r="H142" s="54" t="n"/>
      <c r="I142" s="54" t="n"/>
      <c r="J142" s="54" t="n"/>
      <c r="K142" s="56">
        <f>IF(SUM(U142:AY142)=0,"",SUM(U142:AY142))</f>
        <v/>
      </c>
      <c r="L142" s="57">
        <f>IFERROR(INDEX(U$2:AY$2,MATCH(TRUE,U142:AY142&lt;&gt;"",0)),"")</f>
        <v/>
      </c>
      <c r="M142" s="58">
        <f>IFERROR(LOOKUP(2,1/(U142:AY142&lt;&gt;""),U$2:AY$2),"")</f>
        <v/>
      </c>
      <c r="N142" s="59">
        <f>IF(OR(G142="",M142=""),"",G142-M142)</f>
        <v/>
      </c>
      <c r="O142" s="60" t="n"/>
      <c r="P142" s="61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  <c r="AG142" s="62" t="n"/>
      <c r="AH142" s="62" t="n"/>
      <c r="AI142" s="62" t="n"/>
      <c r="AJ142" s="62" t="n"/>
      <c r="AK142" s="62" t="n"/>
      <c r="AL142" s="62" t="n"/>
      <c r="AM142" s="62" t="n"/>
      <c r="AN142" s="62" t="n"/>
      <c r="AO142" s="62" t="n"/>
      <c r="AP142" s="62" t="n"/>
      <c r="AQ142" s="62" t="n"/>
      <c r="AR142" s="62" t="n"/>
      <c r="AS142" s="62" t="n"/>
      <c r="AT142" s="62" t="n"/>
      <c r="AU142" s="62" t="n"/>
      <c r="AV142" s="62" t="n"/>
      <c r="AW142" s="62" t="n"/>
      <c r="AX142" s="62" t="n"/>
      <c r="AY142" s="62" t="n"/>
    </row>
    <row r="143">
      <c r="A143" s="38">
        <f>IF(D143="","",COUNTA($D$133:D143))</f>
        <v/>
      </c>
      <c r="B143" s="52" t="n"/>
      <c r="C143" s="73" t="inlineStr">
        <is>
          <t>기타</t>
        </is>
      </c>
      <c r="D143" s="52" t="n"/>
      <c r="E143" s="54" t="n"/>
      <c r="F143" s="52" t="n"/>
      <c r="G143" s="55" t="n"/>
      <c r="H143" s="54" t="n"/>
      <c r="I143" s="54" t="n"/>
      <c r="J143" s="54" t="n"/>
      <c r="K143" s="56">
        <f>IF(SUM(U143:AY143)=0,"",SUM(U143:AY143))</f>
        <v/>
      </c>
      <c r="L143" s="57">
        <f>IFERROR(INDEX(U$2:AY$2,MATCH(TRUE,U143:AY143&lt;&gt;"",0)),"")</f>
        <v/>
      </c>
      <c r="M143" s="58">
        <f>IFERROR(LOOKUP(2,1/(U143:AY143&lt;&gt;""),U$2:AY$2),"")</f>
        <v/>
      </c>
      <c r="N143" s="59">
        <f>IF(OR(G143="",M143=""),"",G143-M143)</f>
        <v/>
      </c>
      <c r="O143" s="60" t="n"/>
      <c r="P143" s="61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  <c r="AG143" s="62" t="n"/>
      <c r="AH143" s="62" t="n"/>
      <c r="AI143" s="62" t="n"/>
      <c r="AJ143" s="62" t="n"/>
      <c r="AK143" s="62" t="n"/>
      <c r="AL143" s="62" t="n"/>
      <c r="AM143" s="62" t="n"/>
      <c r="AN143" s="62" t="n"/>
      <c r="AO143" s="62" t="n"/>
      <c r="AP143" s="62" t="n"/>
      <c r="AQ143" s="62" t="n"/>
      <c r="AR143" s="62" t="n"/>
      <c r="AS143" s="62" t="n"/>
      <c r="AT143" s="62" t="n"/>
      <c r="AU143" s="62" t="n"/>
      <c r="AV143" s="62" t="n"/>
      <c r="AW143" s="62" t="n"/>
      <c r="AX143" s="62" t="n"/>
      <c r="AY143" s="62" t="n"/>
    </row>
    <row r="144">
      <c r="A144" s="38">
        <f>IF(D144="","",COUNTA($D$133:D144))</f>
        <v/>
      </c>
      <c r="B144" s="52" t="n"/>
      <c r="C144" s="73" t="inlineStr">
        <is>
          <t>기타</t>
        </is>
      </c>
      <c r="D144" s="52" t="n"/>
      <c r="E144" s="54" t="n"/>
      <c r="F144" s="52" t="n"/>
      <c r="G144" s="55" t="n"/>
      <c r="H144" s="54" t="n"/>
      <c r="I144" s="54" t="n"/>
      <c r="J144" s="54" t="n"/>
      <c r="K144" s="56">
        <f>IF(SUM(U144:AY144)=0,"",SUM(U144:AY144))</f>
        <v/>
      </c>
      <c r="L144" s="57">
        <f>IFERROR(INDEX(U$2:AY$2,MATCH(TRUE,U144:AY144&lt;&gt;"",0)),"")</f>
        <v/>
      </c>
      <c r="M144" s="58">
        <f>IFERROR(LOOKUP(2,1/(U144:AY144&lt;&gt;""),U$2:AY$2),"")</f>
        <v/>
      </c>
      <c r="N144" s="59">
        <f>IF(OR(G144="",M144=""),"",G144-M144)</f>
        <v/>
      </c>
      <c r="O144" s="60" t="n"/>
      <c r="P144" s="61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  <c r="AG144" s="62" t="n"/>
      <c r="AH144" s="62" t="n"/>
      <c r="AI144" s="62" t="n"/>
      <c r="AJ144" s="62" t="n"/>
      <c r="AK144" s="62" t="n"/>
      <c r="AL144" s="62" t="n"/>
      <c r="AM144" s="62" t="n"/>
      <c r="AN144" s="62" t="n"/>
      <c r="AO144" s="62" t="n"/>
      <c r="AP144" s="62" t="n"/>
      <c r="AQ144" s="62" t="n"/>
      <c r="AR144" s="62" t="n"/>
      <c r="AS144" s="62" t="n"/>
      <c r="AT144" s="62" t="n"/>
      <c r="AU144" s="62" t="n"/>
      <c r="AV144" s="62" t="n"/>
      <c r="AW144" s="62" t="n"/>
      <c r="AX144" s="62" t="n"/>
      <c r="AY144" s="62" t="n"/>
    </row>
    <row r="145">
      <c r="A145" s="38">
        <f>IF(D145="","",COUNTA($D$133:D145))</f>
        <v/>
      </c>
      <c r="B145" s="52" t="n"/>
      <c r="C145" s="73" t="inlineStr">
        <is>
          <t>기타</t>
        </is>
      </c>
      <c r="D145" s="52" t="n"/>
      <c r="E145" s="54" t="n"/>
      <c r="F145" s="52" t="n"/>
      <c r="G145" s="55" t="n"/>
      <c r="H145" s="54" t="n"/>
      <c r="I145" s="54" t="n"/>
      <c r="J145" s="54" t="n"/>
      <c r="K145" s="56">
        <f>IF(SUM(U145:AY145)=0,"",SUM(U145:AY145))</f>
        <v/>
      </c>
      <c r="L145" s="57">
        <f>IFERROR(INDEX(U$2:AY$2,MATCH(TRUE,U145:AY145&lt;&gt;"",0)),"")</f>
        <v/>
      </c>
      <c r="M145" s="58">
        <f>IFERROR(LOOKUP(2,1/(U145:AY145&lt;&gt;""),U$2:AY$2),"")</f>
        <v/>
      </c>
      <c r="N145" s="59">
        <f>IF(OR(G145="",M145=""),"",G145-M145)</f>
        <v/>
      </c>
      <c r="O145" s="60" t="n"/>
      <c r="P145" s="61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  <c r="AG145" s="62" t="n"/>
      <c r="AH145" s="62" t="n"/>
      <c r="AI145" s="62" t="n"/>
      <c r="AJ145" s="62" t="n"/>
      <c r="AK145" s="62" t="n"/>
      <c r="AL145" s="62" t="n"/>
      <c r="AM145" s="62" t="n"/>
      <c r="AN145" s="62" t="n"/>
      <c r="AO145" s="62" t="n"/>
      <c r="AP145" s="62" t="n"/>
      <c r="AQ145" s="62" t="n"/>
      <c r="AR145" s="62" t="n"/>
      <c r="AS145" s="62" t="n"/>
      <c r="AT145" s="62" t="n"/>
      <c r="AU145" s="62" t="n"/>
      <c r="AV145" s="62" t="n"/>
      <c r="AW145" s="62" t="n"/>
      <c r="AX145" s="62" t="n"/>
      <c r="AY145" s="62" t="n"/>
    </row>
    <row r="146">
      <c r="A146" s="38">
        <f>IF(D146="","",COUNTA($D$133:D146))</f>
        <v/>
      </c>
      <c r="B146" s="52" t="n"/>
      <c r="C146" s="73" t="inlineStr">
        <is>
          <t>기타</t>
        </is>
      </c>
      <c r="D146" s="52" t="n"/>
      <c r="E146" s="54" t="n"/>
      <c r="F146" s="52" t="n"/>
      <c r="G146" s="55" t="n"/>
      <c r="H146" s="54" t="n"/>
      <c r="I146" s="54" t="n"/>
      <c r="J146" s="54" t="n"/>
      <c r="K146" s="56">
        <f>IF(SUM(U146:AY146)=0,"",SUM(U146:AY146))</f>
        <v/>
      </c>
      <c r="L146" s="57">
        <f>IFERROR(INDEX(U$2:AY$2,MATCH(TRUE,U146:AY146&lt;&gt;"",0)),"")</f>
        <v/>
      </c>
      <c r="M146" s="58">
        <f>IFERROR(LOOKUP(2,1/(U146:AY146&lt;&gt;""),U$2:AY$2),"")</f>
        <v/>
      </c>
      <c r="N146" s="59">
        <f>IF(OR(G146="",M146=""),"",G146-M146)</f>
        <v/>
      </c>
      <c r="O146" s="60" t="n"/>
      <c r="P146" s="61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  <c r="AG146" s="62" t="n"/>
      <c r="AH146" s="62" t="n"/>
      <c r="AI146" s="62" t="n"/>
      <c r="AJ146" s="62" t="n"/>
      <c r="AK146" s="62" t="n"/>
      <c r="AL146" s="62" t="n"/>
      <c r="AM146" s="62" t="n"/>
      <c r="AN146" s="62" t="n"/>
      <c r="AO146" s="62" t="n"/>
      <c r="AP146" s="62" t="n"/>
      <c r="AQ146" s="62" t="n"/>
      <c r="AR146" s="62" t="n"/>
      <c r="AS146" s="62" t="n"/>
      <c r="AT146" s="62" t="n"/>
      <c r="AU146" s="62" t="n"/>
      <c r="AV146" s="62" t="n"/>
      <c r="AW146" s="62" t="n"/>
      <c r="AX146" s="62" t="n"/>
      <c r="AY146" s="62" t="n"/>
    </row>
    <row r="147">
      <c r="A147" s="38">
        <f>IF(D147="","",COUNTA($D$133:D147))</f>
        <v/>
      </c>
      <c r="B147" s="52" t="n"/>
      <c r="C147" s="73" t="inlineStr">
        <is>
          <t>기타</t>
        </is>
      </c>
      <c r="D147" s="52" t="n"/>
      <c r="E147" s="54" t="n"/>
      <c r="F147" s="52" t="n"/>
      <c r="G147" s="55" t="n"/>
      <c r="H147" s="54" t="n"/>
      <c r="I147" s="54" t="n"/>
      <c r="J147" s="54" t="n"/>
      <c r="K147" s="56">
        <f>IF(SUM(U147:AY147)=0,"",SUM(U147:AY147))</f>
        <v/>
      </c>
      <c r="L147" s="57">
        <f>IFERROR(INDEX(U$2:AY$2,MATCH(TRUE,U147:AY147&lt;&gt;"",0)),"")</f>
        <v/>
      </c>
      <c r="M147" s="58">
        <f>IFERROR(LOOKUP(2,1/(U147:AY147&lt;&gt;""),U$2:AY$2),"")</f>
        <v/>
      </c>
      <c r="N147" s="59">
        <f>IF(OR(G147="",M147=""),"",G147-M147)</f>
        <v/>
      </c>
      <c r="O147" s="60" t="n"/>
      <c r="P147" s="61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  <c r="AG147" s="62" t="n"/>
      <c r="AH147" s="62" t="n"/>
      <c r="AI147" s="62" t="n"/>
      <c r="AJ147" s="62" t="n"/>
      <c r="AK147" s="62" t="n"/>
      <c r="AL147" s="62" t="n"/>
      <c r="AM147" s="62" t="n"/>
      <c r="AN147" s="62" t="n"/>
      <c r="AO147" s="62" t="n"/>
      <c r="AP147" s="62" t="n"/>
      <c r="AQ147" s="62" t="n"/>
      <c r="AR147" s="62" t="n"/>
      <c r="AS147" s="62" t="n"/>
      <c r="AT147" s="62" t="n"/>
      <c r="AU147" s="62" t="n"/>
      <c r="AV147" s="62" t="n"/>
      <c r="AW147" s="62" t="n"/>
      <c r="AX147" s="62" t="n"/>
      <c r="AY147" s="62" t="n"/>
    </row>
    <row r="148">
      <c r="A148" s="38">
        <f>IF(D148="","",COUNTA($D$133:D148))</f>
        <v/>
      </c>
      <c r="B148" s="52" t="n"/>
      <c r="C148" s="73" t="inlineStr">
        <is>
          <t>기타</t>
        </is>
      </c>
      <c r="D148" s="52" t="n"/>
      <c r="E148" s="54" t="n"/>
      <c r="F148" s="52" t="n"/>
      <c r="G148" s="55" t="n"/>
      <c r="H148" s="54" t="n"/>
      <c r="I148" s="54" t="n"/>
      <c r="J148" s="54" t="n"/>
      <c r="K148" s="56">
        <f>IF(SUM(U148:AY148)=0,"",SUM(U148:AY148))</f>
        <v/>
      </c>
      <c r="L148" s="57">
        <f>IFERROR(INDEX(U$2:AY$2,MATCH(TRUE,U148:AY148&lt;&gt;"",0)),"")</f>
        <v/>
      </c>
      <c r="M148" s="58">
        <f>IFERROR(LOOKUP(2,1/(U148:AY148&lt;&gt;""),U$2:AY$2),"")</f>
        <v/>
      </c>
      <c r="N148" s="59">
        <f>IF(OR(G148="",M148=""),"",G148-M148)</f>
        <v/>
      </c>
      <c r="O148" s="60" t="n"/>
      <c r="P148" s="61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  <c r="AG148" s="62" t="n"/>
      <c r="AH148" s="62" t="n"/>
      <c r="AI148" s="62" t="n"/>
      <c r="AJ148" s="62" t="n"/>
      <c r="AK148" s="62" t="n"/>
      <c r="AL148" s="62" t="n"/>
      <c r="AM148" s="62" t="n"/>
      <c r="AN148" s="62" t="n"/>
      <c r="AO148" s="62" t="n"/>
      <c r="AP148" s="62" t="n"/>
      <c r="AQ148" s="62" t="n"/>
      <c r="AR148" s="62" t="n"/>
      <c r="AS148" s="62" t="n"/>
      <c r="AT148" s="62" t="n"/>
      <c r="AU148" s="62" t="n"/>
      <c r="AV148" s="62" t="n"/>
      <c r="AW148" s="62" t="n"/>
      <c r="AX148" s="62" t="n"/>
      <c r="AY148" s="62" t="n"/>
    </row>
    <row r="149">
      <c r="A149" s="38">
        <f>IF(D149="","",COUNTA($D$133:D149))</f>
        <v/>
      </c>
      <c r="B149" s="52" t="n"/>
      <c r="C149" s="73" t="inlineStr">
        <is>
          <t>기타</t>
        </is>
      </c>
      <c r="D149" s="52" t="n"/>
      <c r="E149" s="54" t="n"/>
      <c r="F149" s="52" t="n"/>
      <c r="G149" s="55" t="n"/>
      <c r="H149" s="54" t="n"/>
      <c r="I149" s="54" t="n"/>
      <c r="J149" s="54" t="n"/>
      <c r="K149" s="56">
        <f>IF(SUM(U149:AY149)=0,"",SUM(U149:AY149))</f>
        <v/>
      </c>
      <c r="L149" s="57">
        <f>IFERROR(INDEX(U$2:AY$2,MATCH(TRUE,U149:AY149&lt;&gt;"",0)),"")</f>
        <v/>
      </c>
      <c r="M149" s="58">
        <f>IFERROR(LOOKUP(2,1/(U149:AY149&lt;&gt;""),U$2:AY$2),"")</f>
        <v/>
      </c>
      <c r="N149" s="59">
        <f>IF(OR(G149="",M149=""),"",G149-M149)</f>
        <v/>
      </c>
      <c r="O149" s="60" t="n"/>
      <c r="P149" s="61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  <c r="AG149" s="62" t="n"/>
      <c r="AH149" s="62" t="n"/>
      <c r="AI149" s="62" t="n"/>
      <c r="AJ149" s="62" t="n"/>
      <c r="AK149" s="62" t="n"/>
      <c r="AL149" s="62" t="n"/>
      <c r="AM149" s="62" t="n"/>
      <c r="AN149" s="62" t="n"/>
      <c r="AO149" s="62" t="n"/>
      <c r="AP149" s="62" t="n"/>
      <c r="AQ149" s="62" t="n"/>
      <c r="AR149" s="62" t="n"/>
      <c r="AS149" s="62" t="n"/>
      <c r="AT149" s="62" t="n"/>
      <c r="AU149" s="62" t="n"/>
      <c r="AV149" s="62" t="n"/>
      <c r="AW149" s="62" t="n"/>
      <c r="AX149" s="62" t="n"/>
      <c r="AY149" s="62" t="n"/>
    </row>
    <row r="150">
      <c r="A150" s="38">
        <f>IF(D150="","",COUNTA($D$133:D150))</f>
        <v/>
      </c>
      <c r="B150" s="52" t="n"/>
      <c r="C150" s="73" t="inlineStr">
        <is>
          <t>기타</t>
        </is>
      </c>
      <c r="D150" s="52" t="n"/>
      <c r="E150" s="54" t="n"/>
      <c r="F150" s="52" t="n"/>
      <c r="G150" s="55" t="n"/>
      <c r="H150" s="54" t="n"/>
      <c r="I150" s="54" t="n"/>
      <c r="J150" s="54" t="n"/>
      <c r="K150" s="56">
        <f>IF(SUM(U150:AY150)=0,"",SUM(U150:AY150))</f>
        <v/>
      </c>
      <c r="L150" s="57">
        <f>IFERROR(INDEX(U$2:AY$2,MATCH(TRUE,U150:AY150&lt;&gt;"",0)),"")</f>
        <v/>
      </c>
      <c r="M150" s="58">
        <f>IFERROR(LOOKUP(2,1/(U150:AY150&lt;&gt;""),U$2:AY$2),"")</f>
        <v/>
      </c>
      <c r="N150" s="59">
        <f>IF(OR(G150="",M150=""),"",G150-M150)</f>
        <v/>
      </c>
      <c r="O150" s="60" t="n"/>
      <c r="P150" s="61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  <c r="AG150" s="62" t="n"/>
      <c r="AH150" s="62" t="n"/>
      <c r="AI150" s="62" t="n"/>
      <c r="AJ150" s="62" t="n"/>
      <c r="AK150" s="62" t="n"/>
      <c r="AL150" s="62" t="n"/>
      <c r="AM150" s="62" t="n"/>
      <c r="AN150" s="62" t="n"/>
      <c r="AO150" s="62" t="n"/>
      <c r="AP150" s="62" t="n"/>
      <c r="AQ150" s="62" t="n"/>
      <c r="AR150" s="62" t="n"/>
      <c r="AS150" s="62" t="n"/>
      <c r="AT150" s="62" t="n"/>
      <c r="AU150" s="62" t="n"/>
      <c r="AV150" s="62" t="n"/>
      <c r="AW150" s="62" t="n"/>
      <c r="AX150" s="62" t="n"/>
      <c r="AY150" s="62" t="n"/>
    </row>
    <row r="151">
      <c r="A151" s="38">
        <f>IF(D151="","",COUNTA($D$133:D151))</f>
        <v/>
      </c>
      <c r="B151" s="52" t="n"/>
      <c r="C151" s="73" t="inlineStr">
        <is>
          <t>기타</t>
        </is>
      </c>
      <c r="D151" s="52" t="n"/>
      <c r="E151" s="54" t="n"/>
      <c r="F151" s="52" t="n"/>
      <c r="G151" s="55" t="n"/>
      <c r="H151" s="54" t="n"/>
      <c r="I151" s="54" t="n"/>
      <c r="J151" s="54" t="n"/>
      <c r="K151" s="56">
        <f>IF(SUM(U151:AY151)=0,"",SUM(U151:AY151))</f>
        <v/>
      </c>
      <c r="L151" s="57">
        <f>IFERROR(INDEX(U$2:AY$2,MATCH(TRUE,U151:AY151&lt;&gt;"",0)),"")</f>
        <v/>
      </c>
      <c r="M151" s="58">
        <f>IFERROR(LOOKUP(2,1/(U151:AY151&lt;&gt;""),U$2:AY$2),"")</f>
        <v/>
      </c>
      <c r="N151" s="59">
        <f>IF(OR(G151="",M151=""),"",G151-M151)</f>
        <v/>
      </c>
      <c r="O151" s="60" t="n"/>
      <c r="P151" s="61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  <c r="AG151" s="62" t="n"/>
      <c r="AH151" s="62" t="n"/>
      <c r="AI151" s="62" t="n"/>
      <c r="AJ151" s="62" t="n"/>
      <c r="AK151" s="62" t="n"/>
      <c r="AL151" s="62" t="n"/>
      <c r="AM151" s="62" t="n"/>
      <c r="AN151" s="62" t="n"/>
      <c r="AO151" s="62" t="n"/>
      <c r="AP151" s="62" t="n"/>
      <c r="AQ151" s="62" t="n"/>
      <c r="AR151" s="62" t="n"/>
      <c r="AS151" s="62" t="n"/>
      <c r="AT151" s="62" t="n"/>
      <c r="AU151" s="62" t="n"/>
      <c r="AV151" s="62" t="n"/>
      <c r="AW151" s="62" t="n"/>
      <c r="AX151" s="62" t="n"/>
      <c r="AY151" s="62" t="n"/>
    </row>
    <row r="152">
      <c r="A152" s="38">
        <f>IF(D152="","",COUNTA($D$133:D152))</f>
        <v/>
      </c>
      <c r="B152" s="52" t="n"/>
      <c r="C152" s="73" t="inlineStr">
        <is>
          <t>기타</t>
        </is>
      </c>
      <c r="D152" s="52" t="n"/>
      <c r="E152" s="54" t="n"/>
      <c r="F152" s="52" t="n"/>
      <c r="G152" s="55" t="n"/>
      <c r="H152" s="54" t="n"/>
      <c r="I152" s="54" t="n"/>
      <c r="J152" s="54" t="n"/>
      <c r="K152" s="56">
        <f>IF(SUM(U152:AY152)=0,"",SUM(U152:AY152))</f>
        <v/>
      </c>
      <c r="L152" s="57">
        <f>IFERROR(INDEX(U$2:AY$2,MATCH(TRUE,U152:AY152&lt;&gt;"",0)),"")</f>
        <v/>
      </c>
      <c r="M152" s="58">
        <f>IFERROR(LOOKUP(2,1/(U152:AY152&lt;&gt;""),U$2:AY$2),"")</f>
        <v/>
      </c>
      <c r="N152" s="59">
        <f>IF(OR(G152="",M152=""),"",G152-M152)</f>
        <v/>
      </c>
      <c r="O152" s="60" t="n"/>
      <c r="P152" s="61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  <c r="AG152" s="62" t="n"/>
      <c r="AH152" s="62" t="n"/>
      <c r="AI152" s="62" t="n"/>
      <c r="AJ152" s="62" t="n"/>
      <c r="AK152" s="62" t="n"/>
      <c r="AL152" s="62" t="n"/>
      <c r="AM152" s="62" t="n"/>
      <c r="AN152" s="62" t="n"/>
      <c r="AO152" s="62" t="n"/>
      <c r="AP152" s="62" t="n"/>
      <c r="AQ152" s="62" t="n"/>
      <c r="AR152" s="62" t="n"/>
      <c r="AS152" s="62" t="n"/>
      <c r="AT152" s="62" t="n"/>
      <c r="AU152" s="62" t="n"/>
      <c r="AV152" s="62" t="n"/>
      <c r="AW152" s="62" t="n"/>
      <c r="AX152" s="62" t="n"/>
      <c r="AY152" s="62" t="n"/>
    </row>
    <row r="153">
      <c r="A153" s="38">
        <f>IF(D153="","",COUNTA($D$133:D153))</f>
        <v/>
      </c>
      <c r="B153" s="52" t="n"/>
      <c r="C153" s="73" t="inlineStr">
        <is>
          <t>기타</t>
        </is>
      </c>
      <c r="D153" s="52" t="n"/>
      <c r="E153" s="54" t="n"/>
      <c r="F153" s="52" t="n"/>
      <c r="G153" s="55" t="n"/>
      <c r="H153" s="54" t="n"/>
      <c r="I153" s="54" t="n"/>
      <c r="J153" s="54" t="n"/>
      <c r="K153" s="56">
        <f>IF(SUM(U153:AY153)=0,"",SUM(U153:AY153))</f>
        <v/>
      </c>
      <c r="L153" s="57">
        <f>IFERROR(INDEX(U$2:AY$2,MATCH(TRUE,U153:AY153&lt;&gt;"",0)),"")</f>
        <v/>
      </c>
      <c r="M153" s="58">
        <f>IFERROR(LOOKUP(2,1/(U153:AY153&lt;&gt;""),U$2:AY$2),"")</f>
        <v/>
      </c>
      <c r="N153" s="59">
        <f>IF(OR(G153="",M153=""),"",G153-M153)</f>
        <v/>
      </c>
      <c r="O153" s="60" t="n"/>
      <c r="P153" s="61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  <c r="AG153" s="62" t="n"/>
      <c r="AH153" s="62" t="n"/>
      <c r="AI153" s="62" t="n"/>
      <c r="AJ153" s="62" t="n"/>
      <c r="AK153" s="62" t="n"/>
      <c r="AL153" s="62" t="n"/>
      <c r="AM153" s="62" t="n"/>
      <c r="AN153" s="62" t="n"/>
      <c r="AO153" s="62" t="n"/>
      <c r="AP153" s="62" t="n"/>
      <c r="AQ153" s="62" t="n"/>
      <c r="AR153" s="62" t="n"/>
      <c r="AS153" s="62" t="n"/>
      <c r="AT153" s="62" t="n"/>
      <c r="AU153" s="62" t="n"/>
      <c r="AV153" s="62" t="n"/>
      <c r="AW153" s="62" t="n"/>
      <c r="AX153" s="62" t="n"/>
      <c r="AY153" s="62" t="n"/>
    </row>
    <row r="154">
      <c r="A154" s="38">
        <f>IF(D154="","",COUNTA($D$133:D154))</f>
        <v/>
      </c>
      <c r="B154" s="52" t="n"/>
      <c r="C154" s="73" t="inlineStr">
        <is>
          <t>기타</t>
        </is>
      </c>
      <c r="D154" s="52" t="n"/>
      <c r="E154" s="54" t="n"/>
      <c r="F154" s="52" t="n"/>
      <c r="G154" s="55" t="n"/>
      <c r="H154" s="54" t="n"/>
      <c r="I154" s="54" t="n"/>
      <c r="J154" s="54" t="n"/>
      <c r="K154" s="56">
        <f>IF(SUM(U154:AY154)=0,"",SUM(U154:AY154))</f>
        <v/>
      </c>
      <c r="L154" s="57">
        <f>IFERROR(INDEX(U$2:AY$2,MATCH(TRUE,U154:AY154&lt;&gt;"",0)),"")</f>
        <v/>
      </c>
      <c r="M154" s="58">
        <f>IFERROR(LOOKUP(2,1/(U154:AY154&lt;&gt;""),U$2:AY$2),"")</f>
        <v/>
      </c>
      <c r="N154" s="59">
        <f>IF(OR(G154="",M154=""),"",G154-M154)</f>
        <v/>
      </c>
      <c r="O154" s="60" t="n"/>
      <c r="P154" s="61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  <c r="AG154" s="62" t="n"/>
      <c r="AH154" s="62" t="n"/>
      <c r="AI154" s="62" t="n"/>
      <c r="AJ154" s="62" t="n"/>
      <c r="AK154" s="62" t="n"/>
      <c r="AL154" s="62" t="n"/>
      <c r="AM154" s="62" t="n"/>
      <c r="AN154" s="62" t="n"/>
      <c r="AO154" s="62" t="n"/>
      <c r="AP154" s="62" t="n"/>
      <c r="AQ154" s="62" t="n"/>
      <c r="AR154" s="62" t="n"/>
      <c r="AS154" s="62" t="n"/>
      <c r="AT154" s="62" t="n"/>
      <c r="AU154" s="62" t="n"/>
      <c r="AV154" s="62" t="n"/>
      <c r="AW154" s="62" t="n"/>
      <c r="AX154" s="62" t="n"/>
      <c r="AY154" s="62" t="n"/>
    </row>
    <row r="155">
      <c r="A155" s="38">
        <f>IF(D155="","",COUNTA($D$133:D155))</f>
        <v/>
      </c>
      <c r="B155" s="52" t="n"/>
      <c r="C155" s="73" t="inlineStr">
        <is>
          <t>기타</t>
        </is>
      </c>
      <c r="D155" s="52" t="n"/>
      <c r="E155" s="54" t="n"/>
      <c r="F155" s="52" t="n"/>
      <c r="G155" s="55" t="n"/>
      <c r="H155" s="54" t="n"/>
      <c r="I155" s="54" t="n"/>
      <c r="J155" s="54" t="n"/>
      <c r="K155" s="56">
        <f>IF(SUM(U155:AY155)=0,"",SUM(U155:AY155))</f>
        <v/>
      </c>
      <c r="L155" s="57">
        <f>IFERROR(INDEX(U$2:AY$2,MATCH(TRUE,U155:AY155&lt;&gt;"",0)),"")</f>
        <v/>
      </c>
      <c r="M155" s="58">
        <f>IFERROR(LOOKUP(2,1/(U155:AY155&lt;&gt;""),U$2:AY$2),"")</f>
        <v/>
      </c>
      <c r="N155" s="59">
        <f>IF(OR(G155="",M155=""),"",G155-M155)</f>
        <v/>
      </c>
      <c r="O155" s="60" t="n"/>
      <c r="P155" s="61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  <c r="AG155" s="62" t="n"/>
      <c r="AH155" s="62" t="n"/>
      <c r="AI155" s="62" t="n"/>
      <c r="AJ155" s="62" t="n"/>
      <c r="AK155" s="62" t="n"/>
      <c r="AL155" s="62" t="n"/>
      <c r="AM155" s="62" t="n"/>
      <c r="AN155" s="62" t="n"/>
      <c r="AO155" s="62" t="n"/>
      <c r="AP155" s="62" t="n"/>
      <c r="AQ155" s="62" t="n"/>
      <c r="AR155" s="62" t="n"/>
      <c r="AS155" s="62" t="n"/>
      <c r="AT155" s="62" t="n"/>
      <c r="AU155" s="62" t="n"/>
      <c r="AV155" s="62" t="n"/>
      <c r="AW155" s="62" t="n"/>
      <c r="AX155" s="62" t="n"/>
      <c r="AY155" s="62" t="n"/>
    </row>
    <row r="156">
      <c r="A156" s="38">
        <f>IF(D156="","",COUNTA($D$133:D156))</f>
        <v/>
      </c>
      <c r="B156" s="52" t="n"/>
      <c r="C156" s="73" t="inlineStr">
        <is>
          <t>기타</t>
        </is>
      </c>
      <c r="D156" s="52" t="n"/>
      <c r="E156" s="54" t="n"/>
      <c r="F156" s="52" t="n"/>
      <c r="G156" s="55" t="n"/>
      <c r="H156" s="54" t="n"/>
      <c r="I156" s="54" t="n"/>
      <c r="J156" s="54" t="n"/>
      <c r="K156" s="56">
        <f>IF(SUM(U156:AY156)=0,"",SUM(U156:AY156))</f>
        <v/>
      </c>
      <c r="L156" s="57">
        <f>IFERROR(INDEX(U$2:AY$2,MATCH(TRUE,U156:AY156&lt;&gt;"",0)),"")</f>
        <v/>
      </c>
      <c r="M156" s="58">
        <f>IFERROR(LOOKUP(2,1/(U156:AY156&lt;&gt;""),U$2:AY$2),"")</f>
        <v/>
      </c>
      <c r="N156" s="59">
        <f>IF(OR(G156="",M156=""),"",G156-M156)</f>
        <v/>
      </c>
      <c r="O156" s="60" t="n"/>
      <c r="P156" s="61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  <c r="AG156" s="62" t="n"/>
      <c r="AH156" s="62" t="n"/>
      <c r="AI156" s="62" t="n"/>
      <c r="AJ156" s="62" t="n"/>
      <c r="AK156" s="62" t="n"/>
      <c r="AL156" s="62" t="n"/>
      <c r="AM156" s="62" t="n"/>
      <c r="AN156" s="62" t="n"/>
      <c r="AO156" s="62" t="n"/>
      <c r="AP156" s="62" t="n"/>
      <c r="AQ156" s="62" t="n"/>
      <c r="AR156" s="62" t="n"/>
      <c r="AS156" s="62" t="n"/>
      <c r="AT156" s="62" t="n"/>
      <c r="AU156" s="62" t="n"/>
      <c r="AV156" s="62" t="n"/>
      <c r="AW156" s="62" t="n"/>
      <c r="AX156" s="62" t="n"/>
      <c r="AY156" s="62" t="n"/>
    </row>
    <row r="157">
      <c r="A157" s="38">
        <f>IF(D157="","",COUNTA($D$133:D157))</f>
        <v/>
      </c>
      <c r="B157" s="52" t="n"/>
      <c r="C157" s="73" t="inlineStr">
        <is>
          <t>기타</t>
        </is>
      </c>
      <c r="D157" s="52" t="n"/>
      <c r="E157" s="54" t="n"/>
      <c r="F157" s="52" t="n"/>
      <c r="G157" s="55" t="n"/>
      <c r="H157" s="54" t="n"/>
      <c r="I157" s="54" t="n"/>
      <c r="J157" s="54" t="n"/>
      <c r="K157" s="56">
        <f>IF(SUM(U157:AY157)=0,"",SUM(U157:AY157))</f>
        <v/>
      </c>
      <c r="L157" s="57">
        <f>IFERROR(INDEX(U$2:AY$2,MATCH(TRUE,U157:AY157&lt;&gt;"",0)),"")</f>
        <v/>
      </c>
      <c r="M157" s="58">
        <f>IFERROR(LOOKUP(2,1/(U157:AY157&lt;&gt;""),U$2:AY$2),"")</f>
        <v/>
      </c>
      <c r="N157" s="59">
        <f>IF(OR(G157="",M157=""),"",G157-M157)</f>
        <v/>
      </c>
      <c r="O157" s="60" t="n"/>
      <c r="P157" s="61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  <c r="AG157" s="62" t="n"/>
      <c r="AH157" s="62" t="n"/>
      <c r="AI157" s="62" t="n"/>
      <c r="AJ157" s="62" t="n"/>
      <c r="AK157" s="62" t="n"/>
      <c r="AL157" s="62" t="n"/>
      <c r="AM157" s="62" t="n"/>
      <c r="AN157" s="62" t="n"/>
      <c r="AO157" s="62" t="n"/>
      <c r="AP157" s="62" t="n"/>
      <c r="AQ157" s="62" t="n"/>
      <c r="AR157" s="62" t="n"/>
      <c r="AS157" s="62" t="n"/>
      <c r="AT157" s="62" t="n"/>
      <c r="AU157" s="62" t="n"/>
      <c r="AV157" s="62" t="n"/>
      <c r="AW157" s="62" t="n"/>
      <c r="AX157" s="62" t="n"/>
      <c r="AY157" s="62" t="n"/>
    </row>
    <row r="158">
      <c r="A158" s="38">
        <f>IF(D158="","",COUNTA($D$133:D158))</f>
        <v/>
      </c>
      <c r="B158" s="52" t="n"/>
      <c r="C158" s="73" t="inlineStr">
        <is>
          <t>기타</t>
        </is>
      </c>
      <c r="D158" s="52" t="n"/>
      <c r="E158" s="54" t="n"/>
      <c r="F158" s="52" t="n"/>
      <c r="G158" s="55" t="n"/>
      <c r="H158" s="54" t="n"/>
      <c r="I158" s="54" t="n"/>
      <c r="J158" s="54" t="n"/>
      <c r="K158" s="56">
        <f>IF(SUM(U158:AY158)=0,"",SUM(U158:AY158))</f>
        <v/>
      </c>
      <c r="L158" s="57">
        <f>IFERROR(INDEX(U$2:AY$2,MATCH(TRUE,U158:AY158&lt;&gt;"",0)),"")</f>
        <v/>
      </c>
      <c r="M158" s="58">
        <f>IFERROR(LOOKUP(2,1/(U158:AY158&lt;&gt;""),U$2:AY$2),"")</f>
        <v/>
      </c>
      <c r="N158" s="59">
        <f>IF(OR(G158="",M158=""),"",G158-M158)</f>
        <v/>
      </c>
      <c r="O158" s="60" t="n"/>
      <c r="P158" s="61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  <c r="AG158" s="62" t="n"/>
      <c r="AH158" s="62" t="n"/>
      <c r="AI158" s="62" t="n"/>
      <c r="AJ158" s="62" t="n"/>
      <c r="AK158" s="62" t="n"/>
      <c r="AL158" s="62" t="n"/>
      <c r="AM158" s="62" t="n"/>
      <c r="AN158" s="62" t="n"/>
      <c r="AO158" s="62" t="n"/>
      <c r="AP158" s="62" t="n"/>
      <c r="AQ158" s="62" t="n"/>
      <c r="AR158" s="62" t="n"/>
      <c r="AS158" s="62" t="n"/>
      <c r="AT158" s="62" t="n"/>
      <c r="AU158" s="62" t="n"/>
      <c r="AV158" s="62" t="n"/>
      <c r="AW158" s="62" t="n"/>
      <c r="AX158" s="62" t="n"/>
      <c r="AY158" s="62" t="n"/>
    </row>
    <row r="159">
      <c r="A159" s="38">
        <f>IF(D159="","",COUNTA($D$133:D159))</f>
        <v/>
      </c>
      <c r="B159" s="52" t="n"/>
      <c r="C159" s="73" t="inlineStr">
        <is>
          <t>기타</t>
        </is>
      </c>
      <c r="D159" s="52" t="n"/>
      <c r="E159" s="54" t="n"/>
      <c r="F159" s="52" t="n"/>
      <c r="G159" s="55" t="n"/>
      <c r="H159" s="54" t="n"/>
      <c r="I159" s="54" t="n"/>
      <c r="J159" s="54" t="n"/>
      <c r="K159" s="56">
        <f>IF(SUM(U159:AY159)=0,"",SUM(U159:AY159))</f>
        <v/>
      </c>
      <c r="L159" s="57">
        <f>IFERROR(INDEX(U$2:AY$2,MATCH(TRUE,U159:AY159&lt;&gt;"",0)),"")</f>
        <v/>
      </c>
      <c r="M159" s="58">
        <f>IFERROR(LOOKUP(2,1/(U159:AY159&lt;&gt;""),U$2:AY$2),"")</f>
        <v/>
      </c>
      <c r="N159" s="59">
        <f>IF(OR(G159="",M159=""),"",G159-M159)</f>
        <v/>
      </c>
      <c r="O159" s="60" t="n"/>
      <c r="P159" s="61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  <c r="AG159" s="62" t="n"/>
      <c r="AH159" s="62" t="n"/>
      <c r="AI159" s="62" t="n"/>
      <c r="AJ159" s="62" t="n"/>
      <c r="AK159" s="62" t="n"/>
      <c r="AL159" s="62" t="n"/>
      <c r="AM159" s="62" t="n"/>
      <c r="AN159" s="62" t="n"/>
      <c r="AO159" s="62" t="n"/>
      <c r="AP159" s="62" t="n"/>
      <c r="AQ159" s="62" t="n"/>
      <c r="AR159" s="62" t="n"/>
      <c r="AS159" s="62" t="n"/>
      <c r="AT159" s="62" t="n"/>
      <c r="AU159" s="62" t="n"/>
      <c r="AV159" s="62" t="n"/>
      <c r="AW159" s="62" t="n"/>
      <c r="AX159" s="62" t="n"/>
      <c r="AY159" s="62" t="n"/>
    </row>
    <row r="160">
      <c r="A160" s="38">
        <f>IF(D160="","",COUNTA($D$133:D160))</f>
        <v/>
      </c>
      <c r="B160" s="52" t="n"/>
      <c r="C160" s="73" t="inlineStr">
        <is>
          <t>기타</t>
        </is>
      </c>
      <c r="D160" s="52" t="n"/>
      <c r="E160" s="54" t="n"/>
      <c r="F160" s="52" t="n"/>
      <c r="G160" s="55" t="n"/>
      <c r="H160" s="54" t="n"/>
      <c r="I160" s="54" t="n"/>
      <c r="J160" s="54" t="n"/>
      <c r="K160" s="56">
        <f>IF(SUM(U160:AY160)=0,"",SUM(U160:AY160))</f>
        <v/>
      </c>
      <c r="L160" s="57">
        <f>IFERROR(INDEX(U$2:AY$2,MATCH(TRUE,U160:AY160&lt;&gt;"",0)),"")</f>
        <v/>
      </c>
      <c r="M160" s="58">
        <f>IFERROR(LOOKUP(2,1/(U160:AY160&lt;&gt;""),U$2:AY$2),"")</f>
        <v/>
      </c>
      <c r="N160" s="59">
        <f>IF(OR(G160="",M160=""),"",G160-M160)</f>
        <v/>
      </c>
      <c r="O160" s="60" t="n"/>
      <c r="P160" s="61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  <c r="AG160" s="62" t="n"/>
      <c r="AH160" s="62" t="n"/>
      <c r="AI160" s="62" t="n"/>
      <c r="AJ160" s="62" t="n"/>
      <c r="AK160" s="62" t="n"/>
      <c r="AL160" s="62" t="n"/>
      <c r="AM160" s="62" t="n"/>
      <c r="AN160" s="62" t="n"/>
      <c r="AO160" s="62" t="n"/>
      <c r="AP160" s="62" t="n"/>
      <c r="AQ160" s="62" t="n"/>
      <c r="AR160" s="62" t="n"/>
      <c r="AS160" s="62" t="n"/>
      <c r="AT160" s="62" t="n"/>
      <c r="AU160" s="62" t="n"/>
      <c r="AV160" s="62" t="n"/>
      <c r="AW160" s="62" t="n"/>
      <c r="AX160" s="62" t="n"/>
      <c r="AY160" s="62" t="n"/>
    </row>
    <row r="161">
      <c r="A161" s="38">
        <f>IF(D161="","",COUNTA($D$133:D161))</f>
        <v/>
      </c>
      <c r="B161" s="52" t="n"/>
      <c r="C161" s="73" t="inlineStr">
        <is>
          <t>기타</t>
        </is>
      </c>
      <c r="D161" s="52" t="n"/>
      <c r="E161" s="54" t="n"/>
      <c r="F161" s="52" t="n"/>
      <c r="G161" s="55" t="n"/>
      <c r="H161" s="54" t="n"/>
      <c r="I161" s="54" t="n"/>
      <c r="J161" s="54" t="n"/>
      <c r="K161" s="56">
        <f>IF(SUM(U161:AY161)=0,"",SUM(U161:AY161))</f>
        <v/>
      </c>
      <c r="L161" s="57">
        <f>IFERROR(INDEX(U$2:AY$2,MATCH(TRUE,U161:AY161&lt;&gt;"",0)),"")</f>
        <v/>
      </c>
      <c r="M161" s="58">
        <f>IFERROR(LOOKUP(2,1/(U161:AY161&lt;&gt;""),U$2:AY$2),"")</f>
        <v/>
      </c>
      <c r="N161" s="59">
        <f>IF(OR(G161="",M161=""),"",G161-M161)</f>
        <v/>
      </c>
      <c r="O161" s="60" t="n"/>
      <c r="P161" s="61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  <c r="AG161" s="62" t="n"/>
      <c r="AH161" s="62" t="n"/>
      <c r="AI161" s="62" t="n"/>
      <c r="AJ161" s="62" t="n"/>
      <c r="AK161" s="62" t="n"/>
      <c r="AL161" s="62" t="n"/>
      <c r="AM161" s="62" t="n"/>
      <c r="AN161" s="62" t="n"/>
      <c r="AO161" s="62" t="n"/>
      <c r="AP161" s="62" t="n"/>
      <c r="AQ161" s="62" t="n"/>
      <c r="AR161" s="62" t="n"/>
      <c r="AS161" s="62" t="n"/>
      <c r="AT161" s="62" t="n"/>
      <c r="AU161" s="62" t="n"/>
      <c r="AV161" s="62" t="n"/>
      <c r="AW161" s="62" t="n"/>
      <c r="AX161" s="62" t="n"/>
      <c r="AY161" s="62" t="n"/>
    </row>
    <row r="162">
      <c r="A162" s="38">
        <f>IF(D162="","",COUNTA($D$133:D162))</f>
        <v/>
      </c>
      <c r="B162" s="52" t="n"/>
      <c r="C162" s="73" t="inlineStr">
        <is>
          <t>기타</t>
        </is>
      </c>
      <c r="D162" s="52" t="n"/>
      <c r="E162" s="54" t="n"/>
      <c r="F162" s="52" t="n"/>
      <c r="G162" s="55" t="n"/>
      <c r="H162" s="54" t="n"/>
      <c r="I162" s="54" t="n"/>
      <c r="J162" s="54" t="n"/>
      <c r="K162" s="56">
        <f>IF(SUM(U162:AY162)=0,"",SUM(U162:AY162))</f>
        <v/>
      </c>
      <c r="L162" s="57">
        <f>IFERROR(INDEX(U$2:AY$2,MATCH(TRUE,U162:AY162&lt;&gt;"",0)),"")</f>
        <v/>
      </c>
      <c r="M162" s="58">
        <f>IFERROR(LOOKUP(2,1/(U162:AY162&lt;&gt;""),U$2:AY$2),"")</f>
        <v/>
      </c>
      <c r="N162" s="59">
        <f>IF(OR(G162="",M162=""),"",G162-M162)</f>
        <v/>
      </c>
      <c r="O162" s="60" t="n"/>
      <c r="P162" s="61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  <c r="AG162" s="62" t="n"/>
      <c r="AH162" s="62" t="n"/>
      <c r="AI162" s="62" t="n"/>
      <c r="AJ162" s="62" t="n"/>
      <c r="AK162" s="62" t="n"/>
      <c r="AL162" s="62" t="n"/>
      <c r="AM162" s="62" t="n"/>
      <c r="AN162" s="62" t="n"/>
      <c r="AO162" s="62" t="n"/>
      <c r="AP162" s="62" t="n"/>
      <c r="AQ162" s="62" t="n"/>
      <c r="AR162" s="62" t="n"/>
      <c r="AS162" s="62" t="n"/>
      <c r="AT162" s="62" t="n"/>
      <c r="AU162" s="62" t="n"/>
      <c r="AV162" s="62" t="n"/>
      <c r="AW162" s="62" t="n"/>
      <c r="AX162" s="62" t="n"/>
      <c r="AY162" s="62" t="n"/>
    </row>
    <row r="163">
      <c r="A163" s="74">
        <f>'마스터'!$J$5</f>
        <v/>
      </c>
    </row>
    <row r="164">
      <c r="A164" s="74" t="inlineStr">
        <is>
          <t>공휴일(로컬 미러 - 조건부서식 전용, 편집 불필요)</t>
        </is>
      </c>
    </row>
    <row r="165">
      <c r="A165" s="75">
        <f>'마스터'!$J$13</f>
        <v/>
      </c>
    </row>
    <row r="166">
      <c r="A166" s="75">
        <f>'마스터'!$J$14</f>
        <v/>
      </c>
    </row>
    <row r="167">
      <c r="A167" s="75">
        <f>'마스터'!$J$15</f>
        <v/>
      </c>
    </row>
    <row r="168">
      <c r="A168" s="75">
        <f>'마스터'!$J$16</f>
        <v/>
      </c>
    </row>
    <row r="169">
      <c r="A169" s="75">
        <f>'마스터'!$J$17</f>
        <v/>
      </c>
    </row>
    <row r="170">
      <c r="A170" s="75">
        <f>'마스터'!$J$18</f>
        <v/>
      </c>
    </row>
    <row r="171">
      <c r="A171" s="75">
        <f>'마스터'!$J$19</f>
        <v/>
      </c>
    </row>
    <row r="172">
      <c r="A172" s="75">
        <f>'마스터'!$J$20</f>
        <v/>
      </c>
    </row>
    <row r="173">
      <c r="A173" s="75">
        <f>'마스터'!$J$21</f>
        <v/>
      </c>
    </row>
    <row r="174">
      <c r="A174" s="75">
        <f>'마스터'!$J$22</f>
        <v/>
      </c>
    </row>
    <row r="175">
      <c r="A175" s="75">
        <f>'마스터'!$J$23</f>
        <v/>
      </c>
    </row>
    <row r="176">
      <c r="A176" s="75">
        <f>'마스터'!$J$24</f>
        <v/>
      </c>
    </row>
    <row r="177">
      <c r="A177" s="75">
        <f>'마스터'!$J$25</f>
        <v/>
      </c>
    </row>
    <row r="178">
      <c r="A178" s="75">
        <f>'마스터'!$J$26</f>
        <v/>
      </c>
    </row>
    <row r="179">
      <c r="A179" s="75">
        <f>'마스터'!$J$27</f>
        <v/>
      </c>
    </row>
  </sheetData>
  <mergeCells count="13">
    <mergeCell ref="H1:J1"/>
    <mergeCell ref="K1:P1"/>
    <mergeCell ref="A1:G1"/>
    <mergeCell ref="A132:P132"/>
    <mergeCell ref="A5:F5"/>
    <mergeCell ref="A70:P70"/>
    <mergeCell ref="A8:P8"/>
    <mergeCell ref="U1:AY1"/>
    <mergeCell ref="A6:F6"/>
    <mergeCell ref="A39:P39"/>
    <mergeCell ref="A4:F4"/>
    <mergeCell ref="A101:P101"/>
    <mergeCell ref="A3:F3"/>
  </mergeCells>
  <conditionalFormatting sqref="U3:AY6">
    <cfRule type="expression" priority="1" dxfId="0">
      <formula>U3&gt;$H3</formula>
    </cfRule>
    <cfRule type="expression" priority="2" dxfId="1">
      <formula>AND(U3&gt;0,U3&gt;=$H3*0.8)</formula>
    </cfRule>
  </conditionalFormatting>
  <conditionalFormatting sqref="U3:AY162">
    <cfRule type="expression" priority="3" dxfId="2">
      <formula>OR(WEEKDAY(U$2,2)&gt;5,COUNTIF($A$165:$A$179,U$2)&gt;0)</formula>
    </cfRule>
  </conditionalFormatting>
  <conditionalFormatting sqref="U8:AY162">
    <cfRule type="expression" priority="4" dxfId="3">
      <formula>AND($F8&lt;&gt;"",U8&lt;&gt;"",SUMIF($F$8:$F$162,$F8,U$8:U$162)&gt;$A$163)</formula>
    </cfRule>
    <cfRule type="expression" priority="5" dxfId="4">
      <formula>$E8="기획"</formula>
    </cfRule>
    <cfRule type="expression" priority="6" dxfId="5">
      <formula>$E8="이미지"</formula>
    </cfRule>
    <cfRule type="expression" priority="7" dxfId="6">
      <formula>$E8="영상"</formula>
    </cfRule>
    <cfRule type="expression" priority="8" dxfId="7">
      <formula>AND($E8="기획",U8&lt;&gt;"")</formula>
    </cfRule>
    <cfRule type="expression" priority="9" dxfId="8">
      <formula>AND($E8="이미지",U8&lt;&gt;"")</formula>
    </cfRule>
    <cfRule type="expression" priority="10" dxfId="9">
      <formula>AND($E8="영상",U8&lt;&gt;"")</formula>
    </cfRule>
  </conditionalFormatting>
  <conditionalFormatting sqref="N8:N162">
    <cfRule type="expression" priority="11" dxfId="10">
      <formula>AND(N8&lt;&gt;"",N8&lt;0)</formula>
    </cfRule>
    <cfRule type="expression" priority="12" dxfId="11">
      <formula>AND(N8&lt;&gt;"",N8&gt;=0,N8&lt;=1)</formula>
    </cfRule>
    <cfRule type="expression" priority="13" dxfId="12">
      <formula>AND(N8&lt;&gt;"",N8&gt;1)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E8:E162" showDropDown="0" showInputMessage="0" showErrorMessage="0" allowBlank="1" type="list">
      <formula1>='마스터'!$E$3:$E$5</formula1>
    </dataValidation>
    <dataValidation sqref="O8:O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179"/>
  <sheetViews>
    <sheetView showGridLines="0" workbookViewId="0">
      <pane xSplit="7" ySplit="7" topLeftCell="H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20" customWidth="1" min="4" max="4"/>
    <col width="7" customWidth="1" min="5" max="5"/>
    <col width="9" customWidth="1" min="6" max="6"/>
    <col width="9" customWidth="1" min="7" max="7"/>
    <col width="5" customWidth="1" min="8" max="8"/>
    <col width="5" customWidth="1" min="9" max="9"/>
    <col width="5" customWidth="1" min="10" max="10"/>
    <col width="6" customWidth="1" min="11" max="11"/>
    <col width="8" customWidth="1" min="12" max="12"/>
    <col width="8" customWidth="1" min="13" max="13"/>
    <col width="6" customWidth="1" min="14" max="14"/>
    <col width="7" customWidth="1" min="15" max="15"/>
    <col width="12" customWidth="1" min="16" max="16"/>
    <col width="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</cols>
  <sheetData>
    <row r="1">
      <c r="A1" s="40" t="inlineStr">
        <is>
          <t>8월 업무 정보 (소재명 = 직군별 줄)</t>
        </is>
      </c>
      <c r="H1" s="41" t="inlineStr">
        <is>
          <t>수량 (소재당 1번만)</t>
        </is>
      </c>
      <c r="K1" s="42" t="inlineStr">
        <is>
          <t>집계 / 일정 (자동)</t>
        </is>
      </c>
      <c r="U1" s="14" t="inlineStr">
        <is>
          <t>8월 간트 - 날짜 칸에 MD 직접 입력 (주말+공휴일 회색)  상단 4줄=일자별 직군 TO 상태</t>
        </is>
      </c>
    </row>
    <row r="2">
      <c r="A2" s="43" t="inlineStr">
        <is>
          <t>No</t>
        </is>
      </c>
      <c r="B2" s="43" t="inlineStr">
        <is>
          <t>게임 타이틀명</t>
        </is>
      </c>
      <c r="C2" s="43" t="inlineStr">
        <is>
          <t>고객팀</t>
        </is>
      </c>
      <c r="D2" s="43" t="inlineStr">
        <is>
          <t>소재명(업무명)</t>
        </is>
      </c>
      <c r="E2" s="43" t="inlineStr">
        <is>
          <t>직군</t>
        </is>
      </c>
      <c r="F2" s="43" t="inlineStr">
        <is>
          <t>담당자</t>
        </is>
      </c>
      <c r="G2" s="43" t="inlineStr">
        <is>
          <t>최종완료일
(고객전달)</t>
        </is>
      </c>
      <c r="H2" s="43" t="inlineStr">
        <is>
          <t>영상
수</t>
        </is>
      </c>
      <c r="I2" s="43" t="inlineStr">
        <is>
          <t>사이즈
베리</t>
        </is>
      </c>
      <c r="J2" s="43" t="inlineStr">
        <is>
          <t>다국어
베리</t>
        </is>
      </c>
      <c r="K2" s="43" t="inlineStr">
        <is>
          <t>합계
MD</t>
        </is>
      </c>
      <c r="L2" s="43" t="inlineStr">
        <is>
          <t>시작일
(자동)</t>
        </is>
      </c>
      <c r="M2" s="43" t="inlineStr">
        <is>
          <t>완료일
(자동)</t>
        </is>
      </c>
      <c r="N2" s="43" t="inlineStr">
        <is>
          <t>여유</t>
        </is>
      </c>
      <c r="O2" s="43" t="inlineStr">
        <is>
          <t>상태</t>
        </is>
      </c>
      <c r="P2" s="43" t="inlineStr">
        <is>
          <t>비고</t>
        </is>
      </c>
      <c r="U2" s="44">
        <f>DATE('마스터'!$J$3,8,1)</f>
        <v/>
      </c>
      <c r="V2" s="44">
        <f>U2+1</f>
        <v/>
      </c>
      <c r="W2" s="44">
        <f>V2+1</f>
        <v/>
      </c>
      <c r="X2" s="44">
        <f>W2+1</f>
        <v/>
      </c>
      <c r="Y2" s="44">
        <f>X2+1</f>
        <v/>
      </c>
      <c r="Z2" s="44">
        <f>Y2+1</f>
        <v/>
      </c>
      <c r="AA2" s="44">
        <f>Z2+1</f>
        <v/>
      </c>
      <c r="AB2" s="44">
        <f>AA2+1</f>
        <v/>
      </c>
      <c r="AC2" s="44">
        <f>AB2+1</f>
        <v/>
      </c>
      <c r="AD2" s="44">
        <f>AC2+1</f>
        <v/>
      </c>
      <c r="AE2" s="44">
        <f>AD2+1</f>
        <v/>
      </c>
      <c r="AF2" s="44">
        <f>AE2+1</f>
        <v/>
      </c>
      <c r="AG2" s="44">
        <f>AF2+1</f>
        <v/>
      </c>
      <c r="AH2" s="44">
        <f>AG2+1</f>
        <v/>
      </c>
      <c r="AI2" s="44">
        <f>AH2+1</f>
        <v/>
      </c>
      <c r="AJ2" s="44">
        <f>AI2+1</f>
        <v/>
      </c>
      <c r="AK2" s="44">
        <f>AJ2+1</f>
        <v/>
      </c>
      <c r="AL2" s="44">
        <f>AK2+1</f>
        <v/>
      </c>
      <c r="AM2" s="44">
        <f>AL2+1</f>
        <v/>
      </c>
      <c r="AN2" s="44">
        <f>AM2+1</f>
        <v/>
      </c>
      <c r="AO2" s="44">
        <f>AN2+1</f>
        <v/>
      </c>
      <c r="AP2" s="44">
        <f>AO2+1</f>
        <v/>
      </c>
      <c r="AQ2" s="44">
        <f>AP2+1</f>
        <v/>
      </c>
      <c r="AR2" s="44">
        <f>AQ2+1</f>
        <v/>
      </c>
      <c r="AS2" s="44">
        <f>AR2+1</f>
        <v/>
      </c>
      <c r="AT2" s="44">
        <f>AS2+1</f>
        <v/>
      </c>
      <c r="AU2" s="44">
        <f>AT2+1</f>
        <v/>
      </c>
      <c r="AV2" s="44">
        <f>AU2+1</f>
        <v/>
      </c>
      <c r="AW2" s="44">
        <f>AV2+1</f>
        <v/>
      </c>
      <c r="AX2" s="44">
        <f>AW2+1</f>
        <v/>
      </c>
      <c r="AY2" s="44">
        <f>AX2+1</f>
        <v/>
      </c>
    </row>
    <row r="3">
      <c r="A3" s="45" t="inlineStr">
        <is>
          <t>전체 TO (일자별 부하)</t>
        </is>
      </c>
      <c r="G3" s="46" t="inlineStr">
        <is>
          <t>정원</t>
        </is>
      </c>
      <c r="H3" s="47">
        <f>SUM('마스터'!$J$8:$J$10)</f>
        <v/>
      </c>
      <c r="I3" s="48" t="n"/>
      <c r="J3" s="48" t="n"/>
      <c r="K3" s="48" t="n"/>
      <c r="L3" s="48" t="n"/>
      <c r="M3" s="48" t="n"/>
      <c r="N3" s="48" t="n"/>
      <c r="O3" s="48" t="n"/>
      <c r="P3" s="48" t="n"/>
      <c r="U3" s="49">
        <f>SUM(U$8:U$162)</f>
        <v/>
      </c>
      <c r="V3" s="49">
        <f>SUM(V$8:V$162)</f>
        <v/>
      </c>
      <c r="W3" s="49">
        <f>SUM(W$8:W$162)</f>
        <v/>
      </c>
      <c r="X3" s="49">
        <f>SUM(X$8:X$162)</f>
        <v/>
      </c>
      <c r="Y3" s="49">
        <f>SUM(Y$8:Y$162)</f>
        <v/>
      </c>
      <c r="Z3" s="49">
        <f>SUM(Z$8:Z$162)</f>
        <v/>
      </c>
      <c r="AA3" s="49">
        <f>SUM(AA$8:AA$162)</f>
        <v/>
      </c>
      <c r="AB3" s="49">
        <f>SUM(AB$8:AB$162)</f>
        <v/>
      </c>
      <c r="AC3" s="49">
        <f>SUM(AC$8:AC$162)</f>
        <v/>
      </c>
      <c r="AD3" s="49">
        <f>SUM(AD$8:AD$162)</f>
        <v/>
      </c>
      <c r="AE3" s="49">
        <f>SUM(AE$8:AE$162)</f>
        <v/>
      </c>
      <c r="AF3" s="49">
        <f>SUM(AF$8:AF$162)</f>
        <v/>
      </c>
      <c r="AG3" s="49">
        <f>SUM(AG$8:AG$162)</f>
        <v/>
      </c>
      <c r="AH3" s="49">
        <f>SUM(AH$8:AH$162)</f>
        <v/>
      </c>
      <c r="AI3" s="49">
        <f>SUM(AI$8:AI$162)</f>
        <v/>
      </c>
      <c r="AJ3" s="49">
        <f>SUM(AJ$8:AJ$162)</f>
        <v/>
      </c>
      <c r="AK3" s="49">
        <f>SUM(AK$8:AK$162)</f>
        <v/>
      </c>
      <c r="AL3" s="49">
        <f>SUM(AL$8:AL$162)</f>
        <v/>
      </c>
      <c r="AM3" s="49">
        <f>SUM(AM$8:AM$162)</f>
        <v/>
      </c>
      <c r="AN3" s="49">
        <f>SUM(AN$8:AN$162)</f>
        <v/>
      </c>
      <c r="AO3" s="49">
        <f>SUM(AO$8:AO$162)</f>
        <v/>
      </c>
      <c r="AP3" s="49">
        <f>SUM(AP$8:AP$162)</f>
        <v/>
      </c>
      <c r="AQ3" s="49">
        <f>SUM(AQ$8:AQ$162)</f>
        <v/>
      </c>
      <c r="AR3" s="49">
        <f>SUM(AR$8:AR$162)</f>
        <v/>
      </c>
      <c r="AS3" s="49">
        <f>SUM(AS$8:AS$162)</f>
        <v/>
      </c>
      <c r="AT3" s="49">
        <f>SUM(AT$8:AT$162)</f>
        <v/>
      </c>
      <c r="AU3" s="49">
        <f>SUM(AU$8:AU$162)</f>
        <v/>
      </c>
      <c r="AV3" s="49">
        <f>SUM(AV$8:AV$162)</f>
        <v/>
      </c>
      <c r="AW3" s="49">
        <f>SUM(AW$8:AW$162)</f>
        <v/>
      </c>
      <c r="AX3" s="49">
        <f>SUM(AX$8:AX$162)</f>
        <v/>
      </c>
      <c r="AY3" s="49">
        <f>SUM(AY$8:AY$162)</f>
        <v/>
      </c>
    </row>
    <row r="4">
      <c r="A4" s="45" t="inlineStr">
        <is>
          <t>영상 TO</t>
        </is>
      </c>
      <c r="G4" s="46" t="inlineStr">
        <is>
          <t>정원</t>
        </is>
      </c>
      <c r="H4" s="47">
        <f>'마스터'!$J$8</f>
        <v/>
      </c>
      <c r="I4" s="48" t="n"/>
      <c r="J4" s="48" t="n"/>
      <c r="K4" s="48" t="n"/>
      <c r="L4" s="48" t="n"/>
      <c r="M4" s="48" t="n"/>
      <c r="N4" s="48" t="n"/>
      <c r="O4" s="48" t="n"/>
      <c r="P4" s="48" t="n"/>
      <c r="U4" s="49">
        <f>SUMIF($E$8:$E$162,"영상",U$8:U$162)</f>
        <v/>
      </c>
      <c r="V4" s="49">
        <f>SUMIF($E$8:$E$162,"영상",V$8:V$162)</f>
        <v/>
      </c>
      <c r="W4" s="49">
        <f>SUMIF($E$8:$E$162,"영상",W$8:W$162)</f>
        <v/>
      </c>
      <c r="X4" s="49">
        <f>SUMIF($E$8:$E$162,"영상",X$8:X$162)</f>
        <v/>
      </c>
      <c r="Y4" s="49">
        <f>SUMIF($E$8:$E$162,"영상",Y$8:Y$162)</f>
        <v/>
      </c>
      <c r="Z4" s="49">
        <f>SUMIF($E$8:$E$162,"영상",Z$8:Z$162)</f>
        <v/>
      </c>
      <c r="AA4" s="49">
        <f>SUMIF($E$8:$E$162,"영상",AA$8:AA$162)</f>
        <v/>
      </c>
      <c r="AB4" s="49">
        <f>SUMIF($E$8:$E$162,"영상",AB$8:AB$162)</f>
        <v/>
      </c>
      <c r="AC4" s="49">
        <f>SUMIF($E$8:$E$162,"영상",AC$8:AC$162)</f>
        <v/>
      </c>
      <c r="AD4" s="49">
        <f>SUMIF($E$8:$E$162,"영상",AD$8:AD$162)</f>
        <v/>
      </c>
      <c r="AE4" s="49">
        <f>SUMIF($E$8:$E$162,"영상",AE$8:AE$162)</f>
        <v/>
      </c>
      <c r="AF4" s="49">
        <f>SUMIF($E$8:$E$162,"영상",AF$8:AF$162)</f>
        <v/>
      </c>
      <c r="AG4" s="49">
        <f>SUMIF($E$8:$E$162,"영상",AG$8:AG$162)</f>
        <v/>
      </c>
      <c r="AH4" s="49">
        <f>SUMIF($E$8:$E$162,"영상",AH$8:AH$162)</f>
        <v/>
      </c>
      <c r="AI4" s="49">
        <f>SUMIF($E$8:$E$162,"영상",AI$8:AI$162)</f>
        <v/>
      </c>
      <c r="AJ4" s="49">
        <f>SUMIF($E$8:$E$162,"영상",AJ$8:AJ$162)</f>
        <v/>
      </c>
      <c r="AK4" s="49">
        <f>SUMIF($E$8:$E$162,"영상",AK$8:AK$162)</f>
        <v/>
      </c>
      <c r="AL4" s="49">
        <f>SUMIF($E$8:$E$162,"영상",AL$8:AL$162)</f>
        <v/>
      </c>
      <c r="AM4" s="49">
        <f>SUMIF($E$8:$E$162,"영상",AM$8:AM$162)</f>
        <v/>
      </c>
      <c r="AN4" s="49">
        <f>SUMIF($E$8:$E$162,"영상",AN$8:AN$162)</f>
        <v/>
      </c>
      <c r="AO4" s="49">
        <f>SUMIF($E$8:$E$162,"영상",AO$8:AO$162)</f>
        <v/>
      </c>
      <c r="AP4" s="49">
        <f>SUMIF($E$8:$E$162,"영상",AP$8:AP$162)</f>
        <v/>
      </c>
      <c r="AQ4" s="49">
        <f>SUMIF($E$8:$E$162,"영상",AQ$8:AQ$162)</f>
        <v/>
      </c>
      <c r="AR4" s="49">
        <f>SUMIF($E$8:$E$162,"영상",AR$8:AR$162)</f>
        <v/>
      </c>
      <c r="AS4" s="49">
        <f>SUMIF($E$8:$E$162,"영상",AS$8:AS$162)</f>
        <v/>
      </c>
      <c r="AT4" s="49">
        <f>SUMIF($E$8:$E$162,"영상",AT$8:AT$162)</f>
        <v/>
      </c>
      <c r="AU4" s="49">
        <f>SUMIF($E$8:$E$162,"영상",AU$8:AU$162)</f>
        <v/>
      </c>
      <c r="AV4" s="49">
        <f>SUMIF($E$8:$E$162,"영상",AV$8:AV$162)</f>
        <v/>
      </c>
      <c r="AW4" s="49">
        <f>SUMIF($E$8:$E$162,"영상",AW$8:AW$162)</f>
        <v/>
      </c>
      <c r="AX4" s="49">
        <f>SUMIF($E$8:$E$162,"영상",AX$8:AX$162)</f>
        <v/>
      </c>
      <c r="AY4" s="49">
        <f>SUMIF($E$8:$E$162,"영상",AY$8:AY$162)</f>
        <v/>
      </c>
    </row>
    <row r="5">
      <c r="A5" s="45" t="inlineStr">
        <is>
          <t>이미지 TO</t>
        </is>
      </c>
      <c r="G5" s="46" t="inlineStr">
        <is>
          <t>정원</t>
        </is>
      </c>
      <c r="H5" s="47">
        <f>'마스터'!$J$9</f>
        <v/>
      </c>
      <c r="I5" s="48" t="n"/>
      <c r="J5" s="48" t="n"/>
      <c r="K5" s="48" t="n"/>
      <c r="L5" s="48" t="n"/>
      <c r="M5" s="48" t="n"/>
      <c r="N5" s="48" t="n"/>
      <c r="O5" s="48" t="n"/>
      <c r="P5" s="48" t="n"/>
      <c r="U5" s="49">
        <f>SUMIF($E$8:$E$162,"이미지",U$8:U$162)</f>
        <v/>
      </c>
      <c r="V5" s="49">
        <f>SUMIF($E$8:$E$162,"이미지",V$8:V$162)</f>
        <v/>
      </c>
      <c r="W5" s="49">
        <f>SUMIF($E$8:$E$162,"이미지",W$8:W$162)</f>
        <v/>
      </c>
      <c r="X5" s="49">
        <f>SUMIF($E$8:$E$162,"이미지",X$8:X$162)</f>
        <v/>
      </c>
      <c r="Y5" s="49">
        <f>SUMIF($E$8:$E$162,"이미지",Y$8:Y$162)</f>
        <v/>
      </c>
      <c r="Z5" s="49">
        <f>SUMIF($E$8:$E$162,"이미지",Z$8:Z$162)</f>
        <v/>
      </c>
      <c r="AA5" s="49">
        <f>SUMIF($E$8:$E$162,"이미지",AA$8:AA$162)</f>
        <v/>
      </c>
      <c r="AB5" s="49">
        <f>SUMIF($E$8:$E$162,"이미지",AB$8:AB$162)</f>
        <v/>
      </c>
      <c r="AC5" s="49">
        <f>SUMIF($E$8:$E$162,"이미지",AC$8:AC$162)</f>
        <v/>
      </c>
      <c r="AD5" s="49">
        <f>SUMIF($E$8:$E$162,"이미지",AD$8:AD$162)</f>
        <v/>
      </c>
      <c r="AE5" s="49">
        <f>SUMIF($E$8:$E$162,"이미지",AE$8:AE$162)</f>
        <v/>
      </c>
      <c r="AF5" s="49">
        <f>SUMIF($E$8:$E$162,"이미지",AF$8:AF$162)</f>
        <v/>
      </c>
      <c r="AG5" s="49">
        <f>SUMIF($E$8:$E$162,"이미지",AG$8:AG$162)</f>
        <v/>
      </c>
      <c r="AH5" s="49">
        <f>SUMIF($E$8:$E$162,"이미지",AH$8:AH$162)</f>
        <v/>
      </c>
      <c r="AI5" s="49">
        <f>SUMIF($E$8:$E$162,"이미지",AI$8:AI$162)</f>
        <v/>
      </c>
      <c r="AJ5" s="49">
        <f>SUMIF($E$8:$E$162,"이미지",AJ$8:AJ$162)</f>
        <v/>
      </c>
      <c r="AK5" s="49">
        <f>SUMIF($E$8:$E$162,"이미지",AK$8:AK$162)</f>
        <v/>
      </c>
      <c r="AL5" s="49">
        <f>SUMIF($E$8:$E$162,"이미지",AL$8:AL$162)</f>
        <v/>
      </c>
      <c r="AM5" s="49">
        <f>SUMIF($E$8:$E$162,"이미지",AM$8:AM$162)</f>
        <v/>
      </c>
      <c r="AN5" s="49">
        <f>SUMIF($E$8:$E$162,"이미지",AN$8:AN$162)</f>
        <v/>
      </c>
      <c r="AO5" s="49">
        <f>SUMIF($E$8:$E$162,"이미지",AO$8:AO$162)</f>
        <v/>
      </c>
      <c r="AP5" s="49">
        <f>SUMIF($E$8:$E$162,"이미지",AP$8:AP$162)</f>
        <v/>
      </c>
      <c r="AQ5" s="49">
        <f>SUMIF($E$8:$E$162,"이미지",AQ$8:AQ$162)</f>
        <v/>
      </c>
      <c r="AR5" s="49">
        <f>SUMIF($E$8:$E$162,"이미지",AR$8:AR$162)</f>
        <v/>
      </c>
      <c r="AS5" s="49">
        <f>SUMIF($E$8:$E$162,"이미지",AS$8:AS$162)</f>
        <v/>
      </c>
      <c r="AT5" s="49">
        <f>SUMIF($E$8:$E$162,"이미지",AT$8:AT$162)</f>
        <v/>
      </c>
      <c r="AU5" s="49">
        <f>SUMIF($E$8:$E$162,"이미지",AU$8:AU$162)</f>
        <v/>
      </c>
      <c r="AV5" s="49">
        <f>SUMIF($E$8:$E$162,"이미지",AV$8:AV$162)</f>
        <v/>
      </c>
      <c r="AW5" s="49">
        <f>SUMIF($E$8:$E$162,"이미지",AW$8:AW$162)</f>
        <v/>
      </c>
      <c r="AX5" s="49">
        <f>SUMIF($E$8:$E$162,"이미지",AX$8:AX$162)</f>
        <v/>
      </c>
      <c r="AY5" s="49">
        <f>SUMIF($E$8:$E$162,"이미지",AY$8:AY$162)</f>
        <v/>
      </c>
    </row>
    <row r="6">
      <c r="A6" s="45" t="inlineStr">
        <is>
          <t>기획 TO</t>
        </is>
      </c>
      <c r="G6" s="46" t="inlineStr">
        <is>
          <t>정원</t>
        </is>
      </c>
      <c r="H6" s="47">
        <f>'마스터'!$J$10</f>
        <v/>
      </c>
      <c r="I6" s="48" t="n"/>
      <c r="J6" s="48" t="n"/>
      <c r="K6" s="48" t="n"/>
      <c r="L6" s="48" t="n"/>
      <c r="M6" s="48" t="n"/>
      <c r="N6" s="48" t="n"/>
      <c r="O6" s="48" t="n"/>
      <c r="P6" s="48" t="n"/>
      <c r="U6" s="49">
        <f>SUMIF($E$8:$E$162,"기획",U$8:U$162)</f>
        <v/>
      </c>
      <c r="V6" s="49">
        <f>SUMIF($E$8:$E$162,"기획",V$8:V$162)</f>
        <v/>
      </c>
      <c r="W6" s="49">
        <f>SUMIF($E$8:$E$162,"기획",W$8:W$162)</f>
        <v/>
      </c>
      <c r="X6" s="49">
        <f>SUMIF($E$8:$E$162,"기획",X$8:X$162)</f>
        <v/>
      </c>
      <c r="Y6" s="49">
        <f>SUMIF($E$8:$E$162,"기획",Y$8:Y$162)</f>
        <v/>
      </c>
      <c r="Z6" s="49">
        <f>SUMIF($E$8:$E$162,"기획",Z$8:Z$162)</f>
        <v/>
      </c>
      <c r="AA6" s="49">
        <f>SUMIF($E$8:$E$162,"기획",AA$8:AA$162)</f>
        <v/>
      </c>
      <c r="AB6" s="49">
        <f>SUMIF($E$8:$E$162,"기획",AB$8:AB$162)</f>
        <v/>
      </c>
      <c r="AC6" s="49">
        <f>SUMIF($E$8:$E$162,"기획",AC$8:AC$162)</f>
        <v/>
      </c>
      <c r="AD6" s="49">
        <f>SUMIF($E$8:$E$162,"기획",AD$8:AD$162)</f>
        <v/>
      </c>
      <c r="AE6" s="49">
        <f>SUMIF($E$8:$E$162,"기획",AE$8:AE$162)</f>
        <v/>
      </c>
      <c r="AF6" s="49">
        <f>SUMIF($E$8:$E$162,"기획",AF$8:AF$162)</f>
        <v/>
      </c>
      <c r="AG6" s="49">
        <f>SUMIF($E$8:$E$162,"기획",AG$8:AG$162)</f>
        <v/>
      </c>
      <c r="AH6" s="49">
        <f>SUMIF($E$8:$E$162,"기획",AH$8:AH$162)</f>
        <v/>
      </c>
      <c r="AI6" s="49">
        <f>SUMIF($E$8:$E$162,"기획",AI$8:AI$162)</f>
        <v/>
      </c>
      <c r="AJ6" s="49">
        <f>SUMIF($E$8:$E$162,"기획",AJ$8:AJ$162)</f>
        <v/>
      </c>
      <c r="AK6" s="49">
        <f>SUMIF($E$8:$E$162,"기획",AK$8:AK$162)</f>
        <v/>
      </c>
      <c r="AL6" s="49">
        <f>SUMIF($E$8:$E$162,"기획",AL$8:AL$162)</f>
        <v/>
      </c>
      <c r="AM6" s="49">
        <f>SUMIF($E$8:$E$162,"기획",AM$8:AM$162)</f>
        <v/>
      </c>
      <c r="AN6" s="49">
        <f>SUMIF($E$8:$E$162,"기획",AN$8:AN$162)</f>
        <v/>
      </c>
      <c r="AO6" s="49">
        <f>SUMIF($E$8:$E$162,"기획",AO$8:AO$162)</f>
        <v/>
      </c>
      <c r="AP6" s="49">
        <f>SUMIF($E$8:$E$162,"기획",AP$8:AP$162)</f>
        <v/>
      </c>
      <c r="AQ6" s="49">
        <f>SUMIF($E$8:$E$162,"기획",AQ$8:AQ$162)</f>
        <v/>
      </c>
      <c r="AR6" s="49">
        <f>SUMIF($E$8:$E$162,"기획",AR$8:AR$162)</f>
        <v/>
      </c>
      <c r="AS6" s="49">
        <f>SUMIF($E$8:$E$162,"기획",AS$8:AS$162)</f>
        <v/>
      </c>
      <c r="AT6" s="49">
        <f>SUMIF($E$8:$E$162,"기획",AT$8:AT$162)</f>
        <v/>
      </c>
      <c r="AU6" s="49">
        <f>SUMIF($E$8:$E$162,"기획",AU$8:AU$162)</f>
        <v/>
      </c>
      <c r="AV6" s="49">
        <f>SUMIF($E$8:$E$162,"기획",AV$8:AV$162)</f>
        <v/>
      </c>
      <c r="AW6" s="49">
        <f>SUMIF($E$8:$E$162,"기획",AW$8:AW$162)</f>
        <v/>
      </c>
      <c r="AX6" s="49">
        <f>SUMIF($E$8:$E$162,"기획",AX$8:AX$162)</f>
        <v/>
      </c>
      <c r="AY6" s="49">
        <f>SUMIF($E$8:$E$162,"기획",AY$8:AY$162)</f>
        <v/>
      </c>
    </row>
    <row r="8">
      <c r="A8" s="50" t="inlineStr">
        <is>
          <t>마케팅1팀  (9~38행)</t>
        </is>
      </c>
      <c r="U8" s="51" t="n"/>
      <c r="V8" s="51" t="n"/>
      <c r="W8" s="51" t="n"/>
      <c r="X8" s="51" t="n"/>
      <c r="Y8" s="51" t="n"/>
      <c r="Z8" s="51" t="n"/>
      <c r="AA8" s="51" t="n"/>
      <c r="AB8" s="51" t="n"/>
      <c r="AC8" s="51" t="n"/>
      <c r="AD8" s="51" t="n"/>
      <c r="AE8" s="51" t="n"/>
      <c r="AF8" s="51" t="n"/>
      <c r="AG8" s="51" t="n"/>
      <c r="AH8" s="51" t="n"/>
      <c r="AI8" s="51" t="n"/>
      <c r="AJ8" s="51" t="n"/>
      <c r="AK8" s="51" t="n"/>
      <c r="AL8" s="51" t="n"/>
      <c r="AM8" s="51" t="n"/>
      <c r="AN8" s="51" t="n"/>
      <c r="AO8" s="51" t="n"/>
      <c r="AP8" s="51" t="n"/>
      <c r="AQ8" s="51" t="n"/>
      <c r="AR8" s="51" t="n"/>
      <c r="AS8" s="51" t="n"/>
      <c r="AT8" s="51" t="n"/>
      <c r="AU8" s="51" t="n"/>
      <c r="AV8" s="51" t="n"/>
      <c r="AW8" s="51" t="n"/>
      <c r="AX8" s="51" t="n"/>
      <c r="AY8" s="51" t="n"/>
    </row>
    <row r="9">
      <c r="A9" s="38">
        <f>IF(D9="","",COUNTA($D$9:D9))</f>
        <v/>
      </c>
      <c r="B9" s="52" t="n"/>
      <c r="C9" s="53" t="inlineStr">
        <is>
          <t>마케팅1팀</t>
        </is>
      </c>
      <c r="D9" s="52" t="n"/>
      <c r="E9" s="54" t="n"/>
      <c r="F9" s="52" t="n"/>
      <c r="G9" s="55" t="n"/>
      <c r="H9" s="54" t="n"/>
      <c r="I9" s="54" t="n"/>
      <c r="J9" s="54" t="n"/>
      <c r="K9" s="56">
        <f>IF(SUM(U9:AY9)=0,"",SUM(U9:AY9))</f>
        <v/>
      </c>
      <c r="L9" s="57">
        <f>IFERROR(INDEX(U$2:AY$2,MATCH(TRUE,U9:AY9&lt;&gt;"",0)),"")</f>
        <v/>
      </c>
      <c r="M9" s="58">
        <f>IFERROR(LOOKUP(2,1/(U9:AY9&lt;&gt;""),U$2:AY$2),"")</f>
        <v/>
      </c>
      <c r="N9" s="59">
        <f>IF(OR(G9="",M9=""),"",G9-M9)</f>
        <v/>
      </c>
      <c r="O9" s="60" t="n"/>
      <c r="P9" s="61" t="n"/>
      <c r="U9" s="62" t="n"/>
      <c r="V9" s="62" t="n"/>
      <c r="W9" s="62" t="n"/>
      <c r="X9" s="62" t="n"/>
      <c r="Y9" s="62" t="n"/>
      <c r="Z9" s="62" t="n"/>
      <c r="AA9" s="62" t="n"/>
      <c r="AB9" s="62" t="n"/>
      <c r="AC9" s="62" t="n"/>
      <c r="AD9" s="62" t="n"/>
      <c r="AE9" s="62" t="n"/>
      <c r="AF9" s="62" t="n"/>
      <c r="AG9" s="62" t="n"/>
      <c r="AH9" s="62" t="n"/>
      <c r="AI9" s="62" t="n"/>
      <c r="AJ9" s="62" t="n"/>
      <c r="AK9" s="62" t="n"/>
      <c r="AL9" s="62" t="n"/>
      <c r="AM9" s="62" t="n"/>
      <c r="AN9" s="62" t="n"/>
      <c r="AO9" s="62" t="n"/>
      <c r="AP9" s="62" t="n"/>
      <c r="AQ9" s="62" t="n"/>
      <c r="AR9" s="62" t="n"/>
      <c r="AS9" s="62" t="n"/>
      <c r="AT9" s="62" t="n"/>
      <c r="AU9" s="62" t="n"/>
      <c r="AV9" s="62" t="n"/>
      <c r="AW9" s="62" t="n"/>
      <c r="AX9" s="62" t="n"/>
      <c r="AY9" s="62" t="n"/>
    </row>
    <row r="10">
      <c r="A10" s="38">
        <f>IF(D10="","",COUNTA($D$9:D10))</f>
        <v/>
      </c>
      <c r="B10" s="52" t="n"/>
      <c r="C10" s="53" t="inlineStr">
        <is>
          <t>마케팅1팀</t>
        </is>
      </c>
      <c r="D10" s="52" t="n"/>
      <c r="E10" s="54" t="n"/>
      <c r="F10" s="52" t="n"/>
      <c r="G10" s="55" t="n"/>
      <c r="H10" s="54" t="n"/>
      <c r="I10" s="54" t="n"/>
      <c r="J10" s="54" t="n"/>
      <c r="K10" s="56">
        <f>IF(SUM(U10:AY10)=0,"",SUM(U10:AY10))</f>
        <v/>
      </c>
      <c r="L10" s="57">
        <f>IFERROR(INDEX(U$2:AY$2,MATCH(TRUE,U10:AY10&lt;&gt;"",0)),"")</f>
        <v/>
      </c>
      <c r="M10" s="58">
        <f>IFERROR(LOOKUP(2,1/(U10:AY10&lt;&gt;""),U$2:AY$2),"")</f>
        <v/>
      </c>
      <c r="N10" s="59">
        <f>IF(OR(G10="",M10=""),"",G10-M10)</f>
        <v/>
      </c>
      <c r="O10" s="60" t="n"/>
      <c r="P10" s="61" t="n"/>
      <c r="U10" s="62" t="n"/>
      <c r="V10" s="62" t="n"/>
      <c r="W10" s="62" t="n"/>
      <c r="X10" s="62" t="n"/>
      <c r="Y10" s="62" t="n"/>
      <c r="Z10" s="62" t="n"/>
      <c r="AA10" s="62" t="n"/>
      <c r="AB10" s="62" t="n"/>
      <c r="AC10" s="62" t="n"/>
      <c r="AD10" s="62" t="n"/>
      <c r="AE10" s="62" t="n"/>
      <c r="AF10" s="62" t="n"/>
      <c r="AG10" s="62" t="n"/>
      <c r="AH10" s="62" t="n"/>
      <c r="AI10" s="62" t="n"/>
      <c r="AJ10" s="62" t="n"/>
      <c r="AK10" s="62" t="n"/>
      <c r="AL10" s="62" t="n"/>
      <c r="AM10" s="62" t="n"/>
      <c r="AN10" s="62" t="n"/>
      <c r="AO10" s="62" t="n"/>
      <c r="AP10" s="62" t="n"/>
      <c r="AQ10" s="62" t="n"/>
      <c r="AR10" s="62" t="n"/>
      <c r="AS10" s="62" t="n"/>
      <c r="AT10" s="62" t="n"/>
      <c r="AU10" s="62" t="n"/>
      <c r="AV10" s="62" t="n"/>
      <c r="AW10" s="62" t="n"/>
      <c r="AX10" s="62" t="n"/>
      <c r="AY10" s="62" t="n"/>
    </row>
    <row r="11">
      <c r="A11" s="38">
        <f>IF(D11="","",COUNTA($D$9:D11))</f>
        <v/>
      </c>
      <c r="B11" s="52" t="n"/>
      <c r="C11" s="53" t="inlineStr">
        <is>
          <t>마케팅1팀</t>
        </is>
      </c>
      <c r="D11" s="52" t="n"/>
      <c r="E11" s="54" t="n"/>
      <c r="F11" s="52" t="n"/>
      <c r="G11" s="55" t="n"/>
      <c r="H11" s="54" t="n"/>
      <c r="I11" s="54" t="n"/>
      <c r="J11" s="54" t="n"/>
      <c r="K11" s="56">
        <f>IF(SUM(U11:AY11)=0,"",SUM(U11:AY11))</f>
        <v/>
      </c>
      <c r="L11" s="57">
        <f>IFERROR(INDEX(U$2:AY$2,MATCH(TRUE,U11:AY11&lt;&gt;"",0)),"")</f>
        <v/>
      </c>
      <c r="M11" s="58">
        <f>IFERROR(LOOKUP(2,1/(U11:AY11&lt;&gt;""),U$2:AY$2),"")</f>
        <v/>
      </c>
      <c r="N11" s="59">
        <f>IF(OR(G11="",M11=""),"",G11-M11)</f>
        <v/>
      </c>
      <c r="O11" s="60" t="n"/>
      <c r="P11" s="61" t="n"/>
      <c r="U11" s="62" t="n"/>
      <c r="V11" s="62" t="n"/>
      <c r="W11" s="62" t="n"/>
      <c r="X11" s="62" t="n"/>
      <c r="Y11" s="62" t="n"/>
      <c r="Z11" s="62" t="n"/>
      <c r="AA11" s="62" t="n"/>
      <c r="AB11" s="62" t="n"/>
      <c r="AC11" s="62" t="n"/>
      <c r="AD11" s="62" t="n"/>
      <c r="AE11" s="62" t="n"/>
      <c r="AF11" s="62" t="n"/>
      <c r="AG11" s="62" t="n"/>
      <c r="AH11" s="62" t="n"/>
      <c r="AI11" s="62" t="n"/>
      <c r="AJ11" s="62" t="n"/>
      <c r="AK11" s="62" t="n"/>
      <c r="AL11" s="62" t="n"/>
      <c r="AM11" s="62" t="n"/>
      <c r="AN11" s="62" t="n"/>
      <c r="AO11" s="62" t="n"/>
      <c r="AP11" s="62" t="n"/>
      <c r="AQ11" s="62" t="n"/>
      <c r="AR11" s="62" t="n"/>
      <c r="AS11" s="62" t="n"/>
      <c r="AT11" s="62" t="n"/>
      <c r="AU11" s="62" t="n"/>
      <c r="AV11" s="62" t="n"/>
      <c r="AW11" s="62" t="n"/>
      <c r="AX11" s="62" t="n"/>
      <c r="AY11" s="62" t="n"/>
    </row>
    <row r="12">
      <c r="A12" s="38">
        <f>IF(D12="","",COUNTA($D$9:D12))</f>
        <v/>
      </c>
      <c r="B12" s="52" t="n"/>
      <c r="C12" s="53" t="inlineStr">
        <is>
          <t>마케팅1팀</t>
        </is>
      </c>
      <c r="D12" s="52" t="n"/>
      <c r="E12" s="54" t="n"/>
      <c r="F12" s="52" t="n"/>
      <c r="G12" s="55" t="n"/>
      <c r="H12" s="54" t="n"/>
      <c r="I12" s="54" t="n"/>
      <c r="J12" s="54" t="n"/>
      <c r="K12" s="56">
        <f>IF(SUM(U12:AY12)=0,"",SUM(U12:AY12))</f>
        <v/>
      </c>
      <c r="L12" s="57">
        <f>IFERROR(INDEX(U$2:AY$2,MATCH(TRUE,U12:AY12&lt;&gt;"",0)),"")</f>
        <v/>
      </c>
      <c r="M12" s="58">
        <f>IFERROR(LOOKUP(2,1/(U12:AY12&lt;&gt;""),U$2:AY$2),"")</f>
        <v/>
      </c>
      <c r="N12" s="59">
        <f>IF(OR(G12="",M12=""),"",G12-M12)</f>
        <v/>
      </c>
      <c r="O12" s="60" t="n"/>
      <c r="P12" s="61" t="n"/>
      <c r="U12" s="62" t="n"/>
      <c r="V12" s="62" t="n"/>
      <c r="W12" s="62" t="n"/>
      <c r="X12" s="62" t="n"/>
      <c r="Y12" s="62" t="n"/>
      <c r="Z12" s="62" t="n"/>
      <c r="AA12" s="62" t="n"/>
      <c r="AB12" s="62" t="n"/>
      <c r="AC12" s="62" t="n"/>
      <c r="AD12" s="62" t="n"/>
      <c r="AE12" s="62" t="n"/>
      <c r="AF12" s="62" t="n"/>
      <c r="AG12" s="62" t="n"/>
      <c r="AH12" s="62" t="n"/>
      <c r="AI12" s="62" t="n"/>
      <c r="AJ12" s="62" t="n"/>
      <c r="AK12" s="62" t="n"/>
      <c r="AL12" s="62" t="n"/>
      <c r="AM12" s="62" t="n"/>
      <c r="AN12" s="62" t="n"/>
      <c r="AO12" s="62" t="n"/>
      <c r="AP12" s="62" t="n"/>
      <c r="AQ12" s="62" t="n"/>
      <c r="AR12" s="62" t="n"/>
      <c r="AS12" s="62" t="n"/>
      <c r="AT12" s="62" t="n"/>
      <c r="AU12" s="62" t="n"/>
      <c r="AV12" s="62" t="n"/>
      <c r="AW12" s="62" t="n"/>
      <c r="AX12" s="62" t="n"/>
      <c r="AY12" s="62" t="n"/>
    </row>
    <row r="13">
      <c r="A13" s="38">
        <f>IF(D13="","",COUNTA($D$9:D13))</f>
        <v/>
      </c>
      <c r="B13" s="52" t="n"/>
      <c r="C13" s="53" t="inlineStr">
        <is>
          <t>마케팅1팀</t>
        </is>
      </c>
      <c r="D13" s="52" t="n"/>
      <c r="E13" s="54" t="n"/>
      <c r="F13" s="52" t="n"/>
      <c r="G13" s="55" t="n"/>
      <c r="H13" s="54" t="n"/>
      <c r="I13" s="54" t="n"/>
      <c r="J13" s="54" t="n"/>
      <c r="K13" s="56">
        <f>IF(SUM(U13:AY13)=0,"",SUM(U13:AY13))</f>
        <v/>
      </c>
      <c r="L13" s="57">
        <f>IFERROR(INDEX(U$2:AY$2,MATCH(TRUE,U13:AY13&lt;&gt;"",0)),"")</f>
        <v/>
      </c>
      <c r="M13" s="58">
        <f>IFERROR(LOOKUP(2,1/(U13:AY13&lt;&gt;""),U$2:AY$2),"")</f>
        <v/>
      </c>
      <c r="N13" s="59">
        <f>IF(OR(G13="",M13=""),"",G13-M13)</f>
        <v/>
      </c>
      <c r="O13" s="60" t="n"/>
      <c r="P13" s="61" t="n"/>
      <c r="U13" s="62" t="n"/>
      <c r="V13" s="62" t="n"/>
      <c r="W13" s="62" t="n"/>
      <c r="X13" s="62" t="n"/>
      <c r="Y13" s="62" t="n"/>
      <c r="Z13" s="62" t="n"/>
      <c r="AA13" s="62" t="n"/>
      <c r="AB13" s="62" t="n"/>
      <c r="AC13" s="62" t="n"/>
      <c r="AD13" s="62" t="n"/>
      <c r="AE13" s="62" t="n"/>
      <c r="AF13" s="62" t="n"/>
      <c r="AG13" s="62" t="n"/>
      <c r="AH13" s="62" t="n"/>
      <c r="AI13" s="62" t="n"/>
      <c r="AJ13" s="62" t="n"/>
      <c r="AK13" s="62" t="n"/>
      <c r="AL13" s="62" t="n"/>
      <c r="AM13" s="62" t="n"/>
      <c r="AN13" s="62" t="n"/>
      <c r="AO13" s="62" t="n"/>
      <c r="AP13" s="62" t="n"/>
      <c r="AQ13" s="62" t="n"/>
      <c r="AR13" s="62" t="n"/>
      <c r="AS13" s="62" t="n"/>
      <c r="AT13" s="62" t="n"/>
      <c r="AU13" s="62" t="n"/>
      <c r="AV13" s="62" t="n"/>
      <c r="AW13" s="62" t="n"/>
      <c r="AX13" s="62" t="n"/>
      <c r="AY13" s="62" t="n"/>
    </row>
    <row r="14">
      <c r="A14" s="38">
        <f>IF(D14="","",COUNTA($D$9:D14))</f>
        <v/>
      </c>
      <c r="B14" s="52" t="n"/>
      <c r="C14" s="53" t="inlineStr">
        <is>
          <t>마케팅1팀</t>
        </is>
      </c>
      <c r="D14" s="52" t="n"/>
      <c r="E14" s="54" t="n"/>
      <c r="F14" s="52" t="n"/>
      <c r="G14" s="55" t="n"/>
      <c r="H14" s="54" t="n"/>
      <c r="I14" s="54" t="n"/>
      <c r="J14" s="54" t="n"/>
      <c r="K14" s="56">
        <f>IF(SUM(U14:AY14)=0,"",SUM(U14:AY14))</f>
        <v/>
      </c>
      <c r="L14" s="57">
        <f>IFERROR(INDEX(U$2:AY$2,MATCH(TRUE,U14:AY14&lt;&gt;"",0)),"")</f>
        <v/>
      </c>
      <c r="M14" s="58">
        <f>IFERROR(LOOKUP(2,1/(U14:AY14&lt;&gt;""),U$2:AY$2),"")</f>
        <v/>
      </c>
      <c r="N14" s="59">
        <f>IF(OR(G14="",M14=""),"",G14-M14)</f>
        <v/>
      </c>
      <c r="O14" s="60" t="n"/>
      <c r="P14" s="61" t="n"/>
      <c r="U14" s="62" t="n"/>
      <c r="V14" s="62" t="n"/>
      <c r="W14" s="62" t="n"/>
      <c r="X14" s="62" t="n"/>
      <c r="Y14" s="62" t="n"/>
      <c r="Z14" s="62" t="n"/>
      <c r="AA14" s="62" t="n"/>
      <c r="AB14" s="62" t="n"/>
      <c r="AC14" s="62" t="n"/>
      <c r="AD14" s="62" t="n"/>
      <c r="AE14" s="62" t="n"/>
      <c r="AF14" s="62" t="n"/>
      <c r="AG14" s="62" t="n"/>
      <c r="AH14" s="62" t="n"/>
      <c r="AI14" s="62" t="n"/>
      <c r="AJ14" s="62" t="n"/>
      <c r="AK14" s="62" t="n"/>
      <c r="AL14" s="62" t="n"/>
      <c r="AM14" s="62" t="n"/>
      <c r="AN14" s="62" t="n"/>
      <c r="AO14" s="62" t="n"/>
      <c r="AP14" s="62" t="n"/>
      <c r="AQ14" s="62" t="n"/>
      <c r="AR14" s="62" t="n"/>
      <c r="AS14" s="62" t="n"/>
      <c r="AT14" s="62" t="n"/>
      <c r="AU14" s="62" t="n"/>
      <c r="AV14" s="62" t="n"/>
      <c r="AW14" s="62" t="n"/>
      <c r="AX14" s="62" t="n"/>
      <c r="AY14" s="62" t="n"/>
    </row>
    <row r="15">
      <c r="A15" s="38">
        <f>IF(D15="","",COUNTA($D$9:D15))</f>
        <v/>
      </c>
      <c r="B15" s="52" t="n"/>
      <c r="C15" s="53" t="inlineStr">
        <is>
          <t>마케팅1팀</t>
        </is>
      </c>
      <c r="D15" s="52" t="n"/>
      <c r="E15" s="54" t="n"/>
      <c r="F15" s="52" t="n"/>
      <c r="G15" s="55" t="n"/>
      <c r="H15" s="54" t="n"/>
      <c r="I15" s="54" t="n"/>
      <c r="J15" s="54" t="n"/>
      <c r="K15" s="56">
        <f>IF(SUM(U15:AY15)=0,"",SUM(U15:AY15))</f>
        <v/>
      </c>
      <c r="L15" s="57">
        <f>IFERROR(INDEX(U$2:AY$2,MATCH(TRUE,U15:AY15&lt;&gt;"",0)),"")</f>
        <v/>
      </c>
      <c r="M15" s="58">
        <f>IFERROR(LOOKUP(2,1/(U15:AY15&lt;&gt;""),U$2:AY$2),"")</f>
        <v/>
      </c>
      <c r="N15" s="59">
        <f>IF(OR(G15="",M15=""),"",G15-M15)</f>
        <v/>
      </c>
      <c r="O15" s="60" t="n"/>
      <c r="P15" s="61" t="n"/>
      <c r="U15" s="62" t="n"/>
      <c r="V15" s="62" t="n"/>
      <c r="W15" s="62" t="n"/>
      <c r="X15" s="62" t="n"/>
      <c r="Y15" s="62" t="n"/>
      <c r="Z15" s="62" t="n"/>
      <c r="AA15" s="62" t="n"/>
      <c r="AB15" s="62" t="n"/>
      <c r="AC15" s="62" t="n"/>
      <c r="AD15" s="62" t="n"/>
      <c r="AE15" s="62" t="n"/>
      <c r="AF15" s="62" t="n"/>
      <c r="AG15" s="62" t="n"/>
      <c r="AH15" s="62" t="n"/>
      <c r="AI15" s="62" t="n"/>
      <c r="AJ15" s="62" t="n"/>
      <c r="AK15" s="62" t="n"/>
      <c r="AL15" s="62" t="n"/>
      <c r="AM15" s="62" t="n"/>
      <c r="AN15" s="62" t="n"/>
      <c r="AO15" s="62" t="n"/>
      <c r="AP15" s="62" t="n"/>
      <c r="AQ15" s="62" t="n"/>
      <c r="AR15" s="62" t="n"/>
      <c r="AS15" s="62" t="n"/>
      <c r="AT15" s="62" t="n"/>
      <c r="AU15" s="62" t="n"/>
      <c r="AV15" s="62" t="n"/>
      <c r="AW15" s="62" t="n"/>
      <c r="AX15" s="62" t="n"/>
      <c r="AY15" s="62" t="n"/>
    </row>
    <row r="16">
      <c r="A16" s="38">
        <f>IF(D16="","",COUNTA($D$9:D16))</f>
        <v/>
      </c>
      <c r="B16" s="52" t="n"/>
      <c r="C16" s="53" t="inlineStr">
        <is>
          <t>마케팅1팀</t>
        </is>
      </c>
      <c r="D16" s="52" t="n"/>
      <c r="E16" s="54" t="n"/>
      <c r="F16" s="52" t="n"/>
      <c r="G16" s="55" t="n"/>
      <c r="H16" s="54" t="n"/>
      <c r="I16" s="54" t="n"/>
      <c r="J16" s="54" t="n"/>
      <c r="K16" s="56">
        <f>IF(SUM(U16:AY16)=0,"",SUM(U16:AY16))</f>
        <v/>
      </c>
      <c r="L16" s="57">
        <f>IFERROR(INDEX(U$2:AY$2,MATCH(TRUE,U16:AY16&lt;&gt;"",0)),"")</f>
        <v/>
      </c>
      <c r="M16" s="58">
        <f>IFERROR(LOOKUP(2,1/(U16:AY16&lt;&gt;""),U$2:AY$2),"")</f>
        <v/>
      </c>
      <c r="N16" s="59">
        <f>IF(OR(G16="",M16=""),"",G16-M16)</f>
        <v/>
      </c>
      <c r="O16" s="60" t="n"/>
      <c r="P16" s="61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  <c r="AG16" s="62" t="n"/>
      <c r="AH16" s="62" t="n"/>
      <c r="AI16" s="62" t="n"/>
      <c r="AJ16" s="62" t="n"/>
      <c r="AK16" s="62" t="n"/>
      <c r="AL16" s="62" t="n"/>
      <c r="AM16" s="62" t="n"/>
      <c r="AN16" s="62" t="n"/>
      <c r="AO16" s="62" t="n"/>
      <c r="AP16" s="62" t="n"/>
      <c r="AQ16" s="62" t="n"/>
      <c r="AR16" s="62" t="n"/>
      <c r="AS16" s="62" t="n"/>
      <c r="AT16" s="62" t="n"/>
      <c r="AU16" s="62" t="n"/>
      <c r="AV16" s="62" t="n"/>
      <c r="AW16" s="62" t="n"/>
      <c r="AX16" s="62" t="n"/>
      <c r="AY16" s="62" t="n"/>
    </row>
    <row r="17">
      <c r="A17" s="38">
        <f>IF(D17="","",COUNTA($D$9:D17))</f>
        <v/>
      </c>
      <c r="B17" s="52" t="n"/>
      <c r="C17" s="53" t="inlineStr">
        <is>
          <t>마케팅1팀</t>
        </is>
      </c>
      <c r="D17" s="52" t="n"/>
      <c r="E17" s="54" t="n"/>
      <c r="F17" s="52" t="n"/>
      <c r="G17" s="55" t="n"/>
      <c r="H17" s="54" t="n"/>
      <c r="I17" s="54" t="n"/>
      <c r="J17" s="54" t="n"/>
      <c r="K17" s="56">
        <f>IF(SUM(U17:AY17)=0,"",SUM(U17:AY17))</f>
        <v/>
      </c>
      <c r="L17" s="57">
        <f>IFERROR(INDEX(U$2:AY$2,MATCH(TRUE,U17:AY17&lt;&gt;"",0)),"")</f>
        <v/>
      </c>
      <c r="M17" s="58">
        <f>IFERROR(LOOKUP(2,1/(U17:AY17&lt;&gt;""),U$2:AY$2),"")</f>
        <v/>
      </c>
      <c r="N17" s="59">
        <f>IF(OR(G17="",M17=""),"",G17-M17)</f>
        <v/>
      </c>
      <c r="O17" s="60" t="n"/>
      <c r="P17" s="61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  <c r="AG17" s="62" t="n"/>
      <c r="AH17" s="62" t="n"/>
      <c r="AI17" s="62" t="n"/>
      <c r="AJ17" s="62" t="n"/>
      <c r="AK17" s="62" t="n"/>
      <c r="AL17" s="62" t="n"/>
      <c r="AM17" s="62" t="n"/>
      <c r="AN17" s="62" t="n"/>
      <c r="AO17" s="62" t="n"/>
      <c r="AP17" s="62" t="n"/>
      <c r="AQ17" s="62" t="n"/>
      <c r="AR17" s="62" t="n"/>
      <c r="AS17" s="62" t="n"/>
      <c r="AT17" s="62" t="n"/>
      <c r="AU17" s="62" t="n"/>
      <c r="AV17" s="62" t="n"/>
      <c r="AW17" s="62" t="n"/>
      <c r="AX17" s="62" t="n"/>
      <c r="AY17" s="62" t="n"/>
    </row>
    <row r="18">
      <c r="A18" s="38">
        <f>IF(D18="","",COUNTA($D$9:D18))</f>
        <v/>
      </c>
      <c r="B18" s="52" t="n"/>
      <c r="C18" s="53" t="inlineStr">
        <is>
          <t>마케팅1팀</t>
        </is>
      </c>
      <c r="D18" s="52" t="n"/>
      <c r="E18" s="54" t="n"/>
      <c r="F18" s="52" t="n"/>
      <c r="G18" s="55" t="n"/>
      <c r="H18" s="54" t="n"/>
      <c r="I18" s="54" t="n"/>
      <c r="J18" s="54" t="n"/>
      <c r="K18" s="56">
        <f>IF(SUM(U18:AY18)=0,"",SUM(U18:AY18))</f>
        <v/>
      </c>
      <c r="L18" s="57">
        <f>IFERROR(INDEX(U$2:AY$2,MATCH(TRUE,U18:AY18&lt;&gt;"",0)),"")</f>
        <v/>
      </c>
      <c r="M18" s="58">
        <f>IFERROR(LOOKUP(2,1/(U18:AY18&lt;&gt;""),U$2:AY$2),"")</f>
        <v/>
      </c>
      <c r="N18" s="59">
        <f>IF(OR(G18="",M18=""),"",G18-M18)</f>
        <v/>
      </c>
      <c r="O18" s="60" t="n"/>
      <c r="P18" s="61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  <c r="AG18" s="62" t="n"/>
      <c r="AH18" s="62" t="n"/>
      <c r="AI18" s="62" t="n"/>
      <c r="AJ18" s="62" t="n"/>
      <c r="AK18" s="62" t="n"/>
      <c r="AL18" s="62" t="n"/>
      <c r="AM18" s="62" t="n"/>
      <c r="AN18" s="62" t="n"/>
      <c r="AO18" s="62" t="n"/>
      <c r="AP18" s="62" t="n"/>
      <c r="AQ18" s="62" t="n"/>
      <c r="AR18" s="62" t="n"/>
      <c r="AS18" s="62" t="n"/>
      <c r="AT18" s="62" t="n"/>
      <c r="AU18" s="62" t="n"/>
      <c r="AV18" s="62" t="n"/>
      <c r="AW18" s="62" t="n"/>
      <c r="AX18" s="62" t="n"/>
      <c r="AY18" s="62" t="n"/>
    </row>
    <row r="19">
      <c r="A19" s="38">
        <f>IF(D19="","",COUNTA($D$9:D19))</f>
        <v/>
      </c>
      <c r="B19" s="52" t="n"/>
      <c r="C19" s="53" t="inlineStr">
        <is>
          <t>마케팅1팀</t>
        </is>
      </c>
      <c r="D19" s="52" t="n"/>
      <c r="E19" s="54" t="n"/>
      <c r="F19" s="52" t="n"/>
      <c r="G19" s="55" t="n"/>
      <c r="H19" s="54" t="n"/>
      <c r="I19" s="54" t="n"/>
      <c r="J19" s="54" t="n"/>
      <c r="K19" s="56">
        <f>IF(SUM(U19:AY19)=0,"",SUM(U19:AY19))</f>
        <v/>
      </c>
      <c r="L19" s="57">
        <f>IFERROR(INDEX(U$2:AY$2,MATCH(TRUE,U19:AY19&lt;&gt;"",0)),"")</f>
        <v/>
      </c>
      <c r="M19" s="58">
        <f>IFERROR(LOOKUP(2,1/(U19:AY19&lt;&gt;""),U$2:AY$2),"")</f>
        <v/>
      </c>
      <c r="N19" s="59">
        <f>IF(OR(G19="",M19=""),"",G19-M19)</f>
        <v/>
      </c>
      <c r="O19" s="60" t="n"/>
      <c r="P19" s="61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  <c r="AG19" s="62" t="n"/>
      <c r="AH19" s="62" t="n"/>
      <c r="AI19" s="62" t="n"/>
      <c r="AJ19" s="62" t="n"/>
      <c r="AK19" s="62" t="n"/>
      <c r="AL19" s="62" t="n"/>
      <c r="AM19" s="62" t="n"/>
      <c r="AN19" s="62" t="n"/>
      <c r="AO19" s="62" t="n"/>
      <c r="AP19" s="62" t="n"/>
      <c r="AQ19" s="62" t="n"/>
      <c r="AR19" s="62" t="n"/>
      <c r="AS19" s="62" t="n"/>
      <c r="AT19" s="62" t="n"/>
      <c r="AU19" s="62" t="n"/>
      <c r="AV19" s="62" t="n"/>
      <c r="AW19" s="62" t="n"/>
      <c r="AX19" s="62" t="n"/>
      <c r="AY19" s="62" t="n"/>
    </row>
    <row r="20">
      <c r="A20" s="38">
        <f>IF(D20="","",COUNTA($D$9:D20))</f>
        <v/>
      </c>
      <c r="B20" s="52" t="n"/>
      <c r="C20" s="53" t="inlineStr">
        <is>
          <t>마케팅1팀</t>
        </is>
      </c>
      <c r="D20" s="52" t="n"/>
      <c r="E20" s="54" t="n"/>
      <c r="F20" s="52" t="n"/>
      <c r="G20" s="55" t="n"/>
      <c r="H20" s="54" t="n"/>
      <c r="I20" s="54" t="n"/>
      <c r="J20" s="54" t="n"/>
      <c r="K20" s="56">
        <f>IF(SUM(U20:AY20)=0,"",SUM(U20:AY20))</f>
        <v/>
      </c>
      <c r="L20" s="57">
        <f>IFERROR(INDEX(U$2:AY$2,MATCH(TRUE,U20:AY20&lt;&gt;"",0)),"")</f>
        <v/>
      </c>
      <c r="M20" s="58">
        <f>IFERROR(LOOKUP(2,1/(U20:AY20&lt;&gt;""),U$2:AY$2),"")</f>
        <v/>
      </c>
      <c r="N20" s="59">
        <f>IF(OR(G20="",M20=""),"",G20-M20)</f>
        <v/>
      </c>
      <c r="O20" s="60" t="n"/>
      <c r="P20" s="61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  <c r="AG20" s="62" t="n"/>
      <c r="AH20" s="62" t="n"/>
      <c r="AI20" s="62" t="n"/>
      <c r="AJ20" s="62" t="n"/>
      <c r="AK20" s="62" t="n"/>
      <c r="AL20" s="62" t="n"/>
      <c r="AM20" s="62" t="n"/>
      <c r="AN20" s="62" t="n"/>
      <c r="AO20" s="62" t="n"/>
      <c r="AP20" s="62" t="n"/>
      <c r="AQ20" s="62" t="n"/>
      <c r="AR20" s="62" t="n"/>
      <c r="AS20" s="62" t="n"/>
      <c r="AT20" s="62" t="n"/>
      <c r="AU20" s="62" t="n"/>
      <c r="AV20" s="62" t="n"/>
      <c r="AW20" s="62" t="n"/>
      <c r="AX20" s="62" t="n"/>
      <c r="AY20" s="62" t="n"/>
    </row>
    <row r="21">
      <c r="A21" s="38">
        <f>IF(D21="","",COUNTA($D$9:D21))</f>
        <v/>
      </c>
      <c r="B21" s="52" t="n"/>
      <c r="C21" s="53" t="inlineStr">
        <is>
          <t>마케팅1팀</t>
        </is>
      </c>
      <c r="D21" s="52" t="n"/>
      <c r="E21" s="54" t="n"/>
      <c r="F21" s="52" t="n"/>
      <c r="G21" s="55" t="n"/>
      <c r="H21" s="54" t="n"/>
      <c r="I21" s="54" t="n"/>
      <c r="J21" s="54" t="n"/>
      <c r="K21" s="56">
        <f>IF(SUM(U21:AY21)=0,"",SUM(U21:AY21))</f>
        <v/>
      </c>
      <c r="L21" s="57">
        <f>IFERROR(INDEX(U$2:AY$2,MATCH(TRUE,U21:AY21&lt;&gt;"",0)),"")</f>
        <v/>
      </c>
      <c r="M21" s="58">
        <f>IFERROR(LOOKUP(2,1/(U21:AY21&lt;&gt;""),U$2:AY$2),"")</f>
        <v/>
      </c>
      <c r="N21" s="59">
        <f>IF(OR(G21="",M21=""),"",G21-M21)</f>
        <v/>
      </c>
      <c r="O21" s="60" t="n"/>
      <c r="P21" s="61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  <c r="AG21" s="62" t="n"/>
      <c r="AH21" s="62" t="n"/>
      <c r="AI21" s="62" t="n"/>
      <c r="AJ21" s="62" t="n"/>
      <c r="AK21" s="62" t="n"/>
      <c r="AL21" s="62" t="n"/>
      <c r="AM21" s="62" t="n"/>
      <c r="AN21" s="62" t="n"/>
      <c r="AO21" s="62" t="n"/>
      <c r="AP21" s="62" t="n"/>
      <c r="AQ21" s="62" t="n"/>
      <c r="AR21" s="62" t="n"/>
      <c r="AS21" s="62" t="n"/>
      <c r="AT21" s="62" t="n"/>
      <c r="AU21" s="62" t="n"/>
      <c r="AV21" s="62" t="n"/>
      <c r="AW21" s="62" t="n"/>
      <c r="AX21" s="62" t="n"/>
      <c r="AY21" s="62" t="n"/>
    </row>
    <row r="22">
      <c r="A22" s="38">
        <f>IF(D22="","",COUNTA($D$9:D22))</f>
        <v/>
      </c>
      <c r="B22" s="52" t="n"/>
      <c r="C22" s="53" t="inlineStr">
        <is>
          <t>마케팅1팀</t>
        </is>
      </c>
      <c r="D22" s="52" t="n"/>
      <c r="E22" s="54" t="n"/>
      <c r="F22" s="52" t="n"/>
      <c r="G22" s="55" t="n"/>
      <c r="H22" s="54" t="n"/>
      <c r="I22" s="54" t="n"/>
      <c r="J22" s="54" t="n"/>
      <c r="K22" s="56">
        <f>IF(SUM(U22:AY22)=0,"",SUM(U22:AY22))</f>
        <v/>
      </c>
      <c r="L22" s="57">
        <f>IFERROR(INDEX(U$2:AY$2,MATCH(TRUE,U22:AY22&lt;&gt;"",0)),"")</f>
        <v/>
      </c>
      <c r="M22" s="58">
        <f>IFERROR(LOOKUP(2,1/(U22:AY22&lt;&gt;""),U$2:AY$2),"")</f>
        <v/>
      </c>
      <c r="N22" s="59">
        <f>IF(OR(G22="",M22=""),"",G22-M22)</f>
        <v/>
      </c>
      <c r="O22" s="60" t="n"/>
      <c r="P22" s="61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  <c r="AG22" s="62" t="n"/>
      <c r="AH22" s="62" t="n"/>
      <c r="AI22" s="62" t="n"/>
      <c r="AJ22" s="62" t="n"/>
      <c r="AK22" s="62" t="n"/>
      <c r="AL22" s="62" t="n"/>
      <c r="AM22" s="62" t="n"/>
      <c r="AN22" s="62" t="n"/>
      <c r="AO22" s="62" t="n"/>
      <c r="AP22" s="62" t="n"/>
      <c r="AQ22" s="62" t="n"/>
      <c r="AR22" s="62" t="n"/>
      <c r="AS22" s="62" t="n"/>
      <c r="AT22" s="62" t="n"/>
      <c r="AU22" s="62" t="n"/>
      <c r="AV22" s="62" t="n"/>
      <c r="AW22" s="62" t="n"/>
      <c r="AX22" s="62" t="n"/>
      <c r="AY22" s="62" t="n"/>
    </row>
    <row r="23">
      <c r="A23" s="38">
        <f>IF(D23="","",COUNTA($D$9:D23))</f>
        <v/>
      </c>
      <c r="B23" s="52" t="n"/>
      <c r="C23" s="53" t="inlineStr">
        <is>
          <t>마케팅1팀</t>
        </is>
      </c>
      <c r="D23" s="52" t="n"/>
      <c r="E23" s="54" t="n"/>
      <c r="F23" s="52" t="n"/>
      <c r="G23" s="55" t="n"/>
      <c r="H23" s="54" t="n"/>
      <c r="I23" s="54" t="n"/>
      <c r="J23" s="54" t="n"/>
      <c r="K23" s="56">
        <f>IF(SUM(U23:AY23)=0,"",SUM(U23:AY23))</f>
        <v/>
      </c>
      <c r="L23" s="57">
        <f>IFERROR(INDEX(U$2:AY$2,MATCH(TRUE,U23:AY23&lt;&gt;"",0)),"")</f>
        <v/>
      </c>
      <c r="M23" s="58">
        <f>IFERROR(LOOKUP(2,1/(U23:AY23&lt;&gt;""),U$2:AY$2),"")</f>
        <v/>
      </c>
      <c r="N23" s="59">
        <f>IF(OR(G23="",M23=""),"",G23-M23)</f>
        <v/>
      </c>
      <c r="O23" s="60" t="n"/>
      <c r="P23" s="61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  <c r="AG23" s="62" t="n"/>
      <c r="AH23" s="62" t="n"/>
      <c r="AI23" s="62" t="n"/>
      <c r="AJ23" s="62" t="n"/>
      <c r="AK23" s="62" t="n"/>
      <c r="AL23" s="62" t="n"/>
      <c r="AM23" s="62" t="n"/>
      <c r="AN23" s="62" t="n"/>
      <c r="AO23" s="62" t="n"/>
      <c r="AP23" s="62" t="n"/>
      <c r="AQ23" s="62" t="n"/>
      <c r="AR23" s="62" t="n"/>
      <c r="AS23" s="62" t="n"/>
      <c r="AT23" s="62" t="n"/>
      <c r="AU23" s="62" t="n"/>
      <c r="AV23" s="62" t="n"/>
      <c r="AW23" s="62" t="n"/>
      <c r="AX23" s="62" t="n"/>
      <c r="AY23" s="62" t="n"/>
    </row>
    <row r="24">
      <c r="A24" s="38">
        <f>IF(D24="","",COUNTA($D$9:D24))</f>
        <v/>
      </c>
      <c r="B24" s="52" t="n"/>
      <c r="C24" s="53" t="inlineStr">
        <is>
          <t>마케팅1팀</t>
        </is>
      </c>
      <c r="D24" s="52" t="n"/>
      <c r="E24" s="54" t="n"/>
      <c r="F24" s="52" t="n"/>
      <c r="G24" s="55" t="n"/>
      <c r="H24" s="54" t="n"/>
      <c r="I24" s="54" t="n"/>
      <c r="J24" s="54" t="n"/>
      <c r="K24" s="56">
        <f>IF(SUM(U24:AY24)=0,"",SUM(U24:AY24))</f>
        <v/>
      </c>
      <c r="L24" s="57">
        <f>IFERROR(INDEX(U$2:AY$2,MATCH(TRUE,U24:AY24&lt;&gt;"",0)),"")</f>
        <v/>
      </c>
      <c r="M24" s="58">
        <f>IFERROR(LOOKUP(2,1/(U24:AY24&lt;&gt;""),U$2:AY$2),"")</f>
        <v/>
      </c>
      <c r="N24" s="59">
        <f>IF(OR(G24="",M24=""),"",G24-M24)</f>
        <v/>
      </c>
      <c r="O24" s="60" t="n"/>
      <c r="P24" s="61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  <c r="AG24" s="62" t="n"/>
      <c r="AH24" s="62" t="n"/>
      <c r="AI24" s="62" t="n"/>
      <c r="AJ24" s="62" t="n"/>
      <c r="AK24" s="62" t="n"/>
      <c r="AL24" s="62" t="n"/>
      <c r="AM24" s="62" t="n"/>
      <c r="AN24" s="62" t="n"/>
      <c r="AO24" s="62" t="n"/>
      <c r="AP24" s="62" t="n"/>
      <c r="AQ24" s="62" t="n"/>
      <c r="AR24" s="62" t="n"/>
      <c r="AS24" s="62" t="n"/>
      <c r="AT24" s="62" t="n"/>
      <c r="AU24" s="62" t="n"/>
      <c r="AV24" s="62" t="n"/>
      <c r="AW24" s="62" t="n"/>
      <c r="AX24" s="62" t="n"/>
      <c r="AY24" s="62" t="n"/>
    </row>
    <row r="25">
      <c r="A25" s="38">
        <f>IF(D25="","",COUNTA($D$9:D25))</f>
        <v/>
      </c>
      <c r="B25" s="52" t="n"/>
      <c r="C25" s="53" t="inlineStr">
        <is>
          <t>마케팅1팀</t>
        </is>
      </c>
      <c r="D25" s="52" t="n"/>
      <c r="E25" s="54" t="n"/>
      <c r="F25" s="52" t="n"/>
      <c r="G25" s="55" t="n"/>
      <c r="H25" s="54" t="n"/>
      <c r="I25" s="54" t="n"/>
      <c r="J25" s="54" t="n"/>
      <c r="K25" s="56">
        <f>IF(SUM(U25:AY25)=0,"",SUM(U25:AY25))</f>
        <v/>
      </c>
      <c r="L25" s="57">
        <f>IFERROR(INDEX(U$2:AY$2,MATCH(TRUE,U25:AY25&lt;&gt;"",0)),"")</f>
        <v/>
      </c>
      <c r="M25" s="58">
        <f>IFERROR(LOOKUP(2,1/(U25:AY25&lt;&gt;""),U$2:AY$2),"")</f>
        <v/>
      </c>
      <c r="N25" s="59">
        <f>IF(OR(G25="",M25=""),"",G25-M25)</f>
        <v/>
      </c>
      <c r="O25" s="60" t="n"/>
      <c r="P25" s="61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  <c r="AG25" s="62" t="n"/>
      <c r="AH25" s="62" t="n"/>
      <c r="AI25" s="62" t="n"/>
      <c r="AJ25" s="62" t="n"/>
      <c r="AK25" s="62" t="n"/>
      <c r="AL25" s="62" t="n"/>
      <c r="AM25" s="62" t="n"/>
      <c r="AN25" s="62" t="n"/>
      <c r="AO25" s="62" t="n"/>
      <c r="AP25" s="62" t="n"/>
      <c r="AQ25" s="62" t="n"/>
      <c r="AR25" s="62" t="n"/>
      <c r="AS25" s="62" t="n"/>
      <c r="AT25" s="62" t="n"/>
      <c r="AU25" s="62" t="n"/>
      <c r="AV25" s="62" t="n"/>
      <c r="AW25" s="62" t="n"/>
      <c r="AX25" s="62" t="n"/>
      <c r="AY25" s="62" t="n"/>
    </row>
    <row r="26">
      <c r="A26" s="38">
        <f>IF(D26="","",COUNTA($D$9:D26))</f>
        <v/>
      </c>
      <c r="B26" s="52" t="n"/>
      <c r="C26" s="53" t="inlineStr">
        <is>
          <t>마케팅1팀</t>
        </is>
      </c>
      <c r="D26" s="52" t="n"/>
      <c r="E26" s="54" t="n"/>
      <c r="F26" s="52" t="n"/>
      <c r="G26" s="55" t="n"/>
      <c r="H26" s="54" t="n"/>
      <c r="I26" s="54" t="n"/>
      <c r="J26" s="54" t="n"/>
      <c r="K26" s="56">
        <f>IF(SUM(U26:AY26)=0,"",SUM(U26:AY26))</f>
        <v/>
      </c>
      <c r="L26" s="57">
        <f>IFERROR(INDEX(U$2:AY$2,MATCH(TRUE,U26:AY26&lt;&gt;"",0)),"")</f>
        <v/>
      </c>
      <c r="M26" s="58">
        <f>IFERROR(LOOKUP(2,1/(U26:AY26&lt;&gt;""),U$2:AY$2),"")</f>
        <v/>
      </c>
      <c r="N26" s="59">
        <f>IF(OR(G26="",M26=""),"",G26-M26)</f>
        <v/>
      </c>
      <c r="O26" s="60" t="n"/>
      <c r="P26" s="61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  <c r="AG26" s="62" t="n"/>
      <c r="AH26" s="62" t="n"/>
      <c r="AI26" s="62" t="n"/>
      <c r="AJ26" s="62" t="n"/>
      <c r="AK26" s="62" t="n"/>
      <c r="AL26" s="62" t="n"/>
      <c r="AM26" s="62" t="n"/>
      <c r="AN26" s="62" t="n"/>
      <c r="AO26" s="62" t="n"/>
      <c r="AP26" s="62" t="n"/>
      <c r="AQ26" s="62" t="n"/>
      <c r="AR26" s="62" t="n"/>
      <c r="AS26" s="62" t="n"/>
      <c r="AT26" s="62" t="n"/>
      <c r="AU26" s="62" t="n"/>
      <c r="AV26" s="62" t="n"/>
      <c r="AW26" s="62" t="n"/>
      <c r="AX26" s="62" t="n"/>
      <c r="AY26" s="62" t="n"/>
    </row>
    <row r="27">
      <c r="A27" s="38">
        <f>IF(D27="","",COUNTA($D$9:D27))</f>
        <v/>
      </c>
      <c r="B27" s="52" t="n"/>
      <c r="C27" s="53" t="inlineStr">
        <is>
          <t>마케팅1팀</t>
        </is>
      </c>
      <c r="D27" s="52" t="n"/>
      <c r="E27" s="54" t="n"/>
      <c r="F27" s="52" t="n"/>
      <c r="G27" s="55" t="n"/>
      <c r="H27" s="54" t="n"/>
      <c r="I27" s="54" t="n"/>
      <c r="J27" s="54" t="n"/>
      <c r="K27" s="56">
        <f>IF(SUM(U27:AY27)=0,"",SUM(U27:AY27))</f>
        <v/>
      </c>
      <c r="L27" s="57">
        <f>IFERROR(INDEX(U$2:AY$2,MATCH(TRUE,U27:AY27&lt;&gt;"",0)),"")</f>
        <v/>
      </c>
      <c r="M27" s="58">
        <f>IFERROR(LOOKUP(2,1/(U27:AY27&lt;&gt;""),U$2:AY$2),"")</f>
        <v/>
      </c>
      <c r="N27" s="59">
        <f>IF(OR(G27="",M27=""),"",G27-M27)</f>
        <v/>
      </c>
      <c r="O27" s="60" t="n"/>
      <c r="P27" s="61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  <c r="AG27" s="62" t="n"/>
      <c r="AH27" s="62" t="n"/>
      <c r="AI27" s="62" t="n"/>
      <c r="AJ27" s="62" t="n"/>
      <c r="AK27" s="62" t="n"/>
      <c r="AL27" s="62" t="n"/>
      <c r="AM27" s="62" t="n"/>
      <c r="AN27" s="62" t="n"/>
      <c r="AO27" s="62" t="n"/>
      <c r="AP27" s="62" t="n"/>
      <c r="AQ27" s="62" t="n"/>
      <c r="AR27" s="62" t="n"/>
      <c r="AS27" s="62" t="n"/>
      <c r="AT27" s="62" t="n"/>
      <c r="AU27" s="62" t="n"/>
      <c r="AV27" s="62" t="n"/>
      <c r="AW27" s="62" t="n"/>
      <c r="AX27" s="62" t="n"/>
      <c r="AY27" s="62" t="n"/>
    </row>
    <row r="28">
      <c r="A28" s="38">
        <f>IF(D28="","",COUNTA($D$9:D28))</f>
        <v/>
      </c>
      <c r="B28" s="52" t="n"/>
      <c r="C28" s="53" t="inlineStr">
        <is>
          <t>마케팅1팀</t>
        </is>
      </c>
      <c r="D28" s="52" t="n"/>
      <c r="E28" s="54" t="n"/>
      <c r="F28" s="52" t="n"/>
      <c r="G28" s="55" t="n"/>
      <c r="H28" s="54" t="n"/>
      <c r="I28" s="54" t="n"/>
      <c r="J28" s="54" t="n"/>
      <c r="K28" s="56">
        <f>IF(SUM(U28:AY28)=0,"",SUM(U28:AY28))</f>
        <v/>
      </c>
      <c r="L28" s="57">
        <f>IFERROR(INDEX(U$2:AY$2,MATCH(TRUE,U28:AY28&lt;&gt;"",0)),"")</f>
        <v/>
      </c>
      <c r="M28" s="58">
        <f>IFERROR(LOOKUP(2,1/(U28:AY28&lt;&gt;""),U$2:AY$2),"")</f>
        <v/>
      </c>
      <c r="N28" s="59">
        <f>IF(OR(G28="",M28=""),"",G28-M28)</f>
        <v/>
      </c>
      <c r="O28" s="60" t="n"/>
      <c r="P28" s="61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  <c r="AG28" s="62" t="n"/>
      <c r="AH28" s="62" t="n"/>
      <c r="AI28" s="62" t="n"/>
      <c r="AJ28" s="62" t="n"/>
      <c r="AK28" s="62" t="n"/>
      <c r="AL28" s="62" t="n"/>
      <c r="AM28" s="62" t="n"/>
      <c r="AN28" s="62" t="n"/>
      <c r="AO28" s="62" t="n"/>
      <c r="AP28" s="62" t="n"/>
      <c r="AQ28" s="62" t="n"/>
      <c r="AR28" s="62" t="n"/>
      <c r="AS28" s="62" t="n"/>
      <c r="AT28" s="62" t="n"/>
      <c r="AU28" s="62" t="n"/>
      <c r="AV28" s="62" t="n"/>
      <c r="AW28" s="62" t="n"/>
      <c r="AX28" s="62" t="n"/>
      <c r="AY28" s="62" t="n"/>
    </row>
    <row r="29">
      <c r="A29" s="38">
        <f>IF(D29="","",COUNTA($D$9:D29))</f>
        <v/>
      </c>
      <c r="B29" s="52" t="n"/>
      <c r="C29" s="53" t="inlineStr">
        <is>
          <t>마케팅1팀</t>
        </is>
      </c>
      <c r="D29" s="52" t="n"/>
      <c r="E29" s="54" t="n"/>
      <c r="F29" s="52" t="n"/>
      <c r="G29" s="55" t="n"/>
      <c r="H29" s="54" t="n"/>
      <c r="I29" s="54" t="n"/>
      <c r="J29" s="54" t="n"/>
      <c r="K29" s="56">
        <f>IF(SUM(U29:AY29)=0,"",SUM(U29:AY29))</f>
        <v/>
      </c>
      <c r="L29" s="57">
        <f>IFERROR(INDEX(U$2:AY$2,MATCH(TRUE,U29:AY29&lt;&gt;"",0)),"")</f>
        <v/>
      </c>
      <c r="M29" s="58">
        <f>IFERROR(LOOKUP(2,1/(U29:AY29&lt;&gt;""),U$2:AY$2),"")</f>
        <v/>
      </c>
      <c r="N29" s="59">
        <f>IF(OR(G29="",M29=""),"",G29-M29)</f>
        <v/>
      </c>
      <c r="O29" s="60" t="n"/>
      <c r="P29" s="61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  <c r="AG29" s="62" t="n"/>
      <c r="AH29" s="62" t="n"/>
      <c r="AI29" s="62" t="n"/>
      <c r="AJ29" s="62" t="n"/>
      <c r="AK29" s="62" t="n"/>
      <c r="AL29" s="62" t="n"/>
      <c r="AM29" s="62" t="n"/>
      <c r="AN29" s="62" t="n"/>
      <c r="AO29" s="62" t="n"/>
      <c r="AP29" s="62" t="n"/>
      <c r="AQ29" s="62" t="n"/>
      <c r="AR29" s="62" t="n"/>
      <c r="AS29" s="62" t="n"/>
      <c r="AT29" s="62" t="n"/>
      <c r="AU29" s="62" t="n"/>
      <c r="AV29" s="62" t="n"/>
      <c r="AW29" s="62" t="n"/>
      <c r="AX29" s="62" t="n"/>
      <c r="AY29" s="62" t="n"/>
    </row>
    <row r="30">
      <c r="A30" s="38">
        <f>IF(D30="","",COUNTA($D$9:D30))</f>
        <v/>
      </c>
      <c r="B30" s="52" t="n"/>
      <c r="C30" s="53" t="inlineStr">
        <is>
          <t>마케팅1팀</t>
        </is>
      </c>
      <c r="D30" s="52" t="n"/>
      <c r="E30" s="54" t="n"/>
      <c r="F30" s="52" t="n"/>
      <c r="G30" s="55" t="n"/>
      <c r="H30" s="54" t="n"/>
      <c r="I30" s="54" t="n"/>
      <c r="J30" s="54" t="n"/>
      <c r="K30" s="56">
        <f>IF(SUM(U30:AY30)=0,"",SUM(U30:AY30))</f>
        <v/>
      </c>
      <c r="L30" s="57">
        <f>IFERROR(INDEX(U$2:AY$2,MATCH(TRUE,U30:AY30&lt;&gt;"",0)),"")</f>
        <v/>
      </c>
      <c r="M30" s="58">
        <f>IFERROR(LOOKUP(2,1/(U30:AY30&lt;&gt;""),U$2:AY$2),"")</f>
        <v/>
      </c>
      <c r="N30" s="59">
        <f>IF(OR(G30="",M30=""),"",G30-M30)</f>
        <v/>
      </c>
      <c r="O30" s="60" t="n"/>
      <c r="P30" s="61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  <c r="AG30" s="62" t="n"/>
      <c r="AH30" s="62" t="n"/>
      <c r="AI30" s="62" t="n"/>
      <c r="AJ30" s="62" t="n"/>
      <c r="AK30" s="62" t="n"/>
      <c r="AL30" s="62" t="n"/>
      <c r="AM30" s="62" t="n"/>
      <c r="AN30" s="62" t="n"/>
      <c r="AO30" s="62" t="n"/>
      <c r="AP30" s="62" t="n"/>
      <c r="AQ30" s="62" t="n"/>
      <c r="AR30" s="62" t="n"/>
      <c r="AS30" s="62" t="n"/>
      <c r="AT30" s="62" t="n"/>
      <c r="AU30" s="62" t="n"/>
      <c r="AV30" s="62" t="n"/>
      <c r="AW30" s="62" t="n"/>
      <c r="AX30" s="62" t="n"/>
      <c r="AY30" s="62" t="n"/>
    </row>
    <row r="31">
      <c r="A31" s="38">
        <f>IF(D31="","",COUNTA($D$9:D31))</f>
        <v/>
      </c>
      <c r="B31" s="52" t="n"/>
      <c r="C31" s="53" t="inlineStr">
        <is>
          <t>마케팅1팀</t>
        </is>
      </c>
      <c r="D31" s="52" t="n"/>
      <c r="E31" s="54" t="n"/>
      <c r="F31" s="52" t="n"/>
      <c r="G31" s="55" t="n"/>
      <c r="H31" s="54" t="n"/>
      <c r="I31" s="54" t="n"/>
      <c r="J31" s="54" t="n"/>
      <c r="K31" s="56">
        <f>IF(SUM(U31:AY31)=0,"",SUM(U31:AY31))</f>
        <v/>
      </c>
      <c r="L31" s="57">
        <f>IFERROR(INDEX(U$2:AY$2,MATCH(TRUE,U31:AY31&lt;&gt;"",0)),"")</f>
        <v/>
      </c>
      <c r="M31" s="58">
        <f>IFERROR(LOOKUP(2,1/(U31:AY31&lt;&gt;""),U$2:AY$2),"")</f>
        <v/>
      </c>
      <c r="N31" s="59">
        <f>IF(OR(G31="",M31=""),"",G31-M31)</f>
        <v/>
      </c>
      <c r="O31" s="60" t="n"/>
      <c r="P31" s="61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  <c r="AG31" s="62" t="n"/>
      <c r="AH31" s="62" t="n"/>
      <c r="AI31" s="62" t="n"/>
      <c r="AJ31" s="62" t="n"/>
      <c r="AK31" s="62" t="n"/>
      <c r="AL31" s="62" t="n"/>
      <c r="AM31" s="62" t="n"/>
      <c r="AN31" s="62" t="n"/>
      <c r="AO31" s="62" t="n"/>
      <c r="AP31" s="62" t="n"/>
      <c r="AQ31" s="62" t="n"/>
      <c r="AR31" s="62" t="n"/>
      <c r="AS31" s="62" t="n"/>
      <c r="AT31" s="62" t="n"/>
      <c r="AU31" s="62" t="n"/>
      <c r="AV31" s="62" t="n"/>
      <c r="AW31" s="62" t="n"/>
      <c r="AX31" s="62" t="n"/>
      <c r="AY31" s="62" t="n"/>
    </row>
    <row r="32">
      <c r="A32" s="38">
        <f>IF(D32="","",COUNTA($D$9:D32))</f>
        <v/>
      </c>
      <c r="B32" s="52" t="n"/>
      <c r="C32" s="53" t="inlineStr">
        <is>
          <t>마케팅1팀</t>
        </is>
      </c>
      <c r="D32" s="52" t="n"/>
      <c r="E32" s="54" t="n"/>
      <c r="F32" s="52" t="n"/>
      <c r="G32" s="55" t="n"/>
      <c r="H32" s="54" t="n"/>
      <c r="I32" s="54" t="n"/>
      <c r="J32" s="54" t="n"/>
      <c r="K32" s="56">
        <f>IF(SUM(U32:AY32)=0,"",SUM(U32:AY32))</f>
        <v/>
      </c>
      <c r="L32" s="57">
        <f>IFERROR(INDEX(U$2:AY$2,MATCH(TRUE,U32:AY32&lt;&gt;"",0)),"")</f>
        <v/>
      </c>
      <c r="M32" s="58">
        <f>IFERROR(LOOKUP(2,1/(U32:AY32&lt;&gt;""),U$2:AY$2),"")</f>
        <v/>
      </c>
      <c r="N32" s="59">
        <f>IF(OR(G32="",M32=""),"",G32-M32)</f>
        <v/>
      </c>
      <c r="O32" s="60" t="n"/>
      <c r="P32" s="61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  <c r="AG32" s="62" t="n"/>
      <c r="AH32" s="62" t="n"/>
      <c r="AI32" s="62" t="n"/>
      <c r="AJ32" s="62" t="n"/>
      <c r="AK32" s="62" t="n"/>
      <c r="AL32" s="62" t="n"/>
      <c r="AM32" s="62" t="n"/>
      <c r="AN32" s="62" t="n"/>
      <c r="AO32" s="62" t="n"/>
      <c r="AP32" s="62" t="n"/>
      <c r="AQ32" s="62" t="n"/>
      <c r="AR32" s="62" t="n"/>
      <c r="AS32" s="62" t="n"/>
      <c r="AT32" s="62" t="n"/>
      <c r="AU32" s="62" t="n"/>
      <c r="AV32" s="62" t="n"/>
      <c r="AW32" s="62" t="n"/>
      <c r="AX32" s="62" t="n"/>
      <c r="AY32" s="62" t="n"/>
    </row>
    <row r="33">
      <c r="A33" s="38">
        <f>IF(D33="","",COUNTA($D$9:D33))</f>
        <v/>
      </c>
      <c r="B33" s="52" t="n"/>
      <c r="C33" s="53" t="inlineStr">
        <is>
          <t>마케팅1팀</t>
        </is>
      </c>
      <c r="D33" s="52" t="n"/>
      <c r="E33" s="54" t="n"/>
      <c r="F33" s="52" t="n"/>
      <c r="G33" s="55" t="n"/>
      <c r="H33" s="54" t="n"/>
      <c r="I33" s="54" t="n"/>
      <c r="J33" s="54" t="n"/>
      <c r="K33" s="56">
        <f>IF(SUM(U33:AY33)=0,"",SUM(U33:AY33))</f>
        <v/>
      </c>
      <c r="L33" s="57">
        <f>IFERROR(INDEX(U$2:AY$2,MATCH(TRUE,U33:AY33&lt;&gt;"",0)),"")</f>
        <v/>
      </c>
      <c r="M33" s="58">
        <f>IFERROR(LOOKUP(2,1/(U33:AY33&lt;&gt;""),U$2:AY$2),"")</f>
        <v/>
      </c>
      <c r="N33" s="59">
        <f>IF(OR(G33="",M33=""),"",G33-M33)</f>
        <v/>
      </c>
      <c r="O33" s="60" t="n"/>
      <c r="P33" s="61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  <c r="AG33" s="62" t="n"/>
      <c r="AH33" s="62" t="n"/>
      <c r="AI33" s="62" t="n"/>
      <c r="AJ33" s="62" t="n"/>
      <c r="AK33" s="62" t="n"/>
      <c r="AL33" s="62" t="n"/>
      <c r="AM33" s="62" t="n"/>
      <c r="AN33" s="62" t="n"/>
      <c r="AO33" s="62" t="n"/>
      <c r="AP33" s="62" t="n"/>
      <c r="AQ33" s="62" t="n"/>
      <c r="AR33" s="62" t="n"/>
      <c r="AS33" s="62" t="n"/>
      <c r="AT33" s="62" t="n"/>
      <c r="AU33" s="62" t="n"/>
      <c r="AV33" s="62" t="n"/>
      <c r="AW33" s="62" t="n"/>
      <c r="AX33" s="62" t="n"/>
      <c r="AY33" s="62" t="n"/>
    </row>
    <row r="34">
      <c r="A34" s="38">
        <f>IF(D34="","",COUNTA($D$9:D34))</f>
        <v/>
      </c>
      <c r="B34" s="52" t="n"/>
      <c r="C34" s="53" t="inlineStr">
        <is>
          <t>마케팅1팀</t>
        </is>
      </c>
      <c r="D34" s="52" t="n"/>
      <c r="E34" s="54" t="n"/>
      <c r="F34" s="52" t="n"/>
      <c r="G34" s="55" t="n"/>
      <c r="H34" s="54" t="n"/>
      <c r="I34" s="54" t="n"/>
      <c r="J34" s="54" t="n"/>
      <c r="K34" s="56">
        <f>IF(SUM(U34:AY34)=0,"",SUM(U34:AY34))</f>
        <v/>
      </c>
      <c r="L34" s="57">
        <f>IFERROR(INDEX(U$2:AY$2,MATCH(TRUE,U34:AY34&lt;&gt;"",0)),"")</f>
        <v/>
      </c>
      <c r="M34" s="58">
        <f>IFERROR(LOOKUP(2,1/(U34:AY34&lt;&gt;""),U$2:AY$2),"")</f>
        <v/>
      </c>
      <c r="N34" s="59">
        <f>IF(OR(G34="",M34=""),"",G34-M34)</f>
        <v/>
      </c>
      <c r="O34" s="60" t="n"/>
      <c r="P34" s="61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  <c r="AG34" s="62" t="n"/>
      <c r="AH34" s="62" t="n"/>
      <c r="AI34" s="62" t="n"/>
      <c r="AJ34" s="62" t="n"/>
      <c r="AK34" s="62" t="n"/>
      <c r="AL34" s="62" t="n"/>
      <c r="AM34" s="62" t="n"/>
      <c r="AN34" s="62" t="n"/>
      <c r="AO34" s="62" t="n"/>
      <c r="AP34" s="62" t="n"/>
      <c r="AQ34" s="62" t="n"/>
      <c r="AR34" s="62" t="n"/>
      <c r="AS34" s="62" t="n"/>
      <c r="AT34" s="62" t="n"/>
      <c r="AU34" s="62" t="n"/>
      <c r="AV34" s="62" t="n"/>
      <c r="AW34" s="62" t="n"/>
      <c r="AX34" s="62" t="n"/>
      <c r="AY34" s="62" t="n"/>
    </row>
    <row r="35">
      <c r="A35" s="38">
        <f>IF(D35="","",COUNTA($D$9:D35))</f>
        <v/>
      </c>
      <c r="B35" s="52" t="n"/>
      <c r="C35" s="53" t="inlineStr">
        <is>
          <t>마케팅1팀</t>
        </is>
      </c>
      <c r="D35" s="52" t="n"/>
      <c r="E35" s="54" t="n"/>
      <c r="F35" s="52" t="n"/>
      <c r="G35" s="55" t="n"/>
      <c r="H35" s="54" t="n"/>
      <c r="I35" s="54" t="n"/>
      <c r="J35" s="54" t="n"/>
      <c r="K35" s="56">
        <f>IF(SUM(U35:AY35)=0,"",SUM(U35:AY35))</f>
        <v/>
      </c>
      <c r="L35" s="57">
        <f>IFERROR(INDEX(U$2:AY$2,MATCH(TRUE,U35:AY35&lt;&gt;"",0)),"")</f>
        <v/>
      </c>
      <c r="M35" s="58">
        <f>IFERROR(LOOKUP(2,1/(U35:AY35&lt;&gt;""),U$2:AY$2),"")</f>
        <v/>
      </c>
      <c r="N35" s="59">
        <f>IF(OR(G35="",M35=""),"",G35-M35)</f>
        <v/>
      </c>
      <c r="O35" s="60" t="n"/>
      <c r="P35" s="61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  <c r="AG35" s="62" t="n"/>
      <c r="AH35" s="62" t="n"/>
      <c r="AI35" s="62" t="n"/>
      <c r="AJ35" s="62" t="n"/>
      <c r="AK35" s="62" t="n"/>
      <c r="AL35" s="62" t="n"/>
      <c r="AM35" s="62" t="n"/>
      <c r="AN35" s="62" t="n"/>
      <c r="AO35" s="62" t="n"/>
      <c r="AP35" s="62" t="n"/>
      <c r="AQ35" s="62" t="n"/>
      <c r="AR35" s="62" t="n"/>
      <c r="AS35" s="62" t="n"/>
      <c r="AT35" s="62" t="n"/>
      <c r="AU35" s="62" t="n"/>
      <c r="AV35" s="62" t="n"/>
      <c r="AW35" s="62" t="n"/>
      <c r="AX35" s="62" t="n"/>
      <c r="AY35" s="62" t="n"/>
    </row>
    <row r="36">
      <c r="A36" s="38">
        <f>IF(D36="","",COUNTA($D$9:D36))</f>
        <v/>
      </c>
      <c r="B36" s="52" t="n"/>
      <c r="C36" s="53" t="inlineStr">
        <is>
          <t>마케팅1팀</t>
        </is>
      </c>
      <c r="D36" s="52" t="n"/>
      <c r="E36" s="54" t="n"/>
      <c r="F36" s="52" t="n"/>
      <c r="G36" s="55" t="n"/>
      <c r="H36" s="54" t="n"/>
      <c r="I36" s="54" t="n"/>
      <c r="J36" s="54" t="n"/>
      <c r="K36" s="56">
        <f>IF(SUM(U36:AY36)=0,"",SUM(U36:AY36))</f>
        <v/>
      </c>
      <c r="L36" s="57">
        <f>IFERROR(INDEX(U$2:AY$2,MATCH(TRUE,U36:AY36&lt;&gt;"",0)),"")</f>
        <v/>
      </c>
      <c r="M36" s="58">
        <f>IFERROR(LOOKUP(2,1/(U36:AY36&lt;&gt;""),U$2:AY$2),"")</f>
        <v/>
      </c>
      <c r="N36" s="59">
        <f>IF(OR(G36="",M36=""),"",G36-M36)</f>
        <v/>
      </c>
      <c r="O36" s="60" t="n"/>
      <c r="P36" s="61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  <c r="AG36" s="62" t="n"/>
      <c r="AH36" s="62" t="n"/>
      <c r="AI36" s="62" t="n"/>
      <c r="AJ36" s="62" t="n"/>
      <c r="AK36" s="62" t="n"/>
      <c r="AL36" s="62" t="n"/>
      <c r="AM36" s="62" t="n"/>
      <c r="AN36" s="62" t="n"/>
      <c r="AO36" s="62" t="n"/>
      <c r="AP36" s="62" t="n"/>
      <c r="AQ36" s="62" t="n"/>
      <c r="AR36" s="62" t="n"/>
      <c r="AS36" s="62" t="n"/>
      <c r="AT36" s="62" t="n"/>
      <c r="AU36" s="62" t="n"/>
      <c r="AV36" s="62" t="n"/>
      <c r="AW36" s="62" t="n"/>
      <c r="AX36" s="62" t="n"/>
      <c r="AY36" s="62" t="n"/>
    </row>
    <row r="37">
      <c r="A37" s="38">
        <f>IF(D37="","",COUNTA($D$9:D37))</f>
        <v/>
      </c>
      <c r="B37" s="52" t="n"/>
      <c r="C37" s="53" t="inlineStr">
        <is>
          <t>마케팅1팀</t>
        </is>
      </c>
      <c r="D37" s="52" t="n"/>
      <c r="E37" s="54" t="n"/>
      <c r="F37" s="52" t="n"/>
      <c r="G37" s="55" t="n"/>
      <c r="H37" s="54" t="n"/>
      <c r="I37" s="54" t="n"/>
      <c r="J37" s="54" t="n"/>
      <c r="K37" s="56">
        <f>IF(SUM(U37:AY37)=0,"",SUM(U37:AY37))</f>
        <v/>
      </c>
      <c r="L37" s="57">
        <f>IFERROR(INDEX(U$2:AY$2,MATCH(TRUE,U37:AY37&lt;&gt;"",0)),"")</f>
        <v/>
      </c>
      <c r="M37" s="58">
        <f>IFERROR(LOOKUP(2,1/(U37:AY37&lt;&gt;""),U$2:AY$2),"")</f>
        <v/>
      </c>
      <c r="N37" s="59">
        <f>IF(OR(G37="",M37=""),"",G37-M37)</f>
        <v/>
      </c>
      <c r="O37" s="60" t="n"/>
      <c r="P37" s="61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  <c r="AG37" s="62" t="n"/>
      <c r="AH37" s="62" t="n"/>
      <c r="AI37" s="62" t="n"/>
      <c r="AJ37" s="62" t="n"/>
      <c r="AK37" s="62" t="n"/>
      <c r="AL37" s="62" t="n"/>
      <c r="AM37" s="62" t="n"/>
      <c r="AN37" s="62" t="n"/>
      <c r="AO37" s="62" t="n"/>
      <c r="AP37" s="62" t="n"/>
      <c r="AQ37" s="62" t="n"/>
      <c r="AR37" s="62" t="n"/>
      <c r="AS37" s="62" t="n"/>
      <c r="AT37" s="62" t="n"/>
      <c r="AU37" s="62" t="n"/>
      <c r="AV37" s="62" t="n"/>
      <c r="AW37" s="62" t="n"/>
      <c r="AX37" s="62" t="n"/>
      <c r="AY37" s="62" t="n"/>
    </row>
    <row r="38">
      <c r="A38" s="38">
        <f>IF(D38="","",COUNTA($D$9:D38))</f>
        <v/>
      </c>
      <c r="B38" s="52" t="n"/>
      <c r="C38" s="53" t="inlineStr">
        <is>
          <t>마케팅1팀</t>
        </is>
      </c>
      <c r="D38" s="52" t="n"/>
      <c r="E38" s="54" t="n"/>
      <c r="F38" s="52" t="n"/>
      <c r="G38" s="55" t="n"/>
      <c r="H38" s="54" t="n"/>
      <c r="I38" s="54" t="n"/>
      <c r="J38" s="54" t="n"/>
      <c r="K38" s="56">
        <f>IF(SUM(U38:AY38)=0,"",SUM(U38:AY38))</f>
        <v/>
      </c>
      <c r="L38" s="57">
        <f>IFERROR(INDEX(U$2:AY$2,MATCH(TRUE,U38:AY38&lt;&gt;"",0)),"")</f>
        <v/>
      </c>
      <c r="M38" s="58">
        <f>IFERROR(LOOKUP(2,1/(U38:AY38&lt;&gt;""),U$2:AY$2),"")</f>
        <v/>
      </c>
      <c r="N38" s="59">
        <f>IF(OR(G38="",M38=""),"",G38-M38)</f>
        <v/>
      </c>
      <c r="O38" s="60" t="n"/>
      <c r="P38" s="61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  <c r="AG38" s="62" t="n"/>
      <c r="AH38" s="62" t="n"/>
      <c r="AI38" s="62" t="n"/>
      <c r="AJ38" s="62" t="n"/>
      <c r="AK38" s="62" t="n"/>
      <c r="AL38" s="62" t="n"/>
      <c r="AM38" s="62" t="n"/>
      <c r="AN38" s="62" t="n"/>
      <c r="AO38" s="62" t="n"/>
      <c r="AP38" s="62" t="n"/>
      <c r="AQ38" s="62" t="n"/>
      <c r="AR38" s="62" t="n"/>
      <c r="AS38" s="62" t="n"/>
      <c r="AT38" s="62" t="n"/>
      <c r="AU38" s="62" t="n"/>
      <c r="AV38" s="62" t="n"/>
      <c r="AW38" s="62" t="n"/>
      <c r="AX38" s="62" t="n"/>
      <c r="AY38" s="62" t="n"/>
    </row>
    <row r="39">
      <c r="A39" s="63" t="inlineStr">
        <is>
          <t>마케팅2팀  (40~69행)</t>
        </is>
      </c>
      <c r="U39" s="64" t="n"/>
      <c r="V39" s="64" t="n"/>
      <c r="W39" s="64" t="n"/>
      <c r="X39" s="64" t="n"/>
      <c r="Y39" s="64" t="n"/>
      <c r="Z39" s="64" t="n"/>
      <c r="AA39" s="64" t="n"/>
      <c r="AB39" s="64" t="n"/>
      <c r="AC39" s="64" t="n"/>
      <c r="AD39" s="64" t="n"/>
      <c r="AE39" s="64" t="n"/>
      <c r="AF39" s="64" t="n"/>
      <c r="AG39" s="64" t="n"/>
      <c r="AH39" s="64" t="n"/>
      <c r="AI39" s="64" t="n"/>
      <c r="AJ39" s="64" t="n"/>
      <c r="AK39" s="64" t="n"/>
      <c r="AL39" s="64" t="n"/>
      <c r="AM39" s="64" t="n"/>
      <c r="AN39" s="64" t="n"/>
      <c r="AO39" s="64" t="n"/>
      <c r="AP39" s="64" t="n"/>
      <c r="AQ39" s="64" t="n"/>
      <c r="AR39" s="64" t="n"/>
      <c r="AS39" s="64" t="n"/>
      <c r="AT39" s="64" t="n"/>
      <c r="AU39" s="64" t="n"/>
      <c r="AV39" s="64" t="n"/>
      <c r="AW39" s="64" t="n"/>
      <c r="AX39" s="64" t="n"/>
      <c r="AY39" s="64" t="n"/>
    </row>
    <row r="40">
      <c r="A40" s="38">
        <f>IF(D40="","",COUNTA($D$40:D40))</f>
        <v/>
      </c>
      <c r="B40" s="52" t="inlineStr">
        <is>
          <t>세나리버스</t>
        </is>
      </c>
      <c r="C40" s="65" t="inlineStr">
        <is>
          <t>마케팅2팀</t>
        </is>
      </c>
      <c r="D40" s="52" t="inlineStr">
        <is>
          <t>TSKGB_엔드카드</t>
        </is>
      </c>
      <c r="E40" s="54" t="inlineStr">
        <is>
          <t>영상</t>
        </is>
      </c>
      <c r="F40" s="52" t="inlineStr">
        <is>
          <t>강민우</t>
        </is>
      </c>
      <c r="G40" s="55">
        <f>DATE(2026,8,6)</f>
        <v/>
      </c>
      <c r="H40" s="54" t="n">
        <v>1</v>
      </c>
      <c r="I40" s="54" t="n">
        <v>1</v>
      </c>
      <c r="J40" s="54" t="n">
        <v>0</v>
      </c>
      <c r="K40" s="56">
        <f>IF(SUM(U40:AY40)=0,"",SUM(U40:AY40))</f>
        <v/>
      </c>
      <c r="L40" s="57">
        <f>IFERROR(INDEX(U$2:AY$2,MATCH(TRUE,U40:AY40&lt;&gt;"",0)),"")</f>
        <v/>
      </c>
      <c r="M40" s="58">
        <f>IFERROR(LOOKUP(2,1/(U40:AY40&lt;&gt;""),U$2:AY$2),"")</f>
        <v/>
      </c>
      <c r="N40" s="59">
        <f>IF(OR(G40="",M40=""),"",G40-M40)</f>
        <v/>
      </c>
      <c r="O40" s="60" t="inlineStr">
        <is>
          <t>검수</t>
        </is>
      </c>
      <c r="P40" s="61" t="inlineStr">
        <is>
          <t>Seedance</t>
        </is>
      </c>
      <c r="U40" s="62" t="n"/>
      <c r="V40" s="62" t="n"/>
      <c r="W40" s="62" t="n"/>
      <c r="X40" s="62" t="n">
        <v>1</v>
      </c>
      <c r="Y40" s="62" t="n">
        <v>1</v>
      </c>
      <c r="Z40" s="62" t="n"/>
      <c r="AA40" s="62" t="n"/>
      <c r="AB40" s="62" t="n"/>
      <c r="AC40" s="62" t="n"/>
      <c r="AD40" s="62" t="n"/>
      <c r="AE40" s="62" t="n"/>
      <c r="AF40" s="62" t="n"/>
      <c r="AG40" s="62" t="n"/>
      <c r="AH40" s="62" t="n"/>
      <c r="AI40" s="62" t="n"/>
      <c r="AJ40" s="62" t="n"/>
      <c r="AK40" s="62" t="n"/>
      <c r="AL40" s="62" t="n"/>
      <c r="AM40" s="62" t="n"/>
      <c r="AN40" s="62" t="n"/>
      <c r="AO40" s="62" t="n"/>
      <c r="AP40" s="62" t="n"/>
      <c r="AQ40" s="62" t="n"/>
      <c r="AR40" s="62" t="n"/>
      <c r="AS40" s="62" t="n"/>
      <c r="AT40" s="62" t="n"/>
      <c r="AU40" s="62" t="n"/>
      <c r="AV40" s="62" t="n"/>
      <c r="AW40" s="62" t="n"/>
      <c r="AX40" s="62" t="n"/>
      <c r="AY40" s="62" t="n"/>
    </row>
    <row r="41">
      <c r="A41" s="38">
        <f>IF(D41="","",COUNTA($D$40:D41))</f>
        <v/>
      </c>
      <c r="B41" s="52" t="n"/>
      <c r="C41" s="65" t="inlineStr">
        <is>
          <t>마케팅2팀</t>
        </is>
      </c>
      <c r="D41" s="52" t="n"/>
      <c r="E41" s="54" t="n"/>
      <c r="F41" s="52" t="n"/>
      <c r="G41" s="55" t="n"/>
      <c r="H41" s="54" t="n"/>
      <c r="I41" s="54" t="n"/>
      <c r="J41" s="54" t="n"/>
      <c r="K41" s="56">
        <f>IF(SUM(U41:AY41)=0,"",SUM(U41:AY41))</f>
        <v/>
      </c>
      <c r="L41" s="57">
        <f>IFERROR(INDEX(U$2:AY$2,MATCH(TRUE,U41:AY41&lt;&gt;"",0)),"")</f>
        <v/>
      </c>
      <c r="M41" s="58">
        <f>IFERROR(LOOKUP(2,1/(U41:AY41&lt;&gt;""),U$2:AY$2),"")</f>
        <v/>
      </c>
      <c r="N41" s="59">
        <f>IF(OR(G41="",M41=""),"",G41-M41)</f>
        <v/>
      </c>
      <c r="O41" s="60" t="n"/>
      <c r="P41" s="61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  <c r="AG41" s="62" t="n"/>
      <c r="AH41" s="62" t="n"/>
      <c r="AI41" s="62" t="n"/>
      <c r="AJ41" s="62" t="n"/>
      <c r="AK41" s="62" t="n"/>
      <c r="AL41" s="62" t="n"/>
      <c r="AM41" s="62" t="n"/>
      <c r="AN41" s="62" t="n"/>
      <c r="AO41" s="62" t="n"/>
      <c r="AP41" s="62" t="n"/>
      <c r="AQ41" s="62" t="n"/>
      <c r="AR41" s="62" t="n"/>
      <c r="AS41" s="62" t="n"/>
      <c r="AT41" s="62" t="n"/>
      <c r="AU41" s="62" t="n"/>
      <c r="AV41" s="62" t="n"/>
      <c r="AW41" s="62" t="n"/>
      <c r="AX41" s="62" t="n"/>
      <c r="AY41" s="62" t="n"/>
    </row>
    <row r="42">
      <c r="A42" s="38">
        <f>IF(D42="","",COUNTA($D$40:D42))</f>
        <v/>
      </c>
      <c r="B42" s="52" t="n"/>
      <c r="C42" s="65" t="inlineStr">
        <is>
          <t>마케팅2팀</t>
        </is>
      </c>
      <c r="D42" s="52" t="n"/>
      <c r="E42" s="54" t="n"/>
      <c r="F42" s="52" t="n"/>
      <c r="G42" s="55" t="n"/>
      <c r="H42" s="54" t="n"/>
      <c r="I42" s="54" t="n"/>
      <c r="J42" s="54" t="n"/>
      <c r="K42" s="56">
        <f>IF(SUM(U42:AY42)=0,"",SUM(U42:AY42))</f>
        <v/>
      </c>
      <c r="L42" s="57">
        <f>IFERROR(INDEX(U$2:AY$2,MATCH(TRUE,U42:AY42&lt;&gt;"",0)),"")</f>
        <v/>
      </c>
      <c r="M42" s="58">
        <f>IFERROR(LOOKUP(2,1/(U42:AY42&lt;&gt;""),U$2:AY$2),"")</f>
        <v/>
      </c>
      <c r="N42" s="59">
        <f>IF(OR(G42="",M42=""),"",G42-M42)</f>
        <v/>
      </c>
      <c r="O42" s="60" t="n"/>
      <c r="P42" s="61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  <c r="AG42" s="62" t="n"/>
      <c r="AH42" s="62" t="n"/>
      <c r="AI42" s="62" t="n"/>
      <c r="AJ42" s="62" t="n"/>
      <c r="AK42" s="62" t="n"/>
      <c r="AL42" s="62" t="n"/>
      <c r="AM42" s="62" t="n"/>
      <c r="AN42" s="62" t="n"/>
      <c r="AO42" s="62" t="n"/>
      <c r="AP42" s="62" t="n"/>
      <c r="AQ42" s="62" t="n"/>
      <c r="AR42" s="62" t="n"/>
      <c r="AS42" s="62" t="n"/>
      <c r="AT42" s="62" t="n"/>
      <c r="AU42" s="62" t="n"/>
      <c r="AV42" s="62" t="n"/>
      <c r="AW42" s="62" t="n"/>
      <c r="AX42" s="62" t="n"/>
      <c r="AY42" s="62" t="n"/>
    </row>
    <row r="43">
      <c r="A43" s="38">
        <f>IF(D43="","",COUNTA($D$40:D43))</f>
        <v/>
      </c>
      <c r="B43" s="52" t="n"/>
      <c r="C43" s="65" t="inlineStr">
        <is>
          <t>마케팅2팀</t>
        </is>
      </c>
      <c r="D43" s="52" t="n"/>
      <c r="E43" s="54" t="n"/>
      <c r="F43" s="52" t="n"/>
      <c r="G43" s="55" t="n"/>
      <c r="H43" s="54" t="n"/>
      <c r="I43" s="54" t="n"/>
      <c r="J43" s="54" t="n"/>
      <c r="K43" s="56">
        <f>IF(SUM(U43:AY43)=0,"",SUM(U43:AY43))</f>
        <v/>
      </c>
      <c r="L43" s="57">
        <f>IFERROR(INDEX(U$2:AY$2,MATCH(TRUE,U43:AY43&lt;&gt;"",0)),"")</f>
        <v/>
      </c>
      <c r="M43" s="58">
        <f>IFERROR(LOOKUP(2,1/(U43:AY43&lt;&gt;""),U$2:AY$2),"")</f>
        <v/>
      </c>
      <c r="N43" s="59">
        <f>IF(OR(G43="",M43=""),"",G43-M43)</f>
        <v/>
      </c>
      <c r="O43" s="60" t="n"/>
      <c r="P43" s="61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  <c r="AG43" s="62" t="n"/>
      <c r="AH43" s="62" t="n"/>
      <c r="AI43" s="62" t="n"/>
      <c r="AJ43" s="62" t="n"/>
      <c r="AK43" s="62" t="n"/>
      <c r="AL43" s="62" t="n"/>
      <c r="AM43" s="62" t="n"/>
      <c r="AN43" s="62" t="n"/>
      <c r="AO43" s="62" t="n"/>
      <c r="AP43" s="62" t="n"/>
      <c r="AQ43" s="62" t="n"/>
      <c r="AR43" s="62" t="n"/>
      <c r="AS43" s="62" t="n"/>
      <c r="AT43" s="62" t="n"/>
      <c r="AU43" s="62" t="n"/>
      <c r="AV43" s="62" t="n"/>
      <c r="AW43" s="62" t="n"/>
      <c r="AX43" s="62" t="n"/>
      <c r="AY43" s="62" t="n"/>
    </row>
    <row r="44">
      <c r="A44" s="38">
        <f>IF(D44="","",COUNTA($D$40:D44))</f>
        <v/>
      </c>
      <c r="B44" s="52" t="n"/>
      <c r="C44" s="65" t="inlineStr">
        <is>
          <t>마케팅2팀</t>
        </is>
      </c>
      <c r="D44" s="52" t="n"/>
      <c r="E44" s="54" t="n"/>
      <c r="F44" s="52" t="n"/>
      <c r="G44" s="55" t="n"/>
      <c r="H44" s="54" t="n"/>
      <c r="I44" s="54" t="n"/>
      <c r="J44" s="54" t="n"/>
      <c r="K44" s="56">
        <f>IF(SUM(U44:AY44)=0,"",SUM(U44:AY44))</f>
        <v/>
      </c>
      <c r="L44" s="57">
        <f>IFERROR(INDEX(U$2:AY$2,MATCH(TRUE,U44:AY44&lt;&gt;"",0)),"")</f>
        <v/>
      </c>
      <c r="M44" s="58">
        <f>IFERROR(LOOKUP(2,1/(U44:AY44&lt;&gt;""),U$2:AY$2),"")</f>
        <v/>
      </c>
      <c r="N44" s="59">
        <f>IF(OR(G44="",M44=""),"",G44-M44)</f>
        <v/>
      </c>
      <c r="O44" s="60" t="n"/>
      <c r="P44" s="61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  <c r="AG44" s="62" t="n"/>
      <c r="AH44" s="62" t="n"/>
      <c r="AI44" s="62" t="n"/>
      <c r="AJ44" s="62" t="n"/>
      <c r="AK44" s="62" t="n"/>
      <c r="AL44" s="62" t="n"/>
      <c r="AM44" s="62" t="n"/>
      <c r="AN44" s="62" t="n"/>
      <c r="AO44" s="62" t="n"/>
      <c r="AP44" s="62" t="n"/>
      <c r="AQ44" s="62" t="n"/>
      <c r="AR44" s="62" t="n"/>
      <c r="AS44" s="62" t="n"/>
      <c r="AT44" s="62" t="n"/>
      <c r="AU44" s="62" t="n"/>
      <c r="AV44" s="62" t="n"/>
      <c r="AW44" s="62" t="n"/>
      <c r="AX44" s="62" t="n"/>
      <c r="AY44" s="62" t="n"/>
    </row>
    <row r="45">
      <c r="A45" s="38">
        <f>IF(D45="","",COUNTA($D$40:D45))</f>
        <v/>
      </c>
      <c r="B45" s="52" t="n"/>
      <c r="C45" s="65" t="inlineStr">
        <is>
          <t>마케팅2팀</t>
        </is>
      </c>
      <c r="D45" s="52" t="n"/>
      <c r="E45" s="54" t="n"/>
      <c r="F45" s="52" t="n"/>
      <c r="G45" s="55" t="n"/>
      <c r="H45" s="54" t="n"/>
      <c r="I45" s="54" t="n"/>
      <c r="J45" s="54" t="n"/>
      <c r="K45" s="56">
        <f>IF(SUM(U45:AY45)=0,"",SUM(U45:AY45))</f>
        <v/>
      </c>
      <c r="L45" s="57">
        <f>IFERROR(INDEX(U$2:AY$2,MATCH(TRUE,U45:AY45&lt;&gt;"",0)),"")</f>
        <v/>
      </c>
      <c r="M45" s="58">
        <f>IFERROR(LOOKUP(2,1/(U45:AY45&lt;&gt;""),U$2:AY$2),"")</f>
        <v/>
      </c>
      <c r="N45" s="59">
        <f>IF(OR(G45="",M45=""),"",G45-M45)</f>
        <v/>
      </c>
      <c r="O45" s="60" t="n"/>
      <c r="P45" s="61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  <c r="AG45" s="62" t="n"/>
      <c r="AH45" s="62" t="n"/>
      <c r="AI45" s="62" t="n"/>
      <c r="AJ45" s="62" t="n"/>
      <c r="AK45" s="62" t="n"/>
      <c r="AL45" s="62" t="n"/>
      <c r="AM45" s="62" t="n"/>
      <c r="AN45" s="62" t="n"/>
      <c r="AO45" s="62" t="n"/>
      <c r="AP45" s="62" t="n"/>
      <c r="AQ45" s="62" t="n"/>
      <c r="AR45" s="62" t="n"/>
      <c r="AS45" s="62" t="n"/>
      <c r="AT45" s="62" t="n"/>
      <c r="AU45" s="62" t="n"/>
      <c r="AV45" s="62" t="n"/>
      <c r="AW45" s="62" t="n"/>
      <c r="AX45" s="62" t="n"/>
      <c r="AY45" s="62" t="n"/>
    </row>
    <row r="46">
      <c r="A46" s="38">
        <f>IF(D46="","",COUNTA($D$40:D46))</f>
        <v/>
      </c>
      <c r="B46" s="52" t="n"/>
      <c r="C46" s="65" t="inlineStr">
        <is>
          <t>마케팅2팀</t>
        </is>
      </c>
      <c r="D46" s="52" t="n"/>
      <c r="E46" s="54" t="n"/>
      <c r="F46" s="52" t="n"/>
      <c r="G46" s="55" t="n"/>
      <c r="H46" s="54" t="n"/>
      <c r="I46" s="54" t="n"/>
      <c r="J46" s="54" t="n"/>
      <c r="K46" s="56">
        <f>IF(SUM(U46:AY46)=0,"",SUM(U46:AY46))</f>
        <v/>
      </c>
      <c r="L46" s="57">
        <f>IFERROR(INDEX(U$2:AY$2,MATCH(TRUE,U46:AY46&lt;&gt;"",0)),"")</f>
        <v/>
      </c>
      <c r="M46" s="58">
        <f>IFERROR(LOOKUP(2,1/(U46:AY46&lt;&gt;""),U$2:AY$2),"")</f>
        <v/>
      </c>
      <c r="N46" s="59">
        <f>IF(OR(G46="",M46=""),"",G46-M46)</f>
        <v/>
      </c>
      <c r="O46" s="60" t="n"/>
      <c r="P46" s="61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  <c r="AG46" s="62" t="n"/>
      <c r="AH46" s="62" t="n"/>
      <c r="AI46" s="62" t="n"/>
      <c r="AJ46" s="62" t="n"/>
      <c r="AK46" s="62" t="n"/>
      <c r="AL46" s="62" t="n"/>
      <c r="AM46" s="62" t="n"/>
      <c r="AN46" s="62" t="n"/>
      <c r="AO46" s="62" t="n"/>
      <c r="AP46" s="62" t="n"/>
      <c r="AQ46" s="62" t="n"/>
      <c r="AR46" s="62" t="n"/>
      <c r="AS46" s="62" t="n"/>
      <c r="AT46" s="62" t="n"/>
      <c r="AU46" s="62" t="n"/>
      <c r="AV46" s="62" t="n"/>
      <c r="AW46" s="62" t="n"/>
      <c r="AX46" s="62" t="n"/>
      <c r="AY46" s="62" t="n"/>
    </row>
    <row r="47">
      <c r="A47" s="38">
        <f>IF(D47="","",COUNTA($D$40:D47))</f>
        <v/>
      </c>
      <c r="B47" s="52" t="n"/>
      <c r="C47" s="65" t="inlineStr">
        <is>
          <t>마케팅2팀</t>
        </is>
      </c>
      <c r="D47" s="52" t="n"/>
      <c r="E47" s="54" t="n"/>
      <c r="F47" s="52" t="n"/>
      <c r="G47" s="55" t="n"/>
      <c r="H47" s="54" t="n"/>
      <c r="I47" s="54" t="n"/>
      <c r="J47" s="54" t="n"/>
      <c r="K47" s="56">
        <f>IF(SUM(U47:AY47)=0,"",SUM(U47:AY47))</f>
        <v/>
      </c>
      <c r="L47" s="57">
        <f>IFERROR(INDEX(U$2:AY$2,MATCH(TRUE,U47:AY47&lt;&gt;"",0)),"")</f>
        <v/>
      </c>
      <c r="M47" s="58">
        <f>IFERROR(LOOKUP(2,1/(U47:AY47&lt;&gt;""),U$2:AY$2),"")</f>
        <v/>
      </c>
      <c r="N47" s="59">
        <f>IF(OR(G47="",M47=""),"",G47-M47)</f>
        <v/>
      </c>
      <c r="O47" s="60" t="n"/>
      <c r="P47" s="61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  <c r="AG47" s="62" t="n"/>
      <c r="AH47" s="62" t="n"/>
      <c r="AI47" s="62" t="n"/>
      <c r="AJ47" s="62" t="n"/>
      <c r="AK47" s="62" t="n"/>
      <c r="AL47" s="62" t="n"/>
      <c r="AM47" s="62" t="n"/>
      <c r="AN47" s="62" t="n"/>
      <c r="AO47" s="62" t="n"/>
      <c r="AP47" s="62" t="n"/>
      <c r="AQ47" s="62" t="n"/>
      <c r="AR47" s="62" t="n"/>
      <c r="AS47" s="62" t="n"/>
      <c r="AT47" s="62" t="n"/>
      <c r="AU47" s="62" t="n"/>
      <c r="AV47" s="62" t="n"/>
      <c r="AW47" s="62" t="n"/>
      <c r="AX47" s="62" t="n"/>
      <c r="AY47" s="62" t="n"/>
    </row>
    <row r="48">
      <c r="A48" s="38">
        <f>IF(D48="","",COUNTA($D$40:D48))</f>
        <v/>
      </c>
      <c r="B48" s="52" t="n"/>
      <c r="C48" s="65" t="inlineStr">
        <is>
          <t>마케팅2팀</t>
        </is>
      </c>
      <c r="D48" s="52" t="n"/>
      <c r="E48" s="54" t="n"/>
      <c r="F48" s="52" t="n"/>
      <c r="G48" s="55" t="n"/>
      <c r="H48" s="54" t="n"/>
      <c r="I48" s="54" t="n"/>
      <c r="J48" s="54" t="n"/>
      <c r="K48" s="56">
        <f>IF(SUM(U48:AY48)=0,"",SUM(U48:AY48))</f>
        <v/>
      </c>
      <c r="L48" s="57">
        <f>IFERROR(INDEX(U$2:AY$2,MATCH(TRUE,U48:AY48&lt;&gt;"",0)),"")</f>
        <v/>
      </c>
      <c r="M48" s="58">
        <f>IFERROR(LOOKUP(2,1/(U48:AY48&lt;&gt;""),U$2:AY$2),"")</f>
        <v/>
      </c>
      <c r="N48" s="59">
        <f>IF(OR(G48="",M48=""),"",G48-M48)</f>
        <v/>
      </c>
      <c r="O48" s="60" t="n"/>
      <c r="P48" s="61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  <c r="AG48" s="62" t="n"/>
      <c r="AH48" s="62" t="n"/>
      <c r="AI48" s="62" t="n"/>
      <c r="AJ48" s="62" t="n"/>
      <c r="AK48" s="62" t="n"/>
      <c r="AL48" s="62" t="n"/>
      <c r="AM48" s="62" t="n"/>
      <c r="AN48" s="62" t="n"/>
      <c r="AO48" s="62" t="n"/>
      <c r="AP48" s="62" t="n"/>
      <c r="AQ48" s="62" t="n"/>
      <c r="AR48" s="62" t="n"/>
      <c r="AS48" s="62" t="n"/>
      <c r="AT48" s="62" t="n"/>
      <c r="AU48" s="62" t="n"/>
      <c r="AV48" s="62" t="n"/>
      <c r="AW48" s="62" t="n"/>
      <c r="AX48" s="62" t="n"/>
      <c r="AY48" s="62" t="n"/>
    </row>
    <row r="49">
      <c r="A49" s="38">
        <f>IF(D49="","",COUNTA($D$40:D49))</f>
        <v/>
      </c>
      <c r="B49" s="52" t="n"/>
      <c r="C49" s="65" t="inlineStr">
        <is>
          <t>마케팅2팀</t>
        </is>
      </c>
      <c r="D49" s="52" t="n"/>
      <c r="E49" s="54" t="n"/>
      <c r="F49" s="52" t="n"/>
      <c r="G49" s="55" t="n"/>
      <c r="H49" s="54" t="n"/>
      <c r="I49" s="54" t="n"/>
      <c r="J49" s="54" t="n"/>
      <c r="K49" s="56">
        <f>IF(SUM(U49:AY49)=0,"",SUM(U49:AY49))</f>
        <v/>
      </c>
      <c r="L49" s="57">
        <f>IFERROR(INDEX(U$2:AY$2,MATCH(TRUE,U49:AY49&lt;&gt;"",0)),"")</f>
        <v/>
      </c>
      <c r="M49" s="58">
        <f>IFERROR(LOOKUP(2,1/(U49:AY49&lt;&gt;""),U$2:AY$2),"")</f>
        <v/>
      </c>
      <c r="N49" s="59">
        <f>IF(OR(G49="",M49=""),"",G49-M49)</f>
        <v/>
      </c>
      <c r="O49" s="60" t="n"/>
      <c r="P49" s="61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  <c r="AG49" s="62" t="n"/>
      <c r="AH49" s="62" t="n"/>
      <c r="AI49" s="62" t="n"/>
      <c r="AJ49" s="62" t="n"/>
      <c r="AK49" s="62" t="n"/>
      <c r="AL49" s="62" t="n"/>
      <c r="AM49" s="62" t="n"/>
      <c r="AN49" s="62" t="n"/>
      <c r="AO49" s="62" t="n"/>
      <c r="AP49" s="62" t="n"/>
      <c r="AQ49" s="62" t="n"/>
      <c r="AR49" s="62" t="n"/>
      <c r="AS49" s="62" t="n"/>
      <c r="AT49" s="62" t="n"/>
      <c r="AU49" s="62" t="n"/>
      <c r="AV49" s="62" t="n"/>
      <c r="AW49" s="62" t="n"/>
      <c r="AX49" s="62" t="n"/>
      <c r="AY49" s="62" t="n"/>
    </row>
    <row r="50">
      <c r="A50" s="38">
        <f>IF(D50="","",COUNTA($D$40:D50))</f>
        <v/>
      </c>
      <c r="B50" s="52" t="n"/>
      <c r="C50" s="65" t="inlineStr">
        <is>
          <t>마케팅2팀</t>
        </is>
      </c>
      <c r="D50" s="52" t="n"/>
      <c r="E50" s="54" t="n"/>
      <c r="F50" s="52" t="n"/>
      <c r="G50" s="55" t="n"/>
      <c r="H50" s="54" t="n"/>
      <c r="I50" s="54" t="n"/>
      <c r="J50" s="54" t="n"/>
      <c r="K50" s="56">
        <f>IF(SUM(U50:AY50)=0,"",SUM(U50:AY50))</f>
        <v/>
      </c>
      <c r="L50" s="57">
        <f>IFERROR(INDEX(U$2:AY$2,MATCH(TRUE,U50:AY50&lt;&gt;"",0)),"")</f>
        <v/>
      </c>
      <c r="M50" s="58">
        <f>IFERROR(LOOKUP(2,1/(U50:AY50&lt;&gt;""),U$2:AY$2),"")</f>
        <v/>
      </c>
      <c r="N50" s="59">
        <f>IF(OR(G50="",M50=""),"",G50-M50)</f>
        <v/>
      </c>
      <c r="O50" s="60" t="n"/>
      <c r="P50" s="61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  <c r="AG50" s="62" t="n"/>
      <c r="AH50" s="62" t="n"/>
      <c r="AI50" s="62" t="n"/>
      <c r="AJ50" s="62" t="n"/>
      <c r="AK50" s="62" t="n"/>
      <c r="AL50" s="62" t="n"/>
      <c r="AM50" s="62" t="n"/>
      <c r="AN50" s="62" t="n"/>
      <c r="AO50" s="62" t="n"/>
      <c r="AP50" s="62" t="n"/>
      <c r="AQ50" s="62" t="n"/>
      <c r="AR50" s="62" t="n"/>
      <c r="AS50" s="62" t="n"/>
      <c r="AT50" s="62" t="n"/>
      <c r="AU50" s="62" t="n"/>
      <c r="AV50" s="62" t="n"/>
      <c r="AW50" s="62" t="n"/>
      <c r="AX50" s="62" t="n"/>
      <c r="AY50" s="62" t="n"/>
    </row>
    <row r="51">
      <c r="A51" s="38">
        <f>IF(D51="","",COUNTA($D$40:D51))</f>
        <v/>
      </c>
      <c r="B51" s="52" t="n"/>
      <c r="C51" s="65" t="inlineStr">
        <is>
          <t>마케팅2팀</t>
        </is>
      </c>
      <c r="D51" s="52" t="n"/>
      <c r="E51" s="54" t="n"/>
      <c r="F51" s="52" t="n"/>
      <c r="G51" s="55" t="n"/>
      <c r="H51" s="54" t="n"/>
      <c r="I51" s="54" t="n"/>
      <c r="J51" s="54" t="n"/>
      <c r="K51" s="56">
        <f>IF(SUM(U51:AY51)=0,"",SUM(U51:AY51))</f>
        <v/>
      </c>
      <c r="L51" s="57">
        <f>IFERROR(INDEX(U$2:AY$2,MATCH(TRUE,U51:AY51&lt;&gt;"",0)),"")</f>
        <v/>
      </c>
      <c r="M51" s="58">
        <f>IFERROR(LOOKUP(2,1/(U51:AY51&lt;&gt;""),U$2:AY$2),"")</f>
        <v/>
      </c>
      <c r="N51" s="59">
        <f>IF(OR(G51="",M51=""),"",G51-M51)</f>
        <v/>
      </c>
      <c r="O51" s="60" t="n"/>
      <c r="P51" s="61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  <c r="AG51" s="62" t="n"/>
      <c r="AH51" s="62" t="n"/>
      <c r="AI51" s="62" t="n"/>
      <c r="AJ51" s="62" t="n"/>
      <c r="AK51" s="62" t="n"/>
      <c r="AL51" s="62" t="n"/>
      <c r="AM51" s="62" t="n"/>
      <c r="AN51" s="62" t="n"/>
      <c r="AO51" s="62" t="n"/>
      <c r="AP51" s="62" t="n"/>
      <c r="AQ51" s="62" t="n"/>
      <c r="AR51" s="62" t="n"/>
      <c r="AS51" s="62" t="n"/>
      <c r="AT51" s="62" t="n"/>
      <c r="AU51" s="62" t="n"/>
      <c r="AV51" s="62" t="n"/>
      <c r="AW51" s="62" t="n"/>
      <c r="AX51" s="62" t="n"/>
      <c r="AY51" s="62" t="n"/>
    </row>
    <row r="52">
      <c r="A52" s="38">
        <f>IF(D52="","",COUNTA($D$40:D52))</f>
        <v/>
      </c>
      <c r="B52" s="52" t="n"/>
      <c r="C52" s="65" t="inlineStr">
        <is>
          <t>마케팅2팀</t>
        </is>
      </c>
      <c r="D52" s="52" t="n"/>
      <c r="E52" s="54" t="n"/>
      <c r="F52" s="52" t="n"/>
      <c r="G52" s="55" t="n"/>
      <c r="H52" s="54" t="n"/>
      <c r="I52" s="54" t="n"/>
      <c r="J52" s="54" t="n"/>
      <c r="K52" s="56">
        <f>IF(SUM(U52:AY52)=0,"",SUM(U52:AY52))</f>
        <v/>
      </c>
      <c r="L52" s="57">
        <f>IFERROR(INDEX(U$2:AY$2,MATCH(TRUE,U52:AY52&lt;&gt;"",0)),"")</f>
        <v/>
      </c>
      <c r="M52" s="58">
        <f>IFERROR(LOOKUP(2,1/(U52:AY52&lt;&gt;""),U$2:AY$2),"")</f>
        <v/>
      </c>
      <c r="N52" s="59">
        <f>IF(OR(G52="",M52=""),"",G52-M52)</f>
        <v/>
      </c>
      <c r="O52" s="60" t="n"/>
      <c r="P52" s="61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  <c r="AG52" s="62" t="n"/>
      <c r="AH52" s="62" t="n"/>
      <c r="AI52" s="62" t="n"/>
      <c r="AJ52" s="62" t="n"/>
      <c r="AK52" s="62" t="n"/>
      <c r="AL52" s="62" t="n"/>
      <c r="AM52" s="62" t="n"/>
      <c r="AN52" s="62" t="n"/>
      <c r="AO52" s="62" t="n"/>
      <c r="AP52" s="62" t="n"/>
      <c r="AQ52" s="62" t="n"/>
      <c r="AR52" s="62" t="n"/>
      <c r="AS52" s="62" t="n"/>
      <c r="AT52" s="62" t="n"/>
      <c r="AU52" s="62" t="n"/>
      <c r="AV52" s="62" t="n"/>
      <c r="AW52" s="62" t="n"/>
      <c r="AX52" s="62" t="n"/>
      <c r="AY52" s="62" t="n"/>
    </row>
    <row r="53">
      <c r="A53" s="38">
        <f>IF(D53="","",COUNTA($D$40:D53))</f>
        <v/>
      </c>
      <c r="B53" s="52" t="n"/>
      <c r="C53" s="65" t="inlineStr">
        <is>
          <t>마케팅2팀</t>
        </is>
      </c>
      <c r="D53" s="52" t="n"/>
      <c r="E53" s="54" t="n"/>
      <c r="F53" s="52" t="n"/>
      <c r="G53" s="55" t="n"/>
      <c r="H53" s="54" t="n"/>
      <c r="I53" s="54" t="n"/>
      <c r="J53" s="54" t="n"/>
      <c r="K53" s="56">
        <f>IF(SUM(U53:AY53)=0,"",SUM(U53:AY53))</f>
        <v/>
      </c>
      <c r="L53" s="57">
        <f>IFERROR(INDEX(U$2:AY$2,MATCH(TRUE,U53:AY53&lt;&gt;"",0)),"")</f>
        <v/>
      </c>
      <c r="M53" s="58">
        <f>IFERROR(LOOKUP(2,1/(U53:AY53&lt;&gt;""),U$2:AY$2),"")</f>
        <v/>
      </c>
      <c r="N53" s="59">
        <f>IF(OR(G53="",M53=""),"",G53-M53)</f>
        <v/>
      </c>
      <c r="O53" s="60" t="n"/>
      <c r="P53" s="61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  <c r="AG53" s="62" t="n"/>
      <c r="AH53" s="62" t="n"/>
      <c r="AI53" s="62" t="n"/>
      <c r="AJ53" s="62" t="n"/>
      <c r="AK53" s="62" t="n"/>
      <c r="AL53" s="62" t="n"/>
      <c r="AM53" s="62" t="n"/>
      <c r="AN53" s="62" t="n"/>
      <c r="AO53" s="62" t="n"/>
      <c r="AP53" s="62" t="n"/>
      <c r="AQ53" s="62" t="n"/>
      <c r="AR53" s="62" t="n"/>
      <c r="AS53" s="62" t="n"/>
      <c r="AT53" s="62" t="n"/>
      <c r="AU53" s="62" t="n"/>
      <c r="AV53" s="62" t="n"/>
      <c r="AW53" s="62" t="n"/>
      <c r="AX53" s="62" t="n"/>
      <c r="AY53" s="62" t="n"/>
    </row>
    <row r="54">
      <c r="A54" s="38">
        <f>IF(D54="","",COUNTA($D$40:D54))</f>
        <v/>
      </c>
      <c r="B54" s="52" t="n"/>
      <c r="C54" s="65" t="inlineStr">
        <is>
          <t>마케팅2팀</t>
        </is>
      </c>
      <c r="D54" s="52" t="n"/>
      <c r="E54" s="54" t="n"/>
      <c r="F54" s="52" t="n"/>
      <c r="G54" s="55" t="n"/>
      <c r="H54" s="54" t="n"/>
      <c r="I54" s="54" t="n"/>
      <c r="J54" s="54" t="n"/>
      <c r="K54" s="56">
        <f>IF(SUM(U54:AY54)=0,"",SUM(U54:AY54))</f>
        <v/>
      </c>
      <c r="L54" s="57">
        <f>IFERROR(INDEX(U$2:AY$2,MATCH(TRUE,U54:AY54&lt;&gt;"",0)),"")</f>
        <v/>
      </c>
      <c r="M54" s="58">
        <f>IFERROR(LOOKUP(2,1/(U54:AY54&lt;&gt;""),U$2:AY$2),"")</f>
        <v/>
      </c>
      <c r="N54" s="59">
        <f>IF(OR(G54="",M54=""),"",G54-M54)</f>
        <v/>
      </c>
      <c r="O54" s="60" t="n"/>
      <c r="P54" s="61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  <c r="AG54" s="62" t="n"/>
      <c r="AH54" s="62" t="n"/>
      <c r="AI54" s="62" t="n"/>
      <c r="AJ54" s="62" t="n"/>
      <c r="AK54" s="62" t="n"/>
      <c r="AL54" s="62" t="n"/>
      <c r="AM54" s="62" t="n"/>
      <c r="AN54" s="62" t="n"/>
      <c r="AO54" s="62" t="n"/>
      <c r="AP54" s="62" t="n"/>
      <c r="AQ54" s="62" t="n"/>
      <c r="AR54" s="62" t="n"/>
      <c r="AS54" s="62" t="n"/>
      <c r="AT54" s="62" t="n"/>
      <c r="AU54" s="62" t="n"/>
      <c r="AV54" s="62" t="n"/>
      <c r="AW54" s="62" t="n"/>
      <c r="AX54" s="62" t="n"/>
      <c r="AY54" s="62" t="n"/>
    </row>
    <row r="55">
      <c r="A55" s="38">
        <f>IF(D55="","",COUNTA($D$40:D55))</f>
        <v/>
      </c>
      <c r="B55" s="52" t="n"/>
      <c r="C55" s="65" t="inlineStr">
        <is>
          <t>마케팅2팀</t>
        </is>
      </c>
      <c r="D55" s="52" t="n"/>
      <c r="E55" s="54" t="n"/>
      <c r="F55" s="52" t="n"/>
      <c r="G55" s="55" t="n"/>
      <c r="H55" s="54" t="n"/>
      <c r="I55" s="54" t="n"/>
      <c r="J55" s="54" t="n"/>
      <c r="K55" s="56">
        <f>IF(SUM(U55:AY55)=0,"",SUM(U55:AY55))</f>
        <v/>
      </c>
      <c r="L55" s="57">
        <f>IFERROR(INDEX(U$2:AY$2,MATCH(TRUE,U55:AY55&lt;&gt;"",0)),"")</f>
        <v/>
      </c>
      <c r="M55" s="58">
        <f>IFERROR(LOOKUP(2,1/(U55:AY55&lt;&gt;""),U$2:AY$2),"")</f>
        <v/>
      </c>
      <c r="N55" s="59">
        <f>IF(OR(G55="",M55=""),"",G55-M55)</f>
        <v/>
      </c>
      <c r="O55" s="60" t="n"/>
      <c r="P55" s="61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  <c r="AG55" s="62" t="n"/>
      <c r="AH55" s="62" t="n"/>
      <c r="AI55" s="62" t="n"/>
      <c r="AJ55" s="62" t="n"/>
      <c r="AK55" s="62" t="n"/>
      <c r="AL55" s="62" t="n"/>
      <c r="AM55" s="62" t="n"/>
      <c r="AN55" s="62" t="n"/>
      <c r="AO55" s="62" t="n"/>
      <c r="AP55" s="62" t="n"/>
      <c r="AQ55" s="62" t="n"/>
      <c r="AR55" s="62" t="n"/>
      <c r="AS55" s="62" t="n"/>
      <c r="AT55" s="62" t="n"/>
      <c r="AU55" s="62" t="n"/>
      <c r="AV55" s="62" t="n"/>
      <c r="AW55" s="62" t="n"/>
      <c r="AX55" s="62" t="n"/>
      <c r="AY55" s="62" t="n"/>
    </row>
    <row r="56">
      <c r="A56" s="38">
        <f>IF(D56="","",COUNTA($D$40:D56))</f>
        <v/>
      </c>
      <c r="B56" s="52" t="n"/>
      <c r="C56" s="65" t="inlineStr">
        <is>
          <t>마케팅2팀</t>
        </is>
      </c>
      <c r="D56" s="52" t="n"/>
      <c r="E56" s="54" t="n"/>
      <c r="F56" s="52" t="n"/>
      <c r="G56" s="55" t="n"/>
      <c r="H56" s="54" t="n"/>
      <c r="I56" s="54" t="n"/>
      <c r="J56" s="54" t="n"/>
      <c r="K56" s="56">
        <f>IF(SUM(U56:AY56)=0,"",SUM(U56:AY56))</f>
        <v/>
      </c>
      <c r="L56" s="57">
        <f>IFERROR(INDEX(U$2:AY$2,MATCH(TRUE,U56:AY56&lt;&gt;"",0)),"")</f>
        <v/>
      </c>
      <c r="M56" s="58">
        <f>IFERROR(LOOKUP(2,1/(U56:AY56&lt;&gt;""),U$2:AY$2),"")</f>
        <v/>
      </c>
      <c r="N56" s="59">
        <f>IF(OR(G56="",M56=""),"",G56-M56)</f>
        <v/>
      </c>
      <c r="O56" s="60" t="n"/>
      <c r="P56" s="61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  <c r="AG56" s="62" t="n"/>
      <c r="AH56" s="62" t="n"/>
      <c r="AI56" s="62" t="n"/>
      <c r="AJ56" s="62" t="n"/>
      <c r="AK56" s="62" t="n"/>
      <c r="AL56" s="62" t="n"/>
      <c r="AM56" s="62" t="n"/>
      <c r="AN56" s="62" t="n"/>
      <c r="AO56" s="62" t="n"/>
      <c r="AP56" s="62" t="n"/>
      <c r="AQ56" s="62" t="n"/>
      <c r="AR56" s="62" t="n"/>
      <c r="AS56" s="62" t="n"/>
      <c r="AT56" s="62" t="n"/>
      <c r="AU56" s="62" t="n"/>
      <c r="AV56" s="62" t="n"/>
      <c r="AW56" s="62" t="n"/>
      <c r="AX56" s="62" t="n"/>
      <c r="AY56" s="62" t="n"/>
    </row>
    <row r="57">
      <c r="A57" s="38">
        <f>IF(D57="","",COUNTA($D$40:D57))</f>
        <v/>
      </c>
      <c r="B57" s="52" t="n"/>
      <c r="C57" s="65" t="inlineStr">
        <is>
          <t>마케팅2팀</t>
        </is>
      </c>
      <c r="D57" s="52" t="n"/>
      <c r="E57" s="54" t="n"/>
      <c r="F57" s="52" t="n"/>
      <c r="G57" s="55" t="n"/>
      <c r="H57" s="54" t="n"/>
      <c r="I57" s="54" t="n"/>
      <c r="J57" s="54" t="n"/>
      <c r="K57" s="56">
        <f>IF(SUM(U57:AY57)=0,"",SUM(U57:AY57))</f>
        <v/>
      </c>
      <c r="L57" s="57">
        <f>IFERROR(INDEX(U$2:AY$2,MATCH(TRUE,U57:AY57&lt;&gt;"",0)),"")</f>
        <v/>
      </c>
      <c r="M57" s="58">
        <f>IFERROR(LOOKUP(2,1/(U57:AY57&lt;&gt;""),U$2:AY$2),"")</f>
        <v/>
      </c>
      <c r="N57" s="59">
        <f>IF(OR(G57="",M57=""),"",G57-M57)</f>
        <v/>
      </c>
      <c r="O57" s="60" t="n"/>
      <c r="P57" s="61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  <c r="AG57" s="62" t="n"/>
      <c r="AH57" s="62" t="n"/>
      <c r="AI57" s="62" t="n"/>
      <c r="AJ57" s="62" t="n"/>
      <c r="AK57" s="62" t="n"/>
      <c r="AL57" s="62" t="n"/>
      <c r="AM57" s="62" t="n"/>
      <c r="AN57" s="62" t="n"/>
      <c r="AO57" s="62" t="n"/>
      <c r="AP57" s="62" t="n"/>
      <c r="AQ57" s="62" t="n"/>
      <c r="AR57" s="62" t="n"/>
      <c r="AS57" s="62" t="n"/>
      <c r="AT57" s="62" t="n"/>
      <c r="AU57" s="62" t="n"/>
      <c r="AV57" s="62" t="n"/>
      <c r="AW57" s="62" t="n"/>
      <c r="AX57" s="62" t="n"/>
      <c r="AY57" s="62" t="n"/>
    </row>
    <row r="58">
      <c r="A58" s="38">
        <f>IF(D58="","",COUNTA($D$40:D58))</f>
        <v/>
      </c>
      <c r="B58" s="52" t="n"/>
      <c r="C58" s="65" t="inlineStr">
        <is>
          <t>마케팅2팀</t>
        </is>
      </c>
      <c r="D58" s="52" t="n"/>
      <c r="E58" s="54" t="n"/>
      <c r="F58" s="52" t="n"/>
      <c r="G58" s="55" t="n"/>
      <c r="H58" s="54" t="n"/>
      <c r="I58" s="54" t="n"/>
      <c r="J58" s="54" t="n"/>
      <c r="K58" s="56">
        <f>IF(SUM(U58:AY58)=0,"",SUM(U58:AY58))</f>
        <v/>
      </c>
      <c r="L58" s="57">
        <f>IFERROR(INDEX(U$2:AY$2,MATCH(TRUE,U58:AY58&lt;&gt;"",0)),"")</f>
        <v/>
      </c>
      <c r="M58" s="58">
        <f>IFERROR(LOOKUP(2,1/(U58:AY58&lt;&gt;""),U$2:AY$2),"")</f>
        <v/>
      </c>
      <c r="N58" s="59">
        <f>IF(OR(G58="",M58=""),"",G58-M58)</f>
        <v/>
      </c>
      <c r="O58" s="60" t="n"/>
      <c r="P58" s="61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  <c r="AG58" s="62" t="n"/>
      <c r="AH58" s="62" t="n"/>
      <c r="AI58" s="62" t="n"/>
      <c r="AJ58" s="62" t="n"/>
      <c r="AK58" s="62" t="n"/>
      <c r="AL58" s="62" t="n"/>
      <c r="AM58" s="62" t="n"/>
      <c r="AN58" s="62" t="n"/>
      <c r="AO58" s="62" t="n"/>
      <c r="AP58" s="62" t="n"/>
      <c r="AQ58" s="62" t="n"/>
      <c r="AR58" s="62" t="n"/>
      <c r="AS58" s="62" t="n"/>
      <c r="AT58" s="62" t="n"/>
      <c r="AU58" s="62" t="n"/>
      <c r="AV58" s="62" t="n"/>
      <c r="AW58" s="62" t="n"/>
      <c r="AX58" s="62" t="n"/>
      <c r="AY58" s="62" t="n"/>
    </row>
    <row r="59">
      <c r="A59" s="38">
        <f>IF(D59="","",COUNTA($D$40:D59))</f>
        <v/>
      </c>
      <c r="B59" s="52" t="n"/>
      <c r="C59" s="65" t="inlineStr">
        <is>
          <t>마케팅2팀</t>
        </is>
      </c>
      <c r="D59" s="52" t="n"/>
      <c r="E59" s="54" t="n"/>
      <c r="F59" s="52" t="n"/>
      <c r="G59" s="55" t="n"/>
      <c r="H59" s="54" t="n"/>
      <c r="I59" s="54" t="n"/>
      <c r="J59" s="54" t="n"/>
      <c r="K59" s="56">
        <f>IF(SUM(U59:AY59)=0,"",SUM(U59:AY59))</f>
        <v/>
      </c>
      <c r="L59" s="57">
        <f>IFERROR(INDEX(U$2:AY$2,MATCH(TRUE,U59:AY59&lt;&gt;"",0)),"")</f>
        <v/>
      </c>
      <c r="M59" s="58">
        <f>IFERROR(LOOKUP(2,1/(U59:AY59&lt;&gt;""),U$2:AY$2),"")</f>
        <v/>
      </c>
      <c r="N59" s="59">
        <f>IF(OR(G59="",M59=""),"",G59-M59)</f>
        <v/>
      </c>
      <c r="O59" s="60" t="n"/>
      <c r="P59" s="61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  <c r="AG59" s="62" t="n"/>
      <c r="AH59" s="62" t="n"/>
      <c r="AI59" s="62" t="n"/>
      <c r="AJ59" s="62" t="n"/>
      <c r="AK59" s="62" t="n"/>
      <c r="AL59" s="62" t="n"/>
      <c r="AM59" s="62" t="n"/>
      <c r="AN59" s="62" t="n"/>
      <c r="AO59" s="62" t="n"/>
      <c r="AP59" s="62" t="n"/>
      <c r="AQ59" s="62" t="n"/>
      <c r="AR59" s="62" t="n"/>
      <c r="AS59" s="62" t="n"/>
      <c r="AT59" s="62" t="n"/>
      <c r="AU59" s="62" t="n"/>
      <c r="AV59" s="62" t="n"/>
      <c r="AW59" s="62" t="n"/>
      <c r="AX59" s="62" t="n"/>
      <c r="AY59" s="62" t="n"/>
    </row>
    <row r="60">
      <c r="A60" s="38">
        <f>IF(D60="","",COUNTA($D$40:D60))</f>
        <v/>
      </c>
      <c r="B60" s="52" t="n"/>
      <c r="C60" s="65" t="inlineStr">
        <is>
          <t>마케팅2팀</t>
        </is>
      </c>
      <c r="D60" s="52" t="n"/>
      <c r="E60" s="54" t="n"/>
      <c r="F60" s="52" t="n"/>
      <c r="G60" s="55" t="n"/>
      <c r="H60" s="54" t="n"/>
      <c r="I60" s="54" t="n"/>
      <c r="J60" s="54" t="n"/>
      <c r="K60" s="56">
        <f>IF(SUM(U60:AY60)=0,"",SUM(U60:AY60))</f>
        <v/>
      </c>
      <c r="L60" s="57">
        <f>IFERROR(INDEX(U$2:AY$2,MATCH(TRUE,U60:AY60&lt;&gt;"",0)),"")</f>
        <v/>
      </c>
      <c r="M60" s="58">
        <f>IFERROR(LOOKUP(2,1/(U60:AY60&lt;&gt;""),U$2:AY$2),"")</f>
        <v/>
      </c>
      <c r="N60" s="59">
        <f>IF(OR(G60="",M60=""),"",G60-M60)</f>
        <v/>
      </c>
      <c r="O60" s="60" t="n"/>
      <c r="P60" s="61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  <c r="AG60" s="62" t="n"/>
      <c r="AH60" s="62" t="n"/>
      <c r="AI60" s="62" t="n"/>
      <c r="AJ60" s="62" t="n"/>
      <c r="AK60" s="62" t="n"/>
      <c r="AL60" s="62" t="n"/>
      <c r="AM60" s="62" t="n"/>
      <c r="AN60" s="62" t="n"/>
      <c r="AO60" s="62" t="n"/>
      <c r="AP60" s="62" t="n"/>
      <c r="AQ60" s="62" t="n"/>
      <c r="AR60" s="62" t="n"/>
      <c r="AS60" s="62" t="n"/>
      <c r="AT60" s="62" t="n"/>
      <c r="AU60" s="62" t="n"/>
      <c r="AV60" s="62" t="n"/>
      <c r="AW60" s="62" t="n"/>
      <c r="AX60" s="62" t="n"/>
      <c r="AY60" s="62" t="n"/>
    </row>
    <row r="61">
      <c r="A61" s="38">
        <f>IF(D61="","",COUNTA($D$40:D61))</f>
        <v/>
      </c>
      <c r="B61" s="52" t="n"/>
      <c r="C61" s="65" t="inlineStr">
        <is>
          <t>마케팅2팀</t>
        </is>
      </c>
      <c r="D61" s="52" t="n"/>
      <c r="E61" s="54" t="n"/>
      <c r="F61" s="52" t="n"/>
      <c r="G61" s="55" t="n"/>
      <c r="H61" s="54" t="n"/>
      <c r="I61" s="54" t="n"/>
      <c r="J61" s="54" t="n"/>
      <c r="K61" s="56">
        <f>IF(SUM(U61:AY61)=0,"",SUM(U61:AY61))</f>
        <v/>
      </c>
      <c r="L61" s="57">
        <f>IFERROR(INDEX(U$2:AY$2,MATCH(TRUE,U61:AY61&lt;&gt;"",0)),"")</f>
        <v/>
      </c>
      <c r="M61" s="58">
        <f>IFERROR(LOOKUP(2,1/(U61:AY61&lt;&gt;""),U$2:AY$2),"")</f>
        <v/>
      </c>
      <c r="N61" s="59">
        <f>IF(OR(G61="",M61=""),"",G61-M61)</f>
        <v/>
      </c>
      <c r="O61" s="60" t="n"/>
      <c r="P61" s="61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  <c r="AG61" s="62" t="n"/>
      <c r="AH61" s="62" t="n"/>
      <c r="AI61" s="62" t="n"/>
      <c r="AJ61" s="62" t="n"/>
      <c r="AK61" s="62" t="n"/>
      <c r="AL61" s="62" t="n"/>
      <c r="AM61" s="62" t="n"/>
      <c r="AN61" s="62" t="n"/>
      <c r="AO61" s="62" t="n"/>
      <c r="AP61" s="62" t="n"/>
      <c r="AQ61" s="62" t="n"/>
      <c r="AR61" s="62" t="n"/>
      <c r="AS61" s="62" t="n"/>
      <c r="AT61" s="62" t="n"/>
      <c r="AU61" s="62" t="n"/>
      <c r="AV61" s="62" t="n"/>
      <c r="AW61" s="62" t="n"/>
      <c r="AX61" s="62" t="n"/>
      <c r="AY61" s="62" t="n"/>
    </row>
    <row r="62">
      <c r="A62" s="38">
        <f>IF(D62="","",COUNTA($D$40:D62))</f>
        <v/>
      </c>
      <c r="B62" s="52" t="n"/>
      <c r="C62" s="65" t="inlineStr">
        <is>
          <t>마케팅2팀</t>
        </is>
      </c>
      <c r="D62" s="52" t="n"/>
      <c r="E62" s="54" t="n"/>
      <c r="F62" s="52" t="n"/>
      <c r="G62" s="55" t="n"/>
      <c r="H62" s="54" t="n"/>
      <c r="I62" s="54" t="n"/>
      <c r="J62" s="54" t="n"/>
      <c r="K62" s="56">
        <f>IF(SUM(U62:AY62)=0,"",SUM(U62:AY62))</f>
        <v/>
      </c>
      <c r="L62" s="57">
        <f>IFERROR(INDEX(U$2:AY$2,MATCH(TRUE,U62:AY62&lt;&gt;"",0)),"")</f>
        <v/>
      </c>
      <c r="M62" s="58">
        <f>IFERROR(LOOKUP(2,1/(U62:AY62&lt;&gt;""),U$2:AY$2),"")</f>
        <v/>
      </c>
      <c r="N62" s="59">
        <f>IF(OR(G62="",M62=""),"",G62-M62)</f>
        <v/>
      </c>
      <c r="O62" s="60" t="n"/>
      <c r="P62" s="61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  <c r="AG62" s="62" t="n"/>
      <c r="AH62" s="62" t="n"/>
      <c r="AI62" s="62" t="n"/>
      <c r="AJ62" s="62" t="n"/>
      <c r="AK62" s="62" t="n"/>
      <c r="AL62" s="62" t="n"/>
      <c r="AM62" s="62" t="n"/>
      <c r="AN62" s="62" t="n"/>
      <c r="AO62" s="62" t="n"/>
      <c r="AP62" s="62" t="n"/>
      <c r="AQ62" s="62" t="n"/>
      <c r="AR62" s="62" t="n"/>
      <c r="AS62" s="62" t="n"/>
      <c r="AT62" s="62" t="n"/>
      <c r="AU62" s="62" t="n"/>
      <c r="AV62" s="62" t="n"/>
      <c r="AW62" s="62" t="n"/>
      <c r="AX62" s="62" t="n"/>
      <c r="AY62" s="62" t="n"/>
    </row>
    <row r="63">
      <c r="A63" s="38">
        <f>IF(D63="","",COUNTA($D$40:D63))</f>
        <v/>
      </c>
      <c r="B63" s="52" t="n"/>
      <c r="C63" s="65" t="inlineStr">
        <is>
          <t>마케팅2팀</t>
        </is>
      </c>
      <c r="D63" s="52" t="n"/>
      <c r="E63" s="54" t="n"/>
      <c r="F63" s="52" t="n"/>
      <c r="G63" s="55" t="n"/>
      <c r="H63" s="54" t="n"/>
      <c r="I63" s="54" t="n"/>
      <c r="J63" s="54" t="n"/>
      <c r="K63" s="56">
        <f>IF(SUM(U63:AY63)=0,"",SUM(U63:AY63))</f>
        <v/>
      </c>
      <c r="L63" s="57">
        <f>IFERROR(INDEX(U$2:AY$2,MATCH(TRUE,U63:AY63&lt;&gt;"",0)),"")</f>
        <v/>
      </c>
      <c r="M63" s="58">
        <f>IFERROR(LOOKUP(2,1/(U63:AY63&lt;&gt;""),U$2:AY$2),"")</f>
        <v/>
      </c>
      <c r="N63" s="59">
        <f>IF(OR(G63="",M63=""),"",G63-M63)</f>
        <v/>
      </c>
      <c r="O63" s="60" t="n"/>
      <c r="P63" s="61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  <c r="AG63" s="62" t="n"/>
      <c r="AH63" s="62" t="n"/>
      <c r="AI63" s="62" t="n"/>
      <c r="AJ63" s="62" t="n"/>
      <c r="AK63" s="62" t="n"/>
      <c r="AL63" s="62" t="n"/>
      <c r="AM63" s="62" t="n"/>
      <c r="AN63" s="62" t="n"/>
      <c r="AO63" s="62" t="n"/>
      <c r="AP63" s="62" t="n"/>
      <c r="AQ63" s="62" t="n"/>
      <c r="AR63" s="62" t="n"/>
      <c r="AS63" s="62" t="n"/>
      <c r="AT63" s="62" t="n"/>
      <c r="AU63" s="62" t="n"/>
      <c r="AV63" s="62" t="n"/>
      <c r="AW63" s="62" t="n"/>
      <c r="AX63" s="62" t="n"/>
      <c r="AY63" s="62" t="n"/>
    </row>
    <row r="64">
      <c r="A64" s="38">
        <f>IF(D64="","",COUNTA($D$40:D64))</f>
        <v/>
      </c>
      <c r="B64" s="52" t="n"/>
      <c r="C64" s="65" t="inlineStr">
        <is>
          <t>마케팅2팀</t>
        </is>
      </c>
      <c r="D64" s="52" t="n"/>
      <c r="E64" s="54" t="n"/>
      <c r="F64" s="52" t="n"/>
      <c r="G64" s="55" t="n"/>
      <c r="H64" s="54" t="n"/>
      <c r="I64" s="54" t="n"/>
      <c r="J64" s="54" t="n"/>
      <c r="K64" s="56">
        <f>IF(SUM(U64:AY64)=0,"",SUM(U64:AY64))</f>
        <v/>
      </c>
      <c r="L64" s="57">
        <f>IFERROR(INDEX(U$2:AY$2,MATCH(TRUE,U64:AY64&lt;&gt;"",0)),"")</f>
        <v/>
      </c>
      <c r="M64" s="58">
        <f>IFERROR(LOOKUP(2,1/(U64:AY64&lt;&gt;""),U$2:AY$2),"")</f>
        <v/>
      </c>
      <c r="N64" s="59">
        <f>IF(OR(G64="",M64=""),"",G64-M64)</f>
        <v/>
      </c>
      <c r="O64" s="60" t="n"/>
      <c r="P64" s="61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  <c r="AG64" s="62" t="n"/>
      <c r="AH64" s="62" t="n"/>
      <c r="AI64" s="62" t="n"/>
      <c r="AJ64" s="62" t="n"/>
      <c r="AK64" s="62" t="n"/>
      <c r="AL64" s="62" t="n"/>
      <c r="AM64" s="62" t="n"/>
      <c r="AN64" s="62" t="n"/>
      <c r="AO64" s="62" t="n"/>
      <c r="AP64" s="62" t="n"/>
      <c r="AQ64" s="62" t="n"/>
      <c r="AR64" s="62" t="n"/>
      <c r="AS64" s="62" t="n"/>
      <c r="AT64" s="62" t="n"/>
      <c r="AU64" s="62" t="n"/>
      <c r="AV64" s="62" t="n"/>
      <c r="AW64" s="62" t="n"/>
      <c r="AX64" s="62" t="n"/>
      <c r="AY64" s="62" t="n"/>
    </row>
    <row r="65">
      <c r="A65" s="38">
        <f>IF(D65="","",COUNTA($D$40:D65))</f>
        <v/>
      </c>
      <c r="B65" s="52" t="n"/>
      <c r="C65" s="65" t="inlineStr">
        <is>
          <t>마케팅2팀</t>
        </is>
      </c>
      <c r="D65" s="52" t="n"/>
      <c r="E65" s="54" t="n"/>
      <c r="F65" s="52" t="n"/>
      <c r="G65" s="55" t="n"/>
      <c r="H65" s="54" t="n"/>
      <c r="I65" s="54" t="n"/>
      <c r="J65" s="54" t="n"/>
      <c r="K65" s="56">
        <f>IF(SUM(U65:AY65)=0,"",SUM(U65:AY65))</f>
        <v/>
      </c>
      <c r="L65" s="57">
        <f>IFERROR(INDEX(U$2:AY$2,MATCH(TRUE,U65:AY65&lt;&gt;"",0)),"")</f>
        <v/>
      </c>
      <c r="M65" s="58">
        <f>IFERROR(LOOKUP(2,1/(U65:AY65&lt;&gt;""),U$2:AY$2),"")</f>
        <v/>
      </c>
      <c r="N65" s="59">
        <f>IF(OR(G65="",M65=""),"",G65-M65)</f>
        <v/>
      </c>
      <c r="O65" s="60" t="n"/>
      <c r="P65" s="61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  <c r="AG65" s="62" t="n"/>
      <c r="AH65" s="62" t="n"/>
      <c r="AI65" s="62" t="n"/>
      <c r="AJ65" s="62" t="n"/>
      <c r="AK65" s="62" t="n"/>
      <c r="AL65" s="62" t="n"/>
      <c r="AM65" s="62" t="n"/>
      <c r="AN65" s="62" t="n"/>
      <c r="AO65" s="62" t="n"/>
      <c r="AP65" s="62" t="n"/>
      <c r="AQ65" s="62" t="n"/>
      <c r="AR65" s="62" t="n"/>
      <c r="AS65" s="62" t="n"/>
      <c r="AT65" s="62" t="n"/>
      <c r="AU65" s="62" t="n"/>
      <c r="AV65" s="62" t="n"/>
      <c r="AW65" s="62" t="n"/>
      <c r="AX65" s="62" t="n"/>
      <c r="AY65" s="62" t="n"/>
    </row>
    <row r="66">
      <c r="A66" s="38">
        <f>IF(D66="","",COUNTA($D$40:D66))</f>
        <v/>
      </c>
      <c r="B66" s="52" t="n"/>
      <c r="C66" s="65" t="inlineStr">
        <is>
          <t>마케팅2팀</t>
        </is>
      </c>
      <c r="D66" s="52" t="n"/>
      <c r="E66" s="54" t="n"/>
      <c r="F66" s="52" t="n"/>
      <c r="G66" s="55" t="n"/>
      <c r="H66" s="54" t="n"/>
      <c r="I66" s="54" t="n"/>
      <c r="J66" s="54" t="n"/>
      <c r="K66" s="56">
        <f>IF(SUM(U66:AY66)=0,"",SUM(U66:AY66))</f>
        <v/>
      </c>
      <c r="L66" s="57">
        <f>IFERROR(INDEX(U$2:AY$2,MATCH(TRUE,U66:AY66&lt;&gt;"",0)),"")</f>
        <v/>
      </c>
      <c r="M66" s="58">
        <f>IFERROR(LOOKUP(2,1/(U66:AY66&lt;&gt;""),U$2:AY$2),"")</f>
        <v/>
      </c>
      <c r="N66" s="59">
        <f>IF(OR(G66="",M66=""),"",G66-M66)</f>
        <v/>
      </c>
      <c r="O66" s="60" t="n"/>
      <c r="P66" s="61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  <c r="AG66" s="62" t="n"/>
      <c r="AH66" s="62" t="n"/>
      <c r="AI66" s="62" t="n"/>
      <c r="AJ66" s="62" t="n"/>
      <c r="AK66" s="62" t="n"/>
      <c r="AL66" s="62" t="n"/>
      <c r="AM66" s="62" t="n"/>
      <c r="AN66" s="62" t="n"/>
      <c r="AO66" s="62" t="n"/>
      <c r="AP66" s="62" t="n"/>
      <c r="AQ66" s="62" t="n"/>
      <c r="AR66" s="62" t="n"/>
      <c r="AS66" s="62" t="n"/>
      <c r="AT66" s="62" t="n"/>
      <c r="AU66" s="62" t="n"/>
      <c r="AV66" s="62" t="n"/>
      <c r="AW66" s="62" t="n"/>
      <c r="AX66" s="62" t="n"/>
      <c r="AY66" s="62" t="n"/>
    </row>
    <row r="67">
      <c r="A67" s="38">
        <f>IF(D67="","",COUNTA($D$40:D67))</f>
        <v/>
      </c>
      <c r="B67" s="52" t="n"/>
      <c r="C67" s="65" t="inlineStr">
        <is>
          <t>마케팅2팀</t>
        </is>
      </c>
      <c r="D67" s="52" t="n"/>
      <c r="E67" s="54" t="n"/>
      <c r="F67" s="52" t="n"/>
      <c r="G67" s="55" t="n"/>
      <c r="H67" s="54" t="n"/>
      <c r="I67" s="54" t="n"/>
      <c r="J67" s="54" t="n"/>
      <c r="K67" s="56">
        <f>IF(SUM(U67:AY67)=0,"",SUM(U67:AY67))</f>
        <v/>
      </c>
      <c r="L67" s="57">
        <f>IFERROR(INDEX(U$2:AY$2,MATCH(TRUE,U67:AY67&lt;&gt;"",0)),"")</f>
        <v/>
      </c>
      <c r="M67" s="58">
        <f>IFERROR(LOOKUP(2,1/(U67:AY67&lt;&gt;""),U$2:AY$2),"")</f>
        <v/>
      </c>
      <c r="N67" s="59">
        <f>IF(OR(G67="",M67=""),"",G67-M67)</f>
        <v/>
      </c>
      <c r="O67" s="60" t="n"/>
      <c r="P67" s="61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  <c r="AG67" s="62" t="n"/>
      <c r="AH67" s="62" t="n"/>
      <c r="AI67" s="62" t="n"/>
      <c r="AJ67" s="62" t="n"/>
      <c r="AK67" s="62" t="n"/>
      <c r="AL67" s="62" t="n"/>
      <c r="AM67" s="62" t="n"/>
      <c r="AN67" s="62" t="n"/>
      <c r="AO67" s="62" t="n"/>
      <c r="AP67" s="62" t="n"/>
      <c r="AQ67" s="62" t="n"/>
      <c r="AR67" s="62" t="n"/>
      <c r="AS67" s="62" t="n"/>
      <c r="AT67" s="62" t="n"/>
      <c r="AU67" s="62" t="n"/>
      <c r="AV67" s="62" t="n"/>
      <c r="AW67" s="62" t="n"/>
      <c r="AX67" s="62" t="n"/>
      <c r="AY67" s="62" t="n"/>
    </row>
    <row r="68">
      <c r="A68" s="38">
        <f>IF(D68="","",COUNTA($D$40:D68))</f>
        <v/>
      </c>
      <c r="B68" s="52" t="n"/>
      <c r="C68" s="65" t="inlineStr">
        <is>
          <t>마케팅2팀</t>
        </is>
      </c>
      <c r="D68" s="52" t="n"/>
      <c r="E68" s="54" t="n"/>
      <c r="F68" s="52" t="n"/>
      <c r="G68" s="55" t="n"/>
      <c r="H68" s="54" t="n"/>
      <c r="I68" s="54" t="n"/>
      <c r="J68" s="54" t="n"/>
      <c r="K68" s="56">
        <f>IF(SUM(U68:AY68)=0,"",SUM(U68:AY68))</f>
        <v/>
      </c>
      <c r="L68" s="57">
        <f>IFERROR(INDEX(U$2:AY$2,MATCH(TRUE,U68:AY68&lt;&gt;"",0)),"")</f>
        <v/>
      </c>
      <c r="M68" s="58">
        <f>IFERROR(LOOKUP(2,1/(U68:AY68&lt;&gt;""),U$2:AY$2),"")</f>
        <v/>
      </c>
      <c r="N68" s="59">
        <f>IF(OR(G68="",M68=""),"",G68-M68)</f>
        <v/>
      </c>
      <c r="O68" s="60" t="n"/>
      <c r="P68" s="61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  <c r="AG68" s="62" t="n"/>
      <c r="AH68" s="62" t="n"/>
      <c r="AI68" s="62" t="n"/>
      <c r="AJ68" s="62" t="n"/>
      <c r="AK68" s="62" t="n"/>
      <c r="AL68" s="62" t="n"/>
      <c r="AM68" s="62" t="n"/>
      <c r="AN68" s="62" t="n"/>
      <c r="AO68" s="62" t="n"/>
      <c r="AP68" s="62" t="n"/>
      <c r="AQ68" s="62" t="n"/>
      <c r="AR68" s="62" t="n"/>
      <c r="AS68" s="62" t="n"/>
      <c r="AT68" s="62" t="n"/>
      <c r="AU68" s="62" t="n"/>
      <c r="AV68" s="62" t="n"/>
      <c r="AW68" s="62" t="n"/>
      <c r="AX68" s="62" t="n"/>
      <c r="AY68" s="62" t="n"/>
    </row>
    <row r="69">
      <c r="A69" s="38">
        <f>IF(D69="","",COUNTA($D$40:D69))</f>
        <v/>
      </c>
      <c r="B69" s="52" t="n"/>
      <c r="C69" s="65" t="inlineStr">
        <is>
          <t>마케팅2팀</t>
        </is>
      </c>
      <c r="D69" s="52" t="n"/>
      <c r="E69" s="54" t="n"/>
      <c r="F69" s="52" t="n"/>
      <c r="G69" s="55" t="n"/>
      <c r="H69" s="54" t="n"/>
      <c r="I69" s="54" t="n"/>
      <c r="J69" s="54" t="n"/>
      <c r="K69" s="56">
        <f>IF(SUM(U69:AY69)=0,"",SUM(U69:AY69))</f>
        <v/>
      </c>
      <c r="L69" s="57">
        <f>IFERROR(INDEX(U$2:AY$2,MATCH(TRUE,U69:AY69&lt;&gt;"",0)),"")</f>
        <v/>
      </c>
      <c r="M69" s="58">
        <f>IFERROR(LOOKUP(2,1/(U69:AY69&lt;&gt;""),U$2:AY$2),"")</f>
        <v/>
      </c>
      <c r="N69" s="59">
        <f>IF(OR(G69="",M69=""),"",G69-M69)</f>
        <v/>
      </c>
      <c r="O69" s="60" t="n"/>
      <c r="P69" s="61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  <c r="AG69" s="62" t="n"/>
      <c r="AH69" s="62" t="n"/>
      <c r="AI69" s="62" t="n"/>
      <c r="AJ69" s="62" t="n"/>
      <c r="AK69" s="62" t="n"/>
      <c r="AL69" s="62" t="n"/>
      <c r="AM69" s="62" t="n"/>
      <c r="AN69" s="62" t="n"/>
      <c r="AO69" s="62" t="n"/>
      <c r="AP69" s="62" t="n"/>
      <c r="AQ69" s="62" t="n"/>
      <c r="AR69" s="62" t="n"/>
      <c r="AS69" s="62" t="n"/>
      <c r="AT69" s="62" t="n"/>
      <c r="AU69" s="62" t="n"/>
      <c r="AV69" s="62" t="n"/>
      <c r="AW69" s="62" t="n"/>
      <c r="AX69" s="62" t="n"/>
      <c r="AY69" s="62" t="n"/>
    </row>
    <row r="70">
      <c r="A70" s="66" t="inlineStr">
        <is>
          <t>마케팅3팀  (71~100행)</t>
        </is>
      </c>
      <c r="U70" s="67" t="n"/>
      <c r="V70" s="67" t="n"/>
      <c r="W70" s="67" t="n"/>
      <c r="X70" s="67" t="n"/>
      <c r="Y70" s="67" t="n"/>
      <c r="Z70" s="67" t="n"/>
      <c r="AA70" s="67" t="n"/>
      <c r="AB70" s="67" t="n"/>
      <c r="AC70" s="67" t="n"/>
      <c r="AD70" s="67" t="n"/>
      <c r="AE70" s="67" t="n"/>
      <c r="AF70" s="67" t="n"/>
      <c r="AG70" s="67" t="n"/>
      <c r="AH70" s="67" t="n"/>
      <c r="AI70" s="67" t="n"/>
      <c r="AJ70" s="67" t="n"/>
      <c r="AK70" s="67" t="n"/>
      <c r="AL70" s="67" t="n"/>
      <c r="AM70" s="67" t="n"/>
      <c r="AN70" s="67" t="n"/>
      <c r="AO70" s="67" t="n"/>
      <c r="AP70" s="67" t="n"/>
      <c r="AQ70" s="67" t="n"/>
      <c r="AR70" s="67" t="n"/>
      <c r="AS70" s="67" t="n"/>
      <c r="AT70" s="67" t="n"/>
      <c r="AU70" s="67" t="n"/>
      <c r="AV70" s="67" t="n"/>
      <c r="AW70" s="67" t="n"/>
      <c r="AX70" s="67" t="n"/>
      <c r="AY70" s="67" t="n"/>
    </row>
    <row r="71">
      <c r="A71" s="38">
        <f>IF(D71="","",COUNTA($D$71:D71))</f>
        <v/>
      </c>
      <c r="B71" s="52" t="inlineStr">
        <is>
          <t>SOL 인챈트</t>
        </is>
      </c>
      <c r="C71" s="68" t="inlineStr">
        <is>
          <t>마케팅3팀</t>
        </is>
      </c>
      <c r="D71" s="52" t="inlineStr">
        <is>
          <t>SOL_000120_카운트다운</t>
        </is>
      </c>
      <c r="E71" s="54" t="inlineStr">
        <is>
          <t>기획</t>
        </is>
      </c>
      <c r="F71" s="52" t="inlineStr">
        <is>
          <t>최한은</t>
        </is>
      </c>
      <c r="G71" s="55">
        <f>DATE(2026,8,10)</f>
        <v/>
      </c>
      <c r="H71" s="54" t="n">
        <v>0</v>
      </c>
      <c r="I71" s="54" t="n">
        <v>0</v>
      </c>
      <c r="J71" s="54" t="n">
        <v>0</v>
      </c>
      <c r="K71" s="56">
        <f>IF(SUM(U71:AY71)=0,"",SUM(U71:AY71))</f>
        <v/>
      </c>
      <c r="L71" s="57">
        <f>IFERROR(INDEX(U$2:AY$2,MATCH(TRUE,U71:AY71&lt;&gt;"",0)),"")</f>
        <v/>
      </c>
      <c r="M71" s="58">
        <f>IFERROR(LOOKUP(2,1/(U71:AY71&lt;&gt;""),U$2:AY$2),"")</f>
        <v/>
      </c>
      <c r="N71" s="59">
        <f>IF(OR(G71="",M71=""),"",G71-M71)</f>
        <v/>
      </c>
      <c r="O71" s="60" t="inlineStr">
        <is>
          <t>완료</t>
        </is>
      </c>
      <c r="P71" s="61" t="inlineStr">
        <is>
          <t>Chatgpt</t>
        </is>
      </c>
      <c r="U71" s="62" t="n"/>
      <c r="V71" s="62" t="n"/>
      <c r="W71" s="62" t="n"/>
      <c r="X71" s="62" t="n"/>
      <c r="Y71" s="62" t="n">
        <v>0.3</v>
      </c>
      <c r="Z71" s="62" t="n"/>
      <c r="AA71" s="62" t="n"/>
      <c r="AB71" s="62" t="n"/>
      <c r="AC71" s="62" t="n"/>
      <c r="AD71" s="62" t="n"/>
      <c r="AE71" s="62" t="n"/>
      <c r="AF71" s="62" t="n"/>
      <c r="AG71" s="62" t="n"/>
      <c r="AH71" s="62" t="n"/>
      <c r="AI71" s="62" t="n"/>
      <c r="AJ71" s="62" t="n"/>
      <c r="AK71" s="62" t="n"/>
      <c r="AL71" s="62" t="n"/>
      <c r="AM71" s="62" t="n"/>
      <c r="AN71" s="62" t="n"/>
      <c r="AO71" s="62" t="n"/>
      <c r="AP71" s="62" t="n"/>
      <c r="AQ71" s="62" t="n"/>
      <c r="AR71" s="62" t="n"/>
      <c r="AS71" s="62" t="n"/>
      <c r="AT71" s="62" t="n"/>
      <c r="AU71" s="62" t="n"/>
      <c r="AV71" s="62" t="n"/>
      <c r="AW71" s="62" t="n"/>
      <c r="AX71" s="62" t="n"/>
      <c r="AY71" s="62" t="n"/>
    </row>
    <row r="72">
      <c r="A72" s="38">
        <f>IF(D72="","",COUNTA($D$71:D72))</f>
        <v/>
      </c>
      <c r="B72" s="52" t="inlineStr">
        <is>
          <t>SOL 인챈트</t>
        </is>
      </c>
      <c r="C72" s="68" t="inlineStr">
        <is>
          <t>마케팅3팀</t>
        </is>
      </c>
      <c r="D72" s="52" t="inlineStr">
        <is>
          <t>SOL_000120_카운트다운</t>
        </is>
      </c>
      <c r="E72" s="54" t="inlineStr">
        <is>
          <t>이미지</t>
        </is>
      </c>
      <c r="F72" s="52" t="inlineStr">
        <is>
          <t>김민성</t>
        </is>
      </c>
      <c r="G72" s="55">
        <f>DATE(2026,8,10)</f>
        <v/>
      </c>
      <c r="H72" s="54" t="n">
        <v>0</v>
      </c>
      <c r="I72" s="54" t="n">
        <v>0</v>
      </c>
      <c r="J72" s="54" t="n">
        <v>0</v>
      </c>
      <c r="K72" s="56">
        <f>IF(SUM(U72:AY72)=0,"",SUM(U72:AY72))</f>
        <v/>
      </c>
      <c r="L72" s="57">
        <f>IFERROR(INDEX(U$2:AY$2,MATCH(TRUE,U72:AY72&lt;&gt;"",0)),"")</f>
        <v/>
      </c>
      <c r="M72" s="58">
        <f>IFERROR(LOOKUP(2,1/(U72:AY72&lt;&gt;""),U$2:AY$2),"")</f>
        <v/>
      </c>
      <c r="N72" s="59">
        <f>IF(OR(G72="",M72=""),"",G72-M72)</f>
        <v/>
      </c>
      <c r="O72" s="60" t="inlineStr">
        <is>
          <t>완료</t>
        </is>
      </c>
      <c r="P72" s="61" t="inlineStr">
        <is>
          <t>Freepik</t>
        </is>
      </c>
      <c r="U72" s="62" t="n"/>
      <c r="V72" s="62" t="n"/>
      <c r="W72" s="62" t="n"/>
      <c r="X72" s="62" t="n"/>
      <c r="Y72" s="62" t="n">
        <v>1.5</v>
      </c>
      <c r="Z72" s="62" t="n"/>
      <c r="AA72" s="62" t="n"/>
      <c r="AB72" s="62" t="n"/>
      <c r="AC72" s="62" t="n"/>
      <c r="AD72" s="62" t="n"/>
      <c r="AE72" s="62" t="n"/>
      <c r="AF72" s="62" t="n"/>
      <c r="AG72" s="62" t="n"/>
      <c r="AH72" s="62" t="n"/>
      <c r="AI72" s="62" t="n"/>
      <c r="AJ72" s="62" t="n"/>
      <c r="AK72" s="62" t="n"/>
      <c r="AL72" s="62" t="n"/>
      <c r="AM72" s="62" t="n"/>
      <c r="AN72" s="62" t="n"/>
      <c r="AO72" s="62" t="n"/>
      <c r="AP72" s="62" t="n"/>
      <c r="AQ72" s="62" t="n"/>
      <c r="AR72" s="62" t="n"/>
      <c r="AS72" s="62" t="n"/>
      <c r="AT72" s="62" t="n"/>
      <c r="AU72" s="62" t="n"/>
      <c r="AV72" s="62" t="n"/>
      <c r="AW72" s="62" t="n"/>
      <c r="AX72" s="62" t="n"/>
      <c r="AY72" s="62" t="n"/>
    </row>
    <row r="73">
      <c r="A73" s="38">
        <f>IF(D73="","",COUNTA($D$71:D73))</f>
        <v/>
      </c>
      <c r="B73" s="52" t="inlineStr">
        <is>
          <t>SOL 인챈트</t>
        </is>
      </c>
      <c r="C73" s="68" t="inlineStr">
        <is>
          <t>마케팅3팀</t>
        </is>
      </c>
      <c r="D73" s="52" t="inlineStr">
        <is>
          <t>SOL_000120_카운트다운</t>
        </is>
      </c>
      <c r="E73" s="54" t="inlineStr">
        <is>
          <t>영상</t>
        </is>
      </c>
      <c r="F73" s="52" t="inlineStr">
        <is>
          <t>강승일</t>
        </is>
      </c>
      <c r="G73" s="55">
        <f>DATE(2026,8,10)</f>
        <v/>
      </c>
      <c r="H73" s="54" t="n">
        <v>1</v>
      </c>
      <c r="I73" s="54" t="n">
        <v>0</v>
      </c>
      <c r="J73" s="54" t="n">
        <v>0</v>
      </c>
      <c r="K73" s="56">
        <f>IF(SUM(U73:AY73)=0,"",SUM(U73:AY73))</f>
        <v/>
      </c>
      <c r="L73" s="57">
        <f>IFERROR(INDEX(U$2:AY$2,MATCH(TRUE,U73:AY73&lt;&gt;"",0)),"")</f>
        <v/>
      </c>
      <c r="M73" s="58">
        <f>IFERROR(LOOKUP(2,1/(U73:AY73&lt;&gt;""),U$2:AY$2),"")</f>
        <v/>
      </c>
      <c r="N73" s="59">
        <f>IF(OR(G73="",M73=""),"",G73-M73)</f>
        <v/>
      </c>
      <c r="O73" s="60" t="inlineStr">
        <is>
          <t>진행</t>
        </is>
      </c>
      <c r="P73" s="61" t="inlineStr">
        <is>
          <t>Kling</t>
        </is>
      </c>
      <c r="U73" s="62" t="n"/>
      <c r="V73" s="62" t="n"/>
      <c r="W73" s="62" t="n"/>
      <c r="X73" s="62" t="n"/>
      <c r="Y73" s="62" t="n"/>
      <c r="Z73" s="62" t="n">
        <v>1</v>
      </c>
      <c r="AA73" s="62" t="n">
        <v>1</v>
      </c>
      <c r="AB73" s="62" t="n"/>
      <c r="AC73" s="62" t="n"/>
      <c r="AD73" s="62" t="n"/>
      <c r="AE73" s="62" t="n"/>
      <c r="AF73" s="62" t="n"/>
      <c r="AG73" s="62" t="n"/>
      <c r="AH73" s="62" t="n"/>
      <c r="AI73" s="62" t="n"/>
      <c r="AJ73" s="62" t="n"/>
      <c r="AK73" s="62" t="n"/>
      <c r="AL73" s="62" t="n"/>
      <c r="AM73" s="62" t="n"/>
      <c r="AN73" s="62" t="n"/>
      <c r="AO73" s="62" t="n"/>
      <c r="AP73" s="62" t="n"/>
      <c r="AQ73" s="62" t="n"/>
      <c r="AR73" s="62" t="n"/>
      <c r="AS73" s="62" t="n"/>
      <c r="AT73" s="62" t="n"/>
      <c r="AU73" s="62" t="n"/>
      <c r="AV73" s="62" t="n"/>
      <c r="AW73" s="62" t="n"/>
      <c r="AX73" s="62" t="n"/>
      <c r="AY73" s="62" t="n"/>
    </row>
    <row r="74">
      <c r="A74" s="38">
        <f>IF(D74="","",COUNTA($D$71:D74))</f>
        <v/>
      </c>
      <c r="B74" s="52" t="n"/>
      <c r="C74" s="68" t="inlineStr">
        <is>
          <t>마케팅3팀</t>
        </is>
      </c>
      <c r="D74" s="52" t="n"/>
      <c r="E74" s="54" t="n"/>
      <c r="F74" s="52" t="n"/>
      <c r="G74" s="55" t="n"/>
      <c r="H74" s="54" t="n"/>
      <c r="I74" s="54" t="n"/>
      <c r="J74" s="54" t="n"/>
      <c r="K74" s="56">
        <f>IF(SUM(U74:AY74)=0,"",SUM(U74:AY74))</f>
        <v/>
      </c>
      <c r="L74" s="57">
        <f>IFERROR(INDEX(U$2:AY$2,MATCH(TRUE,U74:AY74&lt;&gt;"",0)),"")</f>
        <v/>
      </c>
      <c r="M74" s="58">
        <f>IFERROR(LOOKUP(2,1/(U74:AY74&lt;&gt;""),U$2:AY$2),"")</f>
        <v/>
      </c>
      <c r="N74" s="59">
        <f>IF(OR(G74="",M74=""),"",G74-M74)</f>
        <v/>
      </c>
      <c r="O74" s="60" t="n"/>
      <c r="P74" s="61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  <c r="AG74" s="62" t="n"/>
      <c r="AH74" s="62" t="n"/>
      <c r="AI74" s="62" t="n"/>
      <c r="AJ74" s="62" t="n"/>
      <c r="AK74" s="62" t="n"/>
      <c r="AL74" s="62" t="n"/>
      <c r="AM74" s="62" t="n"/>
      <c r="AN74" s="62" t="n"/>
      <c r="AO74" s="62" t="n"/>
      <c r="AP74" s="62" t="n"/>
      <c r="AQ74" s="62" t="n"/>
      <c r="AR74" s="62" t="n"/>
      <c r="AS74" s="62" t="n"/>
      <c r="AT74" s="62" t="n"/>
      <c r="AU74" s="62" t="n"/>
      <c r="AV74" s="62" t="n"/>
      <c r="AW74" s="62" t="n"/>
      <c r="AX74" s="62" t="n"/>
      <c r="AY74" s="62" t="n"/>
    </row>
    <row r="75">
      <c r="A75" s="38">
        <f>IF(D75="","",COUNTA($D$71:D75))</f>
        <v/>
      </c>
      <c r="B75" s="52" t="n"/>
      <c r="C75" s="68" t="inlineStr">
        <is>
          <t>마케팅3팀</t>
        </is>
      </c>
      <c r="D75" s="52" t="n"/>
      <c r="E75" s="54" t="n"/>
      <c r="F75" s="52" t="n"/>
      <c r="G75" s="55" t="n"/>
      <c r="H75" s="54" t="n"/>
      <c r="I75" s="54" t="n"/>
      <c r="J75" s="54" t="n"/>
      <c r="K75" s="56">
        <f>IF(SUM(U75:AY75)=0,"",SUM(U75:AY75))</f>
        <v/>
      </c>
      <c r="L75" s="57">
        <f>IFERROR(INDEX(U$2:AY$2,MATCH(TRUE,U75:AY75&lt;&gt;"",0)),"")</f>
        <v/>
      </c>
      <c r="M75" s="58">
        <f>IFERROR(LOOKUP(2,1/(U75:AY75&lt;&gt;""),U$2:AY$2),"")</f>
        <v/>
      </c>
      <c r="N75" s="59">
        <f>IF(OR(G75="",M75=""),"",G75-M75)</f>
        <v/>
      </c>
      <c r="O75" s="60" t="n"/>
      <c r="P75" s="61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  <c r="AG75" s="62" t="n"/>
      <c r="AH75" s="62" t="n"/>
      <c r="AI75" s="62" t="n"/>
      <c r="AJ75" s="62" t="n"/>
      <c r="AK75" s="62" t="n"/>
      <c r="AL75" s="62" t="n"/>
      <c r="AM75" s="62" t="n"/>
      <c r="AN75" s="62" t="n"/>
      <c r="AO75" s="62" t="n"/>
      <c r="AP75" s="62" t="n"/>
      <c r="AQ75" s="62" t="n"/>
      <c r="AR75" s="62" t="n"/>
      <c r="AS75" s="62" t="n"/>
      <c r="AT75" s="62" t="n"/>
      <c r="AU75" s="62" t="n"/>
      <c r="AV75" s="62" t="n"/>
      <c r="AW75" s="62" t="n"/>
      <c r="AX75" s="62" t="n"/>
      <c r="AY75" s="62" t="n"/>
    </row>
    <row r="76">
      <c r="A76" s="38">
        <f>IF(D76="","",COUNTA($D$71:D76))</f>
        <v/>
      </c>
      <c r="B76" s="52" t="n"/>
      <c r="C76" s="68" t="inlineStr">
        <is>
          <t>마케팅3팀</t>
        </is>
      </c>
      <c r="D76" s="52" t="n"/>
      <c r="E76" s="54" t="n"/>
      <c r="F76" s="52" t="n"/>
      <c r="G76" s="55" t="n"/>
      <c r="H76" s="54" t="n"/>
      <c r="I76" s="54" t="n"/>
      <c r="J76" s="54" t="n"/>
      <c r="K76" s="56">
        <f>IF(SUM(U76:AY76)=0,"",SUM(U76:AY76))</f>
        <v/>
      </c>
      <c r="L76" s="57">
        <f>IFERROR(INDEX(U$2:AY$2,MATCH(TRUE,U76:AY76&lt;&gt;"",0)),"")</f>
        <v/>
      </c>
      <c r="M76" s="58">
        <f>IFERROR(LOOKUP(2,1/(U76:AY76&lt;&gt;""),U$2:AY$2),"")</f>
        <v/>
      </c>
      <c r="N76" s="59">
        <f>IF(OR(G76="",M76=""),"",G76-M76)</f>
        <v/>
      </c>
      <c r="O76" s="60" t="n"/>
      <c r="P76" s="61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  <c r="AG76" s="62" t="n"/>
      <c r="AH76" s="62" t="n"/>
      <c r="AI76" s="62" t="n"/>
      <c r="AJ76" s="62" t="n"/>
      <c r="AK76" s="62" t="n"/>
      <c r="AL76" s="62" t="n"/>
      <c r="AM76" s="62" t="n"/>
      <c r="AN76" s="62" t="n"/>
      <c r="AO76" s="62" t="n"/>
      <c r="AP76" s="62" t="n"/>
      <c r="AQ76" s="62" t="n"/>
      <c r="AR76" s="62" t="n"/>
      <c r="AS76" s="62" t="n"/>
      <c r="AT76" s="62" t="n"/>
      <c r="AU76" s="62" t="n"/>
      <c r="AV76" s="62" t="n"/>
      <c r="AW76" s="62" t="n"/>
      <c r="AX76" s="62" t="n"/>
      <c r="AY76" s="62" t="n"/>
    </row>
    <row r="77">
      <c r="A77" s="38">
        <f>IF(D77="","",COUNTA($D$71:D77))</f>
        <v/>
      </c>
      <c r="B77" s="52" t="n"/>
      <c r="C77" s="68" t="inlineStr">
        <is>
          <t>마케팅3팀</t>
        </is>
      </c>
      <c r="D77" s="52" t="n"/>
      <c r="E77" s="54" t="n"/>
      <c r="F77" s="52" t="n"/>
      <c r="G77" s="55" t="n"/>
      <c r="H77" s="54" t="n"/>
      <c r="I77" s="54" t="n"/>
      <c r="J77" s="54" t="n"/>
      <c r="K77" s="56">
        <f>IF(SUM(U77:AY77)=0,"",SUM(U77:AY77))</f>
        <v/>
      </c>
      <c r="L77" s="57">
        <f>IFERROR(INDEX(U$2:AY$2,MATCH(TRUE,U77:AY77&lt;&gt;"",0)),"")</f>
        <v/>
      </c>
      <c r="M77" s="58">
        <f>IFERROR(LOOKUP(2,1/(U77:AY77&lt;&gt;""),U$2:AY$2),"")</f>
        <v/>
      </c>
      <c r="N77" s="59">
        <f>IF(OR(G77="",M77=""),"",G77-M77)</f>
        <v/>
      </c>
      <c r="O77" s="60" t="n"/>
      <c r="P77" s="61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  <c r="AG77" s="62" t="n"/>
      <c r="AH77" s="62" t="n"/>
      <c r="AI77" s="62" t="n"/>
      <c r="AJ77" s="62" t="n"/>
      <c r="AK77" s="62" t="n"/>
      <c r="AL77" s="62" t="n"/>
      <c r="AM77" s="62" t="n"/>
      <c r="AN77" s="62" t="n"/>
      <c r="AO77" s="62" t="n"/>
      <c r="AP77" s="62" t="n"/>
      <c r="AQ77" s="62" t="n"/>
      <c r="AR77" s="62" t="n"/>
      <c r="AS77" s="62" t="n"/>
      <c r="AT77" s="62" t="n"/>
      <c r="AU77" s="62" t="n"/>
      <c r="AV77" s="62" t="n"/>
      <c r="AW77" s="62" t="n"/>
      <c r="AX77" s="62" t="n"/>
      <c r="AY77" s="62" t="n"/>
    </row>
    <row r="78">
      <c r="A78" s="38">
        <f>IF(D78="","",COUNTA($D$71:D78))</f>
        <v/>
      </c>
      <c r="B78" s="52" t="n"/>
      <c r="C78" s="68" t="inlineStr">
        <is>
          <t>마케팅3팀</t>
        </is>
      </c>
      <c r="D78" s="52" t="n"/>
      <c r="E78" s="54" t="n"/>
      <c r="F78" s="52" t="n"/>
      <c r="G78" s="55" t="n"/>
      <c r="H78" s="54" t="n"/>
      <c r="I78" s="54" t="n"/>
      <c r="J78" s="54" t="n"/>
      <c r="K78" s="56">
        <f>IF(SUM(U78:AY78)=0,"",SUM(U78:AY78))</f>
        <v/>
      </c>
      <c r="L78" s="57">
        <f>IFERROR(INDEX(U$2:AY$2,MATCH(TRUE,U78:AY78&lt;&gt;"",0)),"")</f>
        <v/>
      </c>
      <c r="M78" s="58">
        <f>IFERROR(LOOKUP(2,1/(U78:AY78&lt;&gt;""),U$2:AY$2),"")</f>
        <v/>
      </c>
      <c r="N78" s="59">
        <f>IF(OR(G78="",M78=""),"",G78-M78)</f>
        <v/>
      </c>
      <c r="O78" s="60" t="n"/>
      <c r="P78" s="61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  <c r="AG78" s="62" t="n"/>
      <c r="AH78" s="62" t="n"/>
      <c r="AI78" s="62" t="n"/>
      <c r="AJ78" s="62" t="n"/>
      <c r="AK78" s="62" t="n"/>
      <c r="AL78" s="62" t="n"/>
      <c r="AM78" s="62" t="n"/>
      <c r="AN78" s="62" t="n"/>
      <c r="AO78" s="62" t="n"/>
      <c r="AP78" s="62" t="n"/>
      <c r="AQ78" s="62" t="n"/>
      <c r="AR78" s="62" t="n"/>
      <c r="AS78" s="62" t="n"/>
      <c r="AT78" s="62" t="n"/>
      <c r="AU78" s="62" t="n"/>
      <c r="AV78" s="62" t="n"/>
      <c r="AW78" s="62" t="n"/>
      <c r="AX78" s="62" t="n"/>
      <c r="AY78" s="62" t="n"/>
    </row>
    <row r="79">
      <c r="A79" s="38">
        <f>IF(D79="","",COUNTA($D$71:D79))</f>
        <v/>
      </c>
      <c r="B79" s="52" t="n"/>
      <c r="C79" s="68" t="inlineStr">
        <is>
          <t>마케팅3팀</t>
        </is>
      </c>
      <c r="D79" s="52" t="n"/>
      <c r="E79" s="54" t="n"/>
      <c r="F79" s="52" t="n"/>
      <c r="G79" s="55" t="n"/>
      <c r="H79" s="54" t="n"/>
      <c r="I79" s="54" t="n"/>
      <c r="J79" s="54" t="n"/>
      <c r="K79" s="56">
        <f>IF(SUM(U79:AY79)=0,"",SUM(U79:AY79))</f>
        <v/>
      </c>
      <c r="L79" s="57">
        <f>IFERROR(INDEX(U$2:AY$2,MATCH(TRUE,U79:AY79&lt;&gt;"",0)),"")</f>
        <v/>
      </c>
      <c r="M79" s="58">
        <f>IFERROR(LOOKUP(2,1/(U79:AY79&lt;&gt;""),U$2:AY$2),"")</f>
        <v/>
      </c>
      <c r="N79" s="59">
        <f>IF(OR(G79="",M79=""),"",G79-M79)</f>
        <v/>
      </c>
      <c r="O79" s="60" t="n"/>
      <c r="P79" s="61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  <c r="AG79" s="62" t="n"/>
      <c r="AH79" s="62" t="n"/>
      <c r="AI79" s="62" t="n"/>
      <c r="AJ79" s="62" t="n"/>
      <c r="AK79" s="62" t="n"/>
      <c r="AL79" s="62" t="n"/>
      <c r="AM79" s="62" t="n"/>
      <c r="AN79" s="62" t="n"/>
      <c r="AO79" s="62" t="n"/>
      <c r="AP79" s="62" t="n"/>
      <c r="AQ79" s="62" t="n"/>
      <c r="AR79" s="62" t="n"/>
      <c r="AS79" s="62" t="n"/>
      <c r="AT79" s="62" t="n"/>
      <c r="AU79" s="62" t="n"/>
      <c r="AV79" s="62" t="n"/>
      <c r="AW79" s="62" t="n"/>
      <c r="AX79" s="62" t="n"/>
      <c r="AY79" s="62" t="n"/>
    </row>
    <row r="80">
      <c r="A80" s="38">
        <f>IF(D80="","",COUNTA($D$71:D80))</f>
        <v/>
      </c>
      <c r="B80" s="52" t="n"/>
      <c r="C80" s="68" t="inlineStr">
        <is>
          <t>마케팅3팀</t>
        </is>
      </c>
      <c r="D80" s="52" t="n"/>
      <c r="E80" s="54" t="n"/>
      <c r="F80" s="52" t="n"/>
      <c r="G80" s="55" t="n"/>
      <c r="H80" s="54" t="n"/>
      <c r="I80" s="54" t="n"/>
      <c r="J80" s="54" t="n"/>
      <c r="K80" s="56">
        <f>IF(SUM(U80:AY80)=0,"",SUM(U80:AY80))</f>
        <v/>
      </c>
      <c r="L80" s="57">
        <f>IFERROR(INDEX(U$2:AY$2,MATCH(TRUE,U80:AY80&lt;&gt;"",0)),"")</f>
        <v/>
      </c>
      <c r="M80" s="58">
        <f>IFERROR(LOOKUP(2,1/(U80:AY80&lt;&gt;""),U$2:AY$2),"")</f>
        <v/>
      </c>
      <c r="N80" s="59">
        <f>IF(OR(G80="",M80=""),"",G80-M80)</f>
        <v/>
      </c>
      <c r="O80" s="60" t="n"/>
      <c r="P80" s="61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  <c r="AG80" s="62" t="n"/>
      <c r="AH80" s="62" t="n"/>
      <c r="AI80" s="62" t="n"/>
      <c r="AJ80" s="62" t="n"/>
      <c r="AK80" s="62" t="n"/>
      <c r="AL80" s="62" t="n"/>
      <c r="AM80" s="62" t="n"/>
      <c r="AN80" s="62" t="n"/>
      <c r="AO80" s="62" t="n"/>
      <c r="AP80" s="62" t="n"/>
      <c r="AQ80" s="62" t="n"/>
      <c r="AR80" s="62" t="n"/>
      <c r="AS80" s="62" t="n"/>
      <c r="AT80" s="62" t="n"/>
      <c r="AU80" s="62" t="n"/>
      <c r="AV80" s="62" t="n"/>
      <c r="AW80" s="62" t="n"/>
      <c r="AX80" s="62" t="n"/>
      <c r="AY80" s="62" t="n"/>
    </row>
    <row r="81">
      <c r="A81" s="38">
        <f>IF(D81="","",COUNTA($D$71:D81))</f>
        <v/>
      </c>
      <c r="B81" s="52" t="n"/>
      <c r="C81" s="68" t="inlineStr">
        <is>
          <t>마케팅3팀</t>
        </is>
      </c>
      <c r="D81" s="52" t="n"/>
      <c r="E81" s="54" t="n"/>
      <c r="F81" s="52" t="n"/>
      <c r="G81" s="55" t="n"/>
      <c r="H81" s="54" t="n"/>
      <c r="I81" s="54" t="n"/>
      <c r="J81" s="54" t="n"/>
      <c r="K81" s="56">
        <f>IF(SUM(U81:AY81)=0,"",SUM(U81:AY81))</f>
        <v/>
      </c>
      <c r="L81" s="57">
        <f>IFERROR(INDEX(U$2:AY$2,MATCH(TRUE,U81:AY81&lt;&gt;"",0)),"")</f>
        <v/>
      </c>
      <c r="M81" s="58">
        <f>IFERROR(LOOKUP(2,1/(U81:AY81&lt;&gt;""),U$2:AY$2),"")</f>
        <v/>
      </c>
      <c r="N81" s="59">
        <f>IF(OR(G81="",M81=""),"",G81-M81)</f>
        <v/>
      </c>
      <c r="O81" s="60" t="n"/>
      <c r="P81" s="61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  <c r="AG81" s="62" t="n"/>
      <c r="AH81" s="62" t="n"/>
      <c r="AI81" s="62" t="n"/>
      <c r="AJ81" s="62" t="n"/>
      <c r="AK81" s="62" t="n"/>
      <c r="AL81" s="62" t="n"/>
      <c r="AM81" s="62" t="n"/>
      <c r="AN81" s="62" t="n"/>
      <c r="AO81" s="62" t="n"/>
      <c r="AP81" s="62" t="n"/>
      <c r="AQ81" s="62" t="n"/>
      <c r="AR81" s="62" t="n"/>
      <c r="AS81" s="62" t="n"/>
      <c r="AT81" s="62" t="n"/>
      <c r="AU81" s="62" t="n"/>
      <c r="AV81" s="62" t="n"/>
      <c r="AW81" s="62" t="n"/>
      <c r="AX81" s="62" t="n"/>
      <c r="AY81" s="62" t="n"/>
    </row>
    <row r="82">
      <c r="A82" s="38">
        <f>IF(D82="","",COUNTA($D$71:D82))</f>
        <v/>
      </c>
      <c r="B82" s="52" t="n"/>
      <c r="C82" s="68" t="inlineStr">
        <is>
          <t>마케팅3팀</t>
        </is>
      </c>
      <c r="D82" s="52" t="n"/>
      <c r="E82" s="54" t="n"/>
      <c r="F82" s="52" t="n"/>
      <c r="G82" s="55" t="n"/>
      <c r="H82" s="54" t="n"/>
      <c r="I82" s="54" t="n"/>
      <c r="J82" s="54" t="n"/>
      <c r="K82" s="56">
        <f>IF(SUM(U82:AY82)=0,"",SUM(U82:AY82))</f>
        <v/>
      </c>
      <c r="L82" s="57">
        <f>IFERROR(INDEX(U$2:AY$2,MATCH(TRUE,U82:AY82&lt;&gt;"",0)),"")</f>
        <v/>
      </c>
      <c r="M82" s="58">
        <f>IFERROR(LOOKUP(2,1/(U82:AY82&lt;&gt;""),U$2:AY$2),"")</f>
        <v/>
      </c>
      <c r="N82" s="59">
        <f>IF(OR(G82="",M82=""),"",G82-M82)</f>
        <v/>
      </c>
      <c r="O82" s="60" t="n"/>
      <c r="P82" s="61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  <c r="AG82" s="62" t="n"/>
      <c r="AH82" s="62" t="n"/>
      <c r="AI82" s="62" t="n"/>
      <c r="AJ82" s="62" t="n"/>
      <c r="AK82" s="62" t="n"/>
      <c r="AL82" s="62" t="n"/>
      <c r="AM82" s="62" t="n"/>
      <c r="AN82" s="62" t="n"/>
      <c r="AO82" s="62" t="n"/>
      <c r="AP82" s="62" t="n"/>
      <c r="AQ82" s="62" t="n"/>
      <c r="AR82" s="62" t="n"/>
      <c r="AS82" s="62" t="n"/>
      <c r="AT82" s="62" t="n"/>
      <c r="AU82" s="62" t="n"/>
      <c r="AV82" s="62" t="n"/>
      <c r="AW82" s="62" t="n"/>
      <c r="AX82" s="62" t="n"/>
      <c r="AY82" s="62" t="n"/>
    </row>
    <row r="83">
      <c r="A83" s="38">
        <f>IF(D83="","",COUNTA($D$71:D83))</f>
        <v/>
      </c>
      <c r="B83" s="52" t="n"/>
      <c r="C83" s="68" t="inlineStr">
        <is>
          <t>마케팅3팀</t>
        </is>
      </c>
      <c r="D83" s="52" t="n"/>
      <c r="E83" s="54" t="n"/>
      <c r="F83" s="52" t="n"/>
      <c r="G83" s="55" t="n"/>
      <c r="H83" s="54" t="n"/>
      <c r="I83" s="54" t="n"/>
      <c r="J83" s="54" t="n"/>
      <c r="K83" s="56">
        <f>IF(SUM(U83:AY83)=0,"",SUM(U83:AY83))</f>
        <v/>
      </c>
      <c r="L83" s="57">
        <f>IFERROR(INDEX(U$2:AY$2,MATCH(TRUE,U83:AY83&lt;&gt;"",0)),"")</f>
        <v/>
      </c>
      <c r="M83" s="58">
        <f>IFERROR(LOOKUP(2,1/(U83:AY83&lt;&gt;""),U$2:AY$2),"")</f>
        <v/>
      </c>
      <c r="N83" s="59">
        <f>IF(OR(G83="",M83=""),"",G83-M83)</f>
        <v/>
      </c>
      <c r="O83" s="60" t="n"/>
      <c r="P83" s="61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  <c r="AG83" s="62" t="n"/>
      <c r="AH83" s="62" t="n"/>
      <c r="AI83" s="62" t="n"/>
      <c r="AJ83" s="62" t="n"/>
      <c r="AK83" s="62" t="n"/>
      <c r="AL83" s="62" t="n"/>
      <c r="AM83" s="62" t="n"/>
      <c r="AN83" s="62" t="n"/>
      <c r="AO83" s="62" t="n"/>
      <c r="AP83" s="62" t="n"/>
      <c r="AQ83" s="62" t="n"/>
      <c r="AR83" s="62" t="n"/>
      <c r="AS83" s="62" t="n"/>
      <c r="AT83" s="62" t="n"/>
      <c r="AU83" s="62" t="n"/>
      <c r="AV83" s="62" t="n"/>
      <c r="AW83" s="62" t="n"/>
      <c r="AX83" s="62" t="n"/>
      <c r="AY83" s="62" t="n"/>
    </row>
    <row r="84">
      <c r="A84" s="38">
        <f>IF(D84="","",COUNTA($D$71:D84))</f>
        <v/>
      </c>
      <c r="B84" s="52" t="n"/>
      <c r="C84" s="68" t="inlineStr">
        <is>
          <t>마케팅3팀</t>
        </is>
      </c>
      <c r="D84" s="52" t="n"/>
      <c r="E84" s="54" t="n"/>
      <c r="F84" s="52" t="n"/>
      <c r="G84" s="55" t="n"/>
      <c r="H84" s="54" t="n"/>
      <c r="I84" s="54" t="n"/>
      <c r="J84" s="54" t="n"/>
      <c r="K84" s="56">
        <f>IF(SUM(U84:AY84)=0,"",SUM(U84:AY84))</f>
        <v/>
      </c>
      <c r="L84" s="57">
        <f>IFERROR(INDEX(U$2:AY$2,MATCH(TRUE,U84:AY84&lt;&gt;"",0)),"")</f>
        <v/>
      </c>
      <c r="M84" s="58">
        <f>IFERROR(LOOKUP(2,1/(U84:AY84&lt;&gt;""),U$2:AY$2),"")</f>
        <v/>
      </c>
      <c r="N84" s="59">
        <f>IF(OR(G84="",M84=""),"",G84-M84)</f>
        <v/>
      </c>
      <c r="O84" s="60" t="n"/>
      <c r="P84" s="61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  <c r="AG84" s="62" t="n"/>
      <c r="AH84" s="62" t="n"/>
      <c r="AI84" s="62" t="n"/>
      <c r="AJ84" s="62" t="n"/>
      <c r="AK84" s="62" t="n"/>
      <c r="AL84" s="62" t="n"/>
      <c r="AM84" s="62" t="n"/>
      <c r="AN84" s="62" t="n"/>
      <c r="AO84" s="62" t="n"/>
      <c r="AP84" s="62" t="n"/>
      <c r="AQ84" s="62" t="n"/>
      <c r="AR84" s="62" t="n"/>
      <c r="AS84" s="62" t="n"/>
      <c r="AT84" s="62" t="n"/>
      <c r="AU84" s="62" t="n"/>
      <c r="AV84" s="62" t="n"/>
      <c r="AW84" s="62" t="n"/>
      <c r="AX84" s="62" t="n"/>
      <c r="AY84" s="62" t="n"/>
    </row>
    <row r="85">
      <c r="A85" s="38">
        <f>IF(D85="","",COUNTA($D$71:D85))</f>
        <v/>
      </c>
      <c r="B85" s="52" t="n"/>
      <c r="C85" s="68" t="inlineStr">
        <is>
          <t>마케팅3팀</t>
        </is>
      </c>
      <c r="D85" s="52" t="n"/>
      <c r="E85" s="54" t="n"/>
      <c r="F85" s="52" t="n"/>
      <c r="G85" s="55" t="n"/>
      <c r="H85" s="54" t="n"/>
      <c r="I85" s="54" t="n"/>
      <c r="J85" s="54" t="n"/>
      <c r="K85" s="56">
        <f>IF(SUM(U85:AY85)=0,"",SUM(U85:AY85))</f>
        <v/>
      </c>
      <c r="L85" s="57">
        <f>IFERROR(INDEX(U$2:AY$2,MATCH(TRUE,U85:AY85&lt;&gt;"",0)),"")</f>
        <v/>
      </c>
      <c r="M85" s="58">
        <f>IFERROR(LOOKUP(2,1/(U85:AY85&lt;&gt;""),U$2:AY$2),"")</f>
        <v/>
      </c>
      <c r="N85" s="59">
        <f>IF(OR(G85="",M85=""),"",G85-M85)</f>
        <v/>
      </c>
      <c r="O85" s="60" t="n"/>
      <c r="P85" s="61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  <c r="AG85" s="62" t="n"/>
      <c r="AH85" s="62" t="n"/>
      <c r="AI85" s="62" t="n"/>
      <c r="AJ85" s="62" t="n"/>
      <c r="AK85" s="62" t="n"/>
      <c r="AL85" s="62" t="n"/>
      <c r="AM85" s="62" t="n"/>
      <c r="AN85" s="62" t="n"/>
      <c r="AO85" s="62" t="n"/>
      <c r="AP85" s="62" t="n"/>
      <c r="AQ85" s="62" t="n"/>
      <c r="AR85" s="62" t="n"/>
      <c r="AS85" s="62" t="n"/>
      <c r="AT85" s="62" t="n"/>
      <c r="AU85" s="62" t="n"/>
      <c r="AV85" s="62" t="n"/>
      <c r="AW85" s="62" t="n"/>
      <c r="AX85" s="62" t="n"/>
      <c r="AY85" s="62" t="n"/>
    </row>
    <row r="86">
      <c r="A86" s="38">
        <f>IF(D86="","",COUNTA($D$71:D86))</f>
        <v/>
      </c>
      <c r="B86" s="52" t="n"/>
      <c r="C86" s="68" t="inlineStr">
        <is>
          <t>마케팅3팀</t>
        </is>
      </c>
      <c r="D86" s="52" t="n"/>
      <c r="E86" s="54" t="n"/>
      <c r="F86" s="52" t="n"/>
      <c r="G86" s="55" t="n"/>
      <c r="H86" s="54" t="n"/>
      <c r="I86" s="54" t="n"/>
      <c r="J86" s="54" t="n"/>
      <c r="K86" s="56">
        <f>IF(SUM(U86:AY86)=0,"",SUM(U86:AY86))</f>
        <v/>
      </c>
      <c r="L86" s="57">
        <f>IFERROR(INDEX(U$2:AY$2,MATCH(TRUE,U86:AY86&lt;&gt;"",0)),"")</f>
        <v/>
      </c>
      <c r="M86" s="58">
        <f>IFERROR(LOOKUP(2,1/(U86:AY86&lt;&gt;""),U$2:AY$2),"")</f>
        <v/>
      </c>
      <c r="N86" s="59">
        <f>IF(OR(G86="",M86=""),"",G86-M86)</f>
        <v/>
      </c>
      <c r="O86" s="60" t="n"/>
      <c r="P86" s="61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  <c r="AG86" s="62" t="n"/>
      <c r="AH86" s="62" t="n"/>
      <c r="AI86" s="62" t="n"/>
      <c r="AJ86" s="62" t="n"/>
      <c r="AK86" s="62" t="n"/>
      <c r="AL86" s="62" t="n"/>
      <c r="AM86" s="62" t="n"/>
      <c r="AN86" s="62" t="n"/>
      <c r="AO86" s="62" t="n"/>
      <c r="AP86" s="62" t="n"/>
      <c r="AQ86" s="62" t="n"/>
      <c r="AR86" s="62" t="n"/>
      <c r="AS86" s="62" t="n"/>
      <c r="AT86" s="62" t="n"/>
      <c r="AU86" s="62" t="n"/>
      <c r="AV86" s="62" t="n"/>
      <c r="AW86" s="62" t="n"/>
      <c r="AX86" s="62" t="n"/>
      <c r="AY86" s="62" t="n"/>
    </row>
    <row r="87">
      <c r="A87" s="38">
        <f>IF(D87="","",COUNTA($D$71:D87))</f>
        <v/>
      </c>
      <c r="B87" s="52" t="n"/>
      <c r="C87" s="68" t="inlineStr">
        <is>
          <t>마케팅3팀</t>
        </is>
      </c>
      <c r="D87" s="52" t="n"/>
      <c r="E87" s="54" t="n"/>
      <c r="F87" s="52" t="n"/>
      <c r="G87" s="55" t="n"/>
      <c r="H87" s="54" t="n"/>
      <c r="I87" s="54" t="n"/>
      <c r="J87" s="54" t="n"/>
      <c r="K87" s="56">
        <f>IF(SUM(U87:AY87)=0,"",SUM(U87:AY87))</f>
        <v/>
      </c>
      <c r="L87" s="57">
        <f>IFERROR(INDEX(U$2:AY$2,MATCH(TRUE,U87:AY87&lt;&gt;"",0)),"")</f>
        <v/>
      </c>
      <c r="M87" s="58">
        <f>IFERROR(LOOKUP(2,1/(U87:AY87&lt;&gt;""),U$2:AY$2),"")</f>
        <v/>
      </c>
      <c r="N87" s="59">
        <f>IF(OR(G87="",M87=""),"",G87-M87)</f>
        <v/>
      </c>
      <c r="O87" s="60" t="n"/>
      <c r="P87" s="61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  <c r="AG87" s="62" t="n"/>
      <c r="AH87" s="62" t="n"/>
      <c r="AI87" s="62" t="n"/>
      <c r="AJ87" s="62" t="n"/>
      <c r="AK87" s="62" t="n"/>
      <c r="AL87" s="62" t="n"/>
      <c r="AM87" s="62" t="n"/>
      <c r="AN87" s="62" t="n"/>
      <c r="AO87" s="62" t="n"/>
      <c r="AP87" s="62" t="n"/>
      <c r="AQ87" s="62" t="n"/>
      <c r="AR87" s="62" t="n"/>
      <c r="AS87" s="62" t="n"/>
      <c r="AT87" s="62" t="n"/>
      <c r="AU87" s="62" t="n"/>
      <c r="AV87" s="62" t="n"/>
      <c r="AW87" s="62" t="n"/>
      <c r="AX87" s="62" t="n"/>
      <c r="AY87" s="62" t="n"/>
    </row>
    <row r="88">
      <c r="A88" s="38">
        <f>IF(D88="","",COUNTA($D$71:D88))</f>
        <v/>
      </c>
      <c r="B88" s="52" t="n"/>
      <c r="C88" s="68" t="inlineStr">
        <is>
          <t>마케팅3팀</t>
        </is>
      </c>
      <c r="D88" s="52" t="n"/>
      <c r="E88" s="54" t="n"/>
      <c r="F88" s="52" t="n"/>
      <c r="G88" s="55" t="n"/>
      <c r="H88" s="54" t="n"/>
      <c r="I88" s="54" t="n"/>
      <c r="J88" s="54" t="n"/>
      <c r="K88" s="56">
        <f>IF(SUM(U88:AY88)=0,"",SUM(U88:AY88))</f>
        <v/>
      </c>
      <c r="L88" s="57">
        <f>IFERROR(INDEX(U$2:AY$2,MATCH(TRUE,U88:AY88&lt;&gt;"",0)),"")</f>
        <v/>
      </c>
      <c r="M88" s="58">
        <f>IFERROR(LOOKUP(2,1/(U88:AY88&lt;&gt;""),U$2:AY$2),"")</f>
        <v/>
      </c>
      <c r="N88" s="59">
        <f>IF(OR(G88="",M88=""),"",G88-M88)</f>
        <v/>
      </c>
      <c r="O88" s="60" t="n"/>
      <c r="P88" s="61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  <c r="AG88" s="62" t="n"/>
      <c r="AH88" s="62" t="n"/>
      <c r="AI88" s="62" t="n"/>
      <c r="AJ88" s="62" t="n"/>
      <c r="AK88" s="62" t="n"/>
      <c r="AL88" s="62" t="n"/>
      <c r="AM88" s="62" t="n"/>
      <c r="AN88" s="62" t="n"/>
      <c r="AO88" s="62" t="n"/>
      <c r="AP88" s="62" t="n"/>
      <c r="AQ88" s="62" t="n"/>
      <c r="AR88" s="62" t="n"/>
      <c r="AS88" s="62" t="n"/>
      <c r="AT88" s="62" t="n"/>
      <c r="AU88" s="62" t="n"/>
      <c r="AV88" s="62" t="n"/>
      <c r="AW88" s="62" t="n"/>
      <c r="AX88" s="62" t="n"/>
      <c r="AY88" s="62" t="n"/>
    </row>
    <row r="89">
      <c r="A89" s="38">
        <f>IF(D89="","",COUNTA($D$71:D89))</f>
        <v/>
      </c>
      <c r="B89" s="52" t="n"/>
      <c r="C89" s="68" t="inlineStr">
        <is>
          <t>마케팅3팀</t>
        </is>
      </c>
      <c r="D89" s="52" t="n"/>
      <c r="E89" s="54" t="n"/>
      <c r="F89" s="52" t="n"/>
      <c r="G89" s="55" t="n"/>
      <c r="H89" s="54" t="n"/>
      <c r="I89" s="54" t="n"/>
      <c r="J89" s="54" t="n"/>
      <c r="K89" s="56">
        <f>IF(SUM(U89:AY89)=0,"",SUM(U89:AY89))</f>
        <v/>
      </c>
      <c r="L89" s="57">
        <f>IFERROR(INDEX(U$2:AY$2,MATCH(TRUE,U89:AY89&lt;&gt;"",0)),"")</f>
        <v/>
      </c>
      <c r="M89" s="58">
        <f>IFERROR(LOOKUP(2,1/(U89:AY89&lt;&gt;""),U$2:AY$2),"")</f>
        <v/>
      </c>
      <c r="N89" s="59">
        <f>IF(OR(G89="",M89=""),"",G89-M89)</f>
        <v/>
      </c>
      <c r="O89" s="60" t="n"/>
      <c r="P89" s="61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  <c r="AG89" s="62" t="n"/>
      <c r="AH89" s="62" t="n"/>
      <c r="AI89" s="62" t="n"/>
      <c r="AJ89" s="62" t="n"/>
      <c r="AK89" s="62" t="n"/>
      <c r="AL89" s="62" t="n"/>
      <c r="AM89" s="62" t="n"/>
      <c r="AN89" s="62" t="n"/>
      <c r="AO89" s="62" t="n"/>
      <c r="AP89" s="62" t="n"/>
      <c r="AQ89" s="62" t="n"/>
      <c r="AR89" s="62" t="n"/>
      <c r="AS89" s="62" t="n"/>
      <c r="AT89" s="62" t="n"/>
      <c r="AU89" s="62" t="n"/>
      <c r="AV89" s="62" t="n"/>
      <c r="AW89" s="62" t="n"/>
      <c r="AX89" s="62" t="n"/>
      <c r="AY89" s="62" t="n"/>
    </row>
    <row r="90">
      <c r="A90" s="38">
        <f>IF(D90="","",COUNTA($D$71:D90))</f>
        <v/>
      </c>
      <c r="B90" s="52" t="n"/>
      <c r="C90" s="68" t="inlineStr">
        <is>
          <t>마케팅3팀</t>
        </is>
      </c>
      <c r="D90" s="52" t="n"/>
      <c r="E90" s="54" t="n"/>
      <c r="F90" s="52" t="n"/>
      <c r="G90" s="55" t="n"/>
      <c r="H90" s="54" t="n"/>
      <c r="I90" s="54" t="n"/>
      <c r="J90" s="54" t="n"/>
      <c r="K90" s="56">
        <f>IF(SUM(U90:AY90)=0,"",SUM(U90:AY90))</f>
        <v/>
      </c>
      <c r="L90" s="57">
        <f>IFERROR(INDEX(U$2:AY$2,MATCH(TRUE,U90:AY90&lt;&gt;"",0)),"")</f>
        <v/>
      </c>
      <c r="M90" s="58">
        <f>IFERROR(LOOKUP(2,1/(U90:AY90&lt;&gt;""),U$2:AY$2),"")</f>
        <v/>
      </c>
      <c r="N90" s="59">
        <f>IF(OR(G90="",M90=""),"",G90-M90)</f>
        <v/>
      </c>
      <c r="O90" s="60" t="n"/>
      <c r="P90" s="61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  <c r="AG90" s="62" t="n"/>
      <c r="AH90" s="62" t="n"/>
      <c r="AI90" s="62" t="n"/>
      <c r="AJ90" s="62" t="n"/>
      <c r="AK90" s="62" t="n"/>
      <c r="AL90" s="62" t="n"/>
      <c r="AM90" s="62" t="n"/>
      <c r="AN90" s="62" t="n"/>
      <c r="AO90" s="62" t="n"/>
      <c r="AP90" s="62" t="n"/>
      <c r="AQ90" s="62" t="n"/>
      <c r="AR90" s="62" t="n"/>
      <c r="AS90" s="62" t="n"/>
      <c r="AT90" s="62" t="n"/>
      <c r="AU90" s="62" t="n"/>
      <c r="AV90" s="62" t="n"/>
      <c r="AW90" s="62" t="n"/>
      <c r="AX90" s="62" t="n"/>
      <c r="AY90" s="62" t="n"/>
    </row>
    <row r="91">
      <c r="A91" s="38">
        <f>IF(D91="","",COUNTA($D$71:D91))</f>
        <v/>
      </c>
      <c r="B91" s="52" t="n"/>
      <c r="C91" s="68" t="inlineStr">
        <is>
          <t>마케팅3팀</t>
        </is>
      </c>
      <c r="D91" s="52" t="n"/>
      <c r="E91" s="54" t="n"/>
      <c r="F91" s="52" t="n"/>
      <c r="G91" s="55" t="n"/>
      <c r="H91" s="54" t="n"/>
      <c r="I91" s="54" t="n"/>
      <c r="J91" s="54" t="n"/>
      <c r="K91" s="56">
        <f>IF(SUM(U91:AY91)=0,"",SUM(U91:AY91))</f>
        <v/>
      </c>
      <c r="L91" s="57">
        <f>IFERROR(INDEX(U$2:AY$2,MATCH(TRUE,U91:AY91&lt;&gt;"",0)),"")</f>
        <v/>
      </c>
      <c r="M91" s="58">
        <f>IFERROR(LOOKUP(2,1/(U91:AY91&lt;&gt;""),U$2:AY$2),"")</f>
        <v/>
      </c>
      <c r="N91" s="59">
        <f>IF(OR(G91="",M91=""),"",G91-M91)</f>
        <v/>
      </c>
      <c r="O91" s="60" t="n"/>
      <c r="P91" s="61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  <c r="AG91" s="62" t="n"/>
      <c r="AH91" s="62" t="n"/>
      <c r="AI91" s="62" t="n"/>
      <c r="AJ91" s="62" t="n"/>
      <c r="AK91" s="62" t="n"/>
      <c r="AL91" s="62" t="n"/>
      <c r="AM91" s="62" t="n"/>
      <c r="AN91" s="62" t="n"/>
      <c r="AO91" s="62" t="n"/>
      <c r="AP91" s="62" t="n"/>
      <c r="AQ91" s="62" t="n"/>
      <c r="AR91" s="62" t="n"/>
      <c r="AS91" s="62" t="n"/>
      <c r="AT91" s="62" t="n"/>
      <c r="AU91" s="62" t="n"/>
      <c r="AV91" s="62" t="n"/>
      <c r="AW91" s="62" t="n"/>
      <c r="AX91" s="62" t="n"/>
      <c r="AY91" s="62" t="n"/>
    </row>
    <row r="92">
      <c r="A92" s="38">
        <f>IF(D92="","",COUNTA($D$71:D92))</f>
        <v/>
      </c>
      <c r="B92" s="52" t="n"/>
      <c r="C92" s="68" t="inlineStr">
        <is>
          <t>마케팅3팀</t>
        </is>
      </c>
      <c r="D92" s="52" t="n"/>
      <c r="E92" s="54" t="n"/>
      <c r="F92" s="52" t="n"/>
      <c r="G92" s="55" t="n"/>
      <c r="H92" s="54" t="n"/>
      <c r="I92" s="54" t="n"/>
      <c r="J92" s="54" t="n"/>
      <c r="K92" s="56">
        <f>IF(SUM(U92:AY92)=0,"",SUM(U92:AY92))</f>
        <v/>
      </c>
      <c r="L92" s="57">
        <f>IFERROR(INDEX(U$2:AY$2,MATCH(TRUE,U92:AY92&lt;&gt;"",0)),"")</f>
        <v/>
      </c>
      <c r="M92" s="58">
        <f>IFERROR(LOOKUP(2,1/(U92:AY92&lt;&gt;""),U$2:AY$2),"")</f>
        <v/>
      </c>
      <c r="N92" s="59">
        <f>IF(OR(G92="",M92=""),"",G92-M92)</f>
        <v/>
      </c>
      <c r="O92" s="60" t="n"/>
      <c r="P92" s="61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  <c r="AG92" s="62" t="n"/>
      <c r="AH92" s="62" t="n"/>
      <c r="AI92" s="62" t="n"/>
      <c r="AJ92" s="62" t="n"/>
      <c r="AK92" s="62" t="n"/>
      <c r="AL92" s="62" t="n"/>
      <c r="AM92" s="62" t="n"/>
      <c r="AN92" s="62" t="n"/>
      <c r="AO92" s="62" t="n"/>
      <c r="AP92" s="62" t="n"/>
      <c r="AQ92" s="62" t="n"/>
      <c r="AR92" s="62" t="n"/>
      <c r="AS92" s="62" t="n"/>
      <c r="AT92" s="62" t="n"/>
      <c r="AU92" s="62" t="n"/>
      <c r="AV92" s="62" t="n"/>
      <c r="AW92" s="62" t="n"/>
      <c r="AX92" s="62" t="n"/>
      <c r="AY92" s="62" t="n"/>
    </row>
    <row r="93">
      <c r="A93" s="38">
        <f>IF(D93="","",COUNTA($D$71:D93))</f>
        <v/>
      </c>
      <c r="B93" s="52" t="n"/>
      <c r="C93" s="68" t="inlineStr">
        <is>
          <t>마케팅3팀</t>
        </is>
      </c>
      <c r="D93" s="52" t="n"/>
      <c r="E93" s="54" t="n"/>
      <c r="F93" s="52" t="n"/>
      <c r="G93" s="55" t="n"/>
      <c r="H93" s="54" t="n"/>
      <c r="I93" s="54" t="n"/>
      <c r="J93" s="54" t="n"/>
      <c r="K93" s="56">
        <f>IF(SUM(U93:AY93)=0,"",SUM(U93:AY93))</f>
        <v/>
      </c>
      <c r="L93" s="57">
        <f>IFERROR(INDEX(U$2:AY$2,MATCH(TRUE,U93:AY93&lt;&gt;"",0)),"")</f>
        <v/>
      </c>
      <c r="M93" s="58">
        <f>IFERROR(LOOKUP(2,1/(U93:AY93&lt;&gt;""),U$2:AY$2),"")</f>
        <v/>
      </c>
      <c r="N93" s="59">
        <f>IF(OR(G93="",M93=""),"",G93-M93)</f>
        <v/>
      </c>
      <c r="O93" s="60" t="n"/>
      <c r="P93" s="61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  <c r="AG93" s="62" t="n"/>
      <c r="AH93" s="62" t="n"/>
      <c r="AI93" s="62" t="n"/>
      <c r="AJ93" s="62" t="n"/>
      <c r="AK93" s="62" t="n"/>
      <c r="AL93" s="62" t="n"/>
      <c r="AM93" s="62" t="n"/>
      <c r="AN93" s="62" t="n"/>
      <c r="AO93" s="62" t="n"/>
      <c r="AP93" s="62" t="n"/>
      <c r="AQ93" s="62" t="n"/>
      <c r="AR93" s="62" t="n"/>
      <c r="AS93" s="62" t="n"/>
      <c r="AT93" s="62" t="n"/>
      <c r="AU93" s="62" t="n"/>
      <c r="AV93" s="62" t="n"/>
      <c r="AW93" s="62" t="n"/>
      <c r="AX93" s="62" t="n"/>
      <c r="AY93" s="62" t="n"/>
    </row>
    <row r="94">
      <c r="A94" s="38">
        <f>IF(D94="","",COUNTA($D$71:D94))</f>
        <v/>
      </c>
      <c r="B94" s="52" t="n"/>
      <c r="C94" s="68" t="inlineStr">
        <is>
          <t>마케팅3팀</t>
        </is>
      </c>
      <c r="D94" s="52" t="n"/>
      <c r="E94" s="54" t="n"/>
      <c r="F94" s="52" t="n"/>
      <c r="G94" s="55" t="n"/>
      <c r="H94" s="54" t="n"/>
      <c r="I94" s="54" t="n"/>
      <c r="J94" s="54" t="n"/>
      <c r="K94" s="56">
        <f>IF(SUM(U94:AY94)=0,"",SUM(U94:AY94))</f>
        <v/>
      </c>
      <c r="L94" s="57">
        <f>IFERROR(INDEX(U$2:AY$2,MATCH(TRUE,U94:AY94&lt;&gt;"",0)),"")</f>
        <v/>
      </c>
      <c r="M94" s="58">
        <f>IFERROR(LOOKUP(2,1/(U94:AY94&lt;&gt;""),U$2:AY$2),"")</f>
        <v/>
      </c>
      <c r="N94" s="59">
        <f>IF(OR(G94="",M94=""),"",G94-M94)</f>
        <v/>
      </c>
      <c r="O94" s="60" t="n"/>
      <c r="P94" s="61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  <c r="AG94" s="62" t="n"/>
      <c r="AH94" s="62" t="n"/>
      <c r="AI94" s="62" t="n"/>
      <c r="AJ94" s="62" t="n"/>
      <c r="AK94" s="62" t="n"/>
      <c r="AL94" s="62" t="n"/>
      <c r="AM94" s="62" t="n"/>
      <c r="AN94" s="62" t="n"/>
      <c r="AO94" s="62" t="n"/>
      <c r="AP94" s="62" t="n"/>
      <c r="AQ94" s="62" t="n"/>
      <c r="AR94" s="62" t="n"/>
      <c r="AS94" s="62" t="n"/>
      <c r="AT94" s="62" t="n"/>
      <c r="AU94" s="62" t="n"/>
      <c r="AV94" s="62" t="n"/>
      <c r="AW94" s="62" t="n"/>
      <c r="AX94" s="62" t="n"/>
      <c r="AY94" s="62" t="n"/>
    </row>
    <row r="95">
      <c r="A95" s="38">
        <f>IF(D95="","",COUNTA($D$71:D95))</f>
        <v/>
      </c>
      <c r="B95" s="52" t="n"/>
      <c r="C95" s="68" t="inlineStr">
        <is>
          <t>마케팅3팀</t>
        </is>
      </c>
      <c r="D95" s="52" t="n"/>
      <c r="E95" s="54" t="n"/>
      <c r="F95" s="52" t="n"/>
      <c r="G95" s="55" t="n"/>
      <c r="H95" s="54" t="n"/>
      <c r="I95" s="54" t="n"/>
      <c r="J95" s="54" t="n"/>
      <c r="K95" s="56">
        <f>IF(SUM(U95:AY95)=0,"",SUM(U95:AY95))</f>
        <v/>
      </c>
      <c r="L95" s="57">
        <f>IFERROR(INDEX(U$2:AY$2,MATCH(TRUE,U95:AY95&lt;&gt;"",0)),"")</f>
        <v/>
      </c>
      <c r="M95" s="58">
        <f>IFERROR(LOOKUP(2,1/(U95:AY95&lt;&gt;""),U$2:AY$2),"")</f>
        <v/>
      </c>
      <c r="N95" s="59">
        <f>IF(OR(G95="",M95=""),"",G95-M95)</f>
        <v/>
      </c>
      <c r="O95" s="60" t="n"/>
      <c r="P95" s="61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  <c r="AG95" s="62" t="n"/>
      <c r="AH95" s="62" t="n"/>
      <c r="AI95" s="62" t="n"/>
      <c r="AJ95" s="62" t="n"/>
      <c r="AK95" s="62" t="n"/>
      <c r="AL95" s="62" t="n"/>
      <c r="AM95" s="62" t="n"/>
      <c r="AN95" s="62" t="n"/>
      <c r="AO95" s="62" t="n"/>
      <c r="AP95" s="62" t="n"/>
      <c r="AQ95" s="62" t="n"/>
      <c r="AR95" s="62" t="n"/>
      <c r="AS95" s="62" t="n"/>
      <c r="AT95" s="62" t="n"/>
      <c r="AU95" s="62" t="n"/>
      <c r="AV95" s="62" t="n"/>
      <c r="AW95" s="62" t="n"/>
      <c r="AX95" s="62" t="n"/>
      <c r="AY95" s="62" t="n"/>
    </row>
    <row r="96">
      <c r="A96" s="38">
        <f>IF(D96="","",COUNTA($D$71:D96))</f>
        <v/>
      </c>
      <c r="B96" s="52" t="n"/>
      <c r="C96" s="68" t="inlineStr">
        <is>
          <t>마케팅3팀</t>
        </is>
      </c>
      <c r="D96" s="52" t="n"/>
      <c r="E96" s="54" t="n"/>
      <c r="F96" s="52" t="n"/>
      <c r="G96" s="55" t="n"/>
      <c r="H96" s="54" t="n"/>
      <c r="I96" s="54" t="n"/>
      <c r="J96" s="54" t="n"/>
      <c r="K96" s="56">
        <f>IF(SUM(U96:AY96)=0,"",SUM(U96:AY96))</f>
        <v/>
      </c>
      <c r="L96" s="57">
        <f>IFERROR(INDEX(U$2:AY$2,MATCH(TRUE,U96:AY96&lt;&gt;"",0)),"")</f>
        <v/>
      </c>
      <c r="M96" s="58">
        <f>IFERROR(LOOKUP(2,1/(U96:AY96&lt;&gt;""),U$2:AY$2),"")</f>
        <v/>
      </c>
      <c r="N96" s="59">
        <f>IF(OR(G96="",M96=""),"",G96-M96)</f>
        <v/>
      </c>
      <c r="O96" s="60" t="n"/>
      <c r="P96" s="61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  <c r="AG96" s="62" t="n"/>
      <c r="AH96" s="62" t="n"/>
      <c r="AI96" s="62" t="n"/>
      <c r="AJ96" s="62" t="n"/>
      <c r="AK96" s="62" t="n"/>
      <c r="AL96" s="62" t="n"/>
      <c r="AM96" s="62" t="n"/>
      <c r="AN96" s="62" t="n"/>
      <c r="AO96" s="62" t="n"/>
      <c r="AP96" s="62" t="n"/>
      <c r="AQ96" s="62" t="n"/>
      <c r="AR96" s="62" t="n"/>
      <c r="AS96" s="62" t="n"/>
      <c r="AT96" s="62" t="n"/>
      <c r="AU96" s="62" t="n"/>
      <c r="AV96" s="62" t="n"/>
      <c r="AW96" s="62" t="n"/>
      <c r="AX96" s="62" t="n"/>
      <c r="AY96" s="62" t="n"/>
    </row>
    <row r="97">
      <c r="A97" s="38">
        <f>IF(D97="","",COUNTA($D$71:D97))</f>
        <v/>
      </c>
      <c r="B97" s="52" t="n"/>
      <c r="C97" s="68" t="inlineStr">
        <is>
          <t>마케팅3팀</t>
        </is>
      </c>
      <c r="D97" s="52" t="n"/>
      <c r="E97" s="54" t="n"/>
      <c r="F97" s="52" t="n"/>
      <c r="G97" s="55" t="n"/>
      <c r="H97" s="54" t="n"/>
      <c r="I97" s="54" t="n"/>
      <c r="J97" s="54" t="n"/>
      <c r="K97" s="56">
        <f>IF(SUM(U97:AY97)=0,"",SUM(U97:AY97))</f>
        <v/>
      </c>
      <c r="L97" s="57">
        <f>IFERROR(INDEX(U$2:AY$2,MATCH(TRUE,U97:AY97&lt;&gt;"",0)),"")</f>
        <v/>
      </c>
      <c r="M97" s="58">
        <f>IFERROR(LOOKUP(2,1/(U97:AY97&lt;&gt;""),U$2:AY$2),"")</f>
        <v/>
      </c>
      <c r="N97" s="59">
        <f>IF(OR(G97="",M97=""),"",G97-M97)</f>
        <v/>
      </c>
      <c r="O97" s="60" t="n"/>
      <c r="P97" s="61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  <c r="AG97" s="62" t="n"/>
      <c r="AH97" s="62" t="n"/>
      <c r="AI97" s="62" t="n"/>
      <c r="AJ97" s="62" t="n"/>
      <c r="AK97" s="62" t="n"/>
      <c r="AL97" s="62" t="n"/>
      <c r="AM97" s="62" t="n"/>
      <c r="AN97" s="62" t="n"/>
      <c r="AO97" s="62" t="n"/>
      <c r="AP97" s="62" t="n"/>
      <c r="AQ97" s="62" t="n"/>
      <c r="AR97" s="62" t="n"/>
      <c r="AS97" s="62" t="n"/>
      <c r="AT97" s="62" t="n"/>
      <c r="AU97" s="62" t="n"/>
      <c r="AV97" s="62" t="n"/>
      <c r="AW97" s="62" t="n"/>
      <c r="AX97" s="62" t="n"/>
      <c r="AY97" s="62" t="n"/>
    </row>
    <row r="98">
      <c r="A98" s="38">
        <f>IF(D98="","",COUNTA($D$71:D98))</f>
        <v/>
      </c>
      <c r="B98" s="52" t="n"/>
      <c r="C98" s="68" t="inlineStr">
        <is>
          <t>마케팅3팀</t>
        </is>
      </c>
      <c r="D98" s="52" t="n"/>
      <c r="E98" s="54" t="n"/>
      <c r="F98" s="52" t="n"/>
      <c r="G98" s="55" t="n"/>
      <c r="H98" s="54" t="n"/>
      <c r="I98" s="54" t="n"/>
      <c r="J98" s="54" t="n"/>
      <c r="K98" s="56">
        <f>IF(SUM(U98:AY98)=0,"",SUM(U98:AY98))</f>
        <v/>
      </c>
      <c r="L98" s="57">
        <f>IFERROR(INDEX(U$2:AY$2,MATCH(TRUE,U98:AY98&lt;&gt;"",0)),"")</f>
        <v/>
      </c>
      <c r="M98" s="58">
        <f>IFERROR(LOOKUP(2,1/(U98:AY98&lt;&gt;""),U$2:AY$2),"")</f>
        <v/>
      </c>
      <c r="N98" s="59">
        <f>IF(OR(G98="",M98=""),"",G98-M98)</f>
        <v/>
      </c>
      <c r="O98" s="60" t="n"/>
      <c r="P98" s="61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  <c r="AG98" s="62" t="n"/>
      <c r="AH98" s="62" t="n"/>
      <c r="AI98" s="62" t="n"/>
      <c r="AJ98" s="62" t="n"/>
      <c r="AK98" s="62" t="n"/>
      <c r="AL98" s="62" t="n"/>
      <c r="AM98" s="62" t="n"/>
      <c r="AN98" s="62" t="n"/>
      <c r="AO98" s="62" t="n"/>
      <c r="AP98" s="62" t="n"/>
      <c r="AQ98" s="62" t="n"/>
      <c r="AR98" s="62" t="n"/>
      <c r="AS98" s="62" t="n"/>
      <c r="AT98" s="62" t="n"/>
      <c r="AU98" s="62" t="n"/>
      <c r="AV98" s="62" t="n"/>
      <c r="AW98" s="62" t="n"/>
      <c r="AX98" s="62" t="n"/>
      <c r="AY98" s="62" t="n"/>
    </row>
    <row r="99">
      <c r="A99" s="38">
        <f>IF(D99="","",COUNTA($D$71:D99))</f>
        <v/>
      </c>
      <c r="B99" s="52" t="n"/>
      <c r="C99" s="68" t="inlineStr">
        <is>
          <t>마케팅3팀</t>
        </is>
      </c>
      <c r="D99" s="52" t="n"/>
      <c r="E99" s="54" t="n"/>
      <c r="F99" s="52" t="n"/>
      <c r="G99" s="55" t="n"/>
      <c r="H99" s="54" t="n"/>
      <c r="I99" s="54" t="n"/>
      <c r="J99" s="54" t="n"/>
      <c r="K99" s="56">
        <f>IF(SUM(U99:AY99)=0,"",SUM(U99:AY99))</f>
        <v/>
      </c>
      <c r="L99" s="57">
        <f>IFERROR(INDEX(U$2:AY$2,MATCH(TRUE,U99:AY99&lt;&gt;"",0)),"")</f>
        <v/>
      </c>
      <c r="M99" s="58">
        <f>IFERROR(LOOKUP(2,1/(U99:AY99&lt;&gt;""),U$2:AY$2),"")</f>
        <v/>
      </c>
      <c r="N99" s="59">
        <f>IF(OR(G99="",M99=""),"",G99-M99)</f>
        <v/>
      </c>
      <c r="O99" s="60" t="n"/>
      <c r="P99" s="61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  <c r="AG99" s="62" t="n"/>
      <c r="AH99" s="62" t="n"/>
      <c r="AI99" s="62" t="n"/>
      <c r="AJ99" s="62" t="n"/>
      <c r="AK99" s="62" t="n"/>
      <c r="AL99" s="62" t="n"/>
      <c r="AM99" s="62" t="n"/>
      <c r="AN99" s="62" t="n"/>
      <c r="AO99" s="62" t="n"/>
      <c r="AP99" s="62" t="n"/>
      <c r="AQ99" s="62" t="n"/>
      <c r="AR99" s="62" t="n"/>
      <c r="AS99" s="62" t="n"/>
      <c r="AT99" s="62" t="n"/>
      <c r="AU99" s="62" t="n"/>
      <c r="AV99" s="62" t="n"/>
      <c r="AW99" s="62" t="n"/>
      <c r="AX99" s="62" t="n"/>
      <c r="AY99" s="62" t="n"/>
    </row>
    <row r="100">
      <c r="A100" s="38">
        <f>IF(D100="","",COUNTA($D$71:D100))</f>
        <v/>
      </c>
      <c r="B100" s="52" t="n"/>
      <c r="C100" s="68" t="inlineStr">
        <is>
          <t>마케팅3팀</t>
        </is>
      </c>
      <c r="D100" s="52" t="n"/>
      <c r="E100" s="54" t="n"/>
      <c r="F100" s="52" t="n"/>
      <c r="G100" s="55" t="n"/>
      <c r="H100" s="54" t="n"/>
      <c r="I100" s="54" t="n"/>
      <c r="J100" s="54" t="n"/>
      <c r="K100" s="56">
        <f>IF(SUM(U100:AY100)=0,"",SUM(U100:AY100))</f>
        <v/>
      </c>
      <c r="L100" s="57">
        <f>IFERROR(INDEX(U$2:AY$2,MATCH(TRUE,U100:AY100&lt;&gt;"",0)),"")</f>
        <v/>
      </c>
      <c r="M100" s="58">
        <f>IFERROR(LOOKUP(2,1/(U100:AY100&lt;&gt;""),U$2:AY$2),"")</f>
        <v/>
      </c>
      <c r="N100" s="59">
        <f>IF(OR(G100="",M100=""),"",G100-M100)</f>
        <v/>
      </c>
      <c r="O100" s="60" t="n"/>
      <c r="P100" s="61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  <c r="AG100" s="62" t="n"/>
      <c r="AH100" s="62" t="n"/>
      <c r="AI100" s="62" t="n"/>
      <c r="AJ100" s="62" t="n"/>
      <c r="AK100" s="62" t="n"/>
      <c r="AL100" s="62" t="n"/>
      <c r="AM100" s="62" t="n"/>
      <c r="AN100" s="62" t="n"/>
      <c r="AO100" s="62" t="n"/>
      <c r="AP100" s="62" t="n"/>
      <c r="AQ100" s="62" t="n"/>
      <c r="AR100" s="62" t="n"/>
      <c r="AS100" s="62" t="n"/>
      <c r="AT100" s="62" t="n"/>
      <c r="AU100" s="62" t="n"/>
      <c r="AV100" s="62" t="n"/>
      <c r="AW100" s="62" t="n"/>
      <c r="AX100" s="62" t="n"/>
      <c r="AY100" s="62" t="n"/>
    </row>
    <row r="101">
      <c r="A101" s="69" t="inlineStr">
        <is>
          <t>마케팅4팀  (102~131행)</t>
        </is>
      </c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  <c r="AJ101" s="70" t="n"/>
      <c r="AK101" s="70" t="n"/>
      <c r="AL101" s="70" t="n"/>
      <c r="AM101" s="70" t="n"/>
      <c r="AN101" s="70" t="n"/>
      <c r="AO101" s="70" t="n"/>
      <c r="AP101" s="70" t="n"/>
      <c r="AQ101" s="70" t="n"/>
      <c r="AR101" s="70" t="n"/>
      <c r="AS101" s="70" t="n"/>
      <c r="AT101" s="70" t="n"/>
      <c r="AU101" s="70" t="n"/>
      <c r="AV101" s="70" t="n"/>
      <c r="AW101" s="70" t="n"/>
      <c r="AX101" s="70" t="n"/>
      <c r="AY101" s="70" t="n"/>
    </row>
    <row r="102">
      <c r="A102" s="38">
        <f>IF(D102="","",COUNTA($D$102:D102))</f>
        <v/>
      </c>
      <c r="B102" s="52" t="inlineStr">
        <is>
          <t>칠대죄오리진</t>
        </is>
      </c>
      <c r="C102" s="71" t="inlineStr">
        <is>
          <t>마케팅4팀</t>
        </is>
      </c>
      <c r="D102" s="52" t="inlineStr">
        <is>
          <t>7DSOR_스토리트레일러</t>
        </is>
      </c>
      <c r="E102" s="54" t="inlineStr">
        <is>
          <t>기획</t>
        </is>
      </c>
      <c r="F102" s="52" t="inlineStr">
        <is>
          <t>박태원</t>
        </is>
      </c>
      <c r="G102" s="55">
        <f>DATE(2026,8,5)</f>
        <v/>
      </c>
      <c r="H102" s="54" t="n">
        <v>0</v>
      </c>
      <c r="I102" s="54" t="n">
        <v>0</v>
      </c>
      <c r="J102" s="54" t="n">
        <v>0</v>
      </c>
      <c r="K102" s="56">
        <f>IF(SUM(U102:AY102)=0,"",SUM(U102:AY102))</f>
        <v/>
      </c>
      <c r="L102" s="57">
        <f>IFERROR(INDEX(U$2:AY$2,MATCH(TRUE,U102:AY102&lt;&gt;"",0)),"")</f>
        <v/>
      </c>
      <c r="M102" s="58">
        <f>IFERROR(LOOKUP(2,1/(U102:AY102&lt;&gt;""),U$2:AY$2),"")</f>
        <v/>
      </c>
      <c r="N102" s="59">
        <f>IF(OR(G102="",M102=""),"",G102-M102)</f>
        <v/>
      </c>
      <c r="O102" s="60" t="inlineStr">
        <is>
          <t>완료</t>
        </is>
      </c>
      <c r="P102" s="61" t="inlineStr">
        <is>
          <t>GPT</t>
        </is>
      </c>
      <c r="U102" s="62" t="n"/>
      <c r="V102" s="62" t="n"/>
      <c r="W102" s="62" t="n"/>
      <c r="X102" s="62" t="n"/>
      <c r="Y102" s="62" t="n">
        <v>0.5</v>
      </c>
      <c r="Z102" s="62" t="n"/>
      <c r="AA102" s="62" t="n"/>
      <c r="AB102" s="62" t="n"/>
      <c r="AC102" s="62" t="n"/>
      <c r="AD102" s="62" t="n"/>
      <c r="AE102" s="62" t="n"/>
      <c r="AF102" s="62" t="n"/>
      <c r="AG102" s="62" t="n"/>
      <c r="AH102" s="62" t="n"/>
      <c r="AI102" s="62" t="n"/>
      <c r="AJ102" s="62" t="n"/>
      <c r="AK102" s="62" t="n"/>
      <c r="AL102" s="62" t="n"/>
      <c r="AM102" s="62" t="n"/>
      <c r="AN102" s="62" t="n"/>
      <c r="AO102" s="62" t="n"/>
      <c r="AP102" s="62" t="n"/>
      <c r="AQ102" s="62" t="n"/>
      <c r="AR102" s="62" t="n"/>
      <c r="AS102" s="62" t="n"/>
      <c r="AT102" s="62" t="n"/>
      <c r="AU102" s="62" t="n"/>
      <c r="AV102" s="62" t="n"/>
      <c r="AW102" s="62" t="n"/>
      <c r="AX102" s="62" t="n"/>
      <c r="AY102" s="62" t="n"/>
    </row>
    <row r="103">
      <c r="A103" s="38">
        <f>IF(D103="","",COUNTA($D$102:D103))</f>
        <v/>
      </c>
      <c r="B103" s="52" t="inlineStr">
        <is>
          <t>칠대죄오리진</t>
        </is>
      </c>
      <c r="C103" s="71" t="inlineStr">
        <is>
          <t>마케팅4팀</t>
        </is>
      </c>
      <c r="D103" s="52" t="inlineStr">
        <is>
          <t>7DSOR_스토리트레일러</t>
        </is>
      </c>
      <c r="E103" s="54" t="inlineStr">
        <is>
          <t>이미지</t>
        </is>
      </c>
      <c r="F103" s="52" t="inlineStr">
        <is>
          <t>양재혁</t>
        </is>
      </c>
      <c r="G103" s="55">
        <f>DATE(2026,8,5)</f>
        <v/>
      </c>
      <c r="H103" s="54" t="n">
        <v>1</v>
      </c>
      <c r="I103" s="54" t="n">
        <v>2</v>
      </c>
      <c r="J103" s="54" t="n">
        <v>1</v>
      </c>
      <c r="K103" s="56">
        <f>IF(SUM(U103:AY103)=0,"",SUM(U103:AY103))</f>
        <v/>
      </c>
      <c r="L103" s="57">
        <f>IFERROR(INDEX(U$2:AY$2,MATCH(TRUE,U103:AY103&lt;&gt;"",0)),"")</f>
        <v/>
      </c>
      <c r="M103" s="58">
        <f>IFERROR(LOOKUP(2,1/(U103:AY103&lt;&gt;""),U$2:AY$2),"")</f>
        <v/>
      </c>
      <c r="N103" s="59">
        <f>IF(OR(G103="",M103=""),"",G103-M103)</f>
        <v/>
      </c>
      <c r="O103" s="60" t="inlineStr">
        <is>
          <t>진행</t>
        </is>
      </c>
      <c r="P103" s="61" t="inlineStr">
        <is>
          <t>GPT</t>
        </is>
      </c>
      <c r="U103" s="62" t="n"/>
      <c r="V103" s="62" t="n"/>
      <c r="W103" s="62" t="n"/>
      <c r="X103" s="62" t="n"/>
      <c r="Y103" s="62" t="n">
        <v>1</v>
      </c>
      <c r="Z103" s="62" t="n"/>
      <c r="AA103" s="62" t="n"/>
      <c r="AB103" s="62" t="n"/>
      <c r="AC103" s="62" t="n"/>
      <c r="AD103" s="62" t="n"/>
      <c r="AE103" s="62" t="n"/>
      <c r="AF103" s="62" t="n"/>
      <c r="AG103" s="62" t="n"/>
      <c r="AH103" s="62" t="n"/>
      <c r="AI103" s="62" t="n"/>
      <c r="AJ103" s="62" t="n"/>
      <c r="AK103" s="62" t="n"/>
      <c r="AL103" s="62" t="n"/>
      <c r="AM103" s="62" t="n"/>
      <c r="AN103" s="62" t="n"/>
      <c r="AO103" s="62" t="n"/>
      <c r="AP103" s="62" t="n"/>
      <c r="AQ103" s="62" t="n"/>
      <c r="AR103" s="62" t="n"/>
      <c r="AS103" s="62" t="n"/>
      <c r="AT103" s="62" t="n"/>
      <c r="AU103" s="62" t="n"/>
      <c r="AV103" s="62" t="n"/>
      <c r="AW103" s="62" t="n"/>
      <c r="AX103" s="62" t="n"/>
      <c r="AY103" s="62" t="n"/>
    </row>
    <row r="104">
      <c r="A104" s="38">
        <f>IF(D104="","",COUNTA($D$102:D104))</f>
        <v/>
      </c>
      <c r="B104" s="52" t="inlineStr">
        <is>
          <t>칠대죄오리진</t>
        </is>
      </c>
      <c r="C104" s="71" t="inlineStr">
        <is>
          <t>마케팅4팀</t>
        </is>
      </c>
      <c r="D104" s="52" t="inlineStr">
        <is>
          <t>7DSOR_스토리트레일러</t>
        </is>
      </c>
      <c r="E104" s="54" t="inlineStr">
        <is>
          <t>영상</t>
        </is>
      </c>
      <c r="F104" s="52" t="inlineStr">
        <is>
          <t>이지현</t>
        </is>
      </c>
      <c r="G104" s="55">
        <f>DATE(2026,8,12)</f>
        <v/>
      </c>
      <c r="H104" s="54" t="n">
        <v>0</v>
      </c>
      <c r="I104" s="54" t="n">
        <v>0</v>
      </c>
      <c r="J104" s="54" t="n">
        <v>0</v>
      </c>
      <c r="K104" s="56">
        <f>IF(SUM(U104:AY104)=0,"",SUM(U104:AY104))</f>
        <v/>
      </c>
      <c r="L104" s="57">
        <f>IFERROR(INDEX(U$2:AY$2,MATCH(TRUE,U104:AY104&lt;&gt;"",0)),"")</f>
        <v/>
      </c>
      <c r="M104" s="58">
        <f>IFERROR(LOOKUP(2,1/(U104:AY104&lt;&gt;""),U$2:AY$2),"")</f>
        <v/>
      </c>
      <c r="N104" s="59">
        <f>IF(OR(G104="",M104=""),"",G104-M104)</f>
        <v/>
      </c>
      <c r="O104" s="60" t="inlineStr">
        <is>
          <t>대기</t>
        </is>
      </c>
      <c r="P104" s="61" t="inlineStr">
        <is>
          <t>Kling</t>
        </is>
      </c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>
        <v>1.5</v>
      </c>
      <c r="AF104" s="62" t="n">
        <v>1</v>
      </c>
      <c r="AG104" s="62" t="n"/>
      <c r="AH104" s="62" t="n"/>
      <c r="AI104" s="62" t="n"/>
      <c r="AJ104" s="62" t="n"/>
      <c r="AK104" s="62" t="n"/>
      <c r="AL104" s="62" t="n"/>
      <c r="AM104" s="62" t="n"/>
      <c r="AN104" s="62" t="n"/>
      <c r="AO104" s="62" t="n"/>
      <c r="AP104" s="62" t="n"/>
      <c r="AQ104" s="62" t="n"/>
      <c r="AR104" s="62" t="n"/>
      <c r="AS104" s="62" t="n"/>
      <c r="AT104" s="62" t="n"/>
      <c r="AU104" s="62" t="n"/>
      <c r="AV104" s="62" t="n"/>
      <c r="AW104" s="62" t="n"/>
      <c r="AX104" s="62" t="n"/>
      <c r="AY104" s="62" t="n"/>
    </row>
    <row r="105">
      <c r="A105" s="38">
        <f>IF(D105="","",COUNTA($D$102:D105))</f>
        <v/>
      </c>
      <c r="B105" s="52" t="n"/>
      <c r="C105" s="71" t="inlineStr">
        <is>
          <t>마케팅4팀</t>
        </is>
      </c>
      <c r="D105" s="52" t="n"/>
      <c r="E105" s="54" t="n"/>
      <c r="F105" s="52" t="n"/>
      <c r="G105" s="55" t="n"/>
      <c r="H105" s="54" t="n"/>
      <c r="I105" s="54" t="n"/>
      <c r="J105" s="54" t="n"/>
      <c r="K105" s="56">
        <f>IF(SUM(U105:AY105)=0,"",SUM(U105:AY105))</f>
        <v/>
      </c>
      <c r="L105" s="57">
        <f>IFERROR(INDEX(U$2:AY$2,MATCH(TRUE,U105:AY105&lt;&gt;"",0)),"")</f>
        <v/>
      </c>
      <c r="M105" s="58">
        <f>IFERROR(LOOKUP(2,1/(U105:AY105&lt;&gt;""),U$2:AY$2),"")</f>
        <v/>
      </c>
      <c r="N105" s="59">
        <f>IF(OR(G105="",M105=""),"",G105-M105)</f>
        <v/>
      </c>
      <c r="O105" s="60" t="n"/>
      <c r="P105" s="61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  <c r="AG105" s="62" t="n"/>
      <c r="AH105" s="62" t="n"/>
      <c r="AI105" s="62" t="n"/>
      <c r="AJ105" s="62" t="n"/>
      <c r="AK105" s="62" t="n"/>
      <c r="AL105" s="62" t="n"/>
      <c r="AM105" s="62" t="n"/>
      <c r="AN105" s="62" t="n"/>
      <c r="AO105" s="62" t="n"/>
      <c r="AP105" s="62" t="n"/>
      <c r="AQ105" s="62" t="n"/>
      <c r="AR105" s="62" t="n"/>
      <c r="AS105" s="62" t="n"/>
      <c r="AT105" s="62" t="n"/>
      <c r="AU105" s="62" t="n"/>
      <c r="AV105" s="62" t="n"/>
      <c r="AW105" s="62" t="n"/>
      <c r="AX105" s="62" t="n"/>
      <c r="AY105" s="62" t="n"/>
    </row>
    <row r="106">
      <c r="A106" s="38">
        <f>IF(D106="","",COUNTA($D$102:D106))</f>
        <v/>
      </c>
      <c r="B106" s="52" t="n"/>
      <c r="C106" s="71" t="inlineStr">
        <is>
          <t>마케팅4팀</t>
        </is>
      </c>
      <c r="D106" s="52" t="n"/>
      <c r="E106" s="54" t="n"/>
      <c r="F106" s="52" t="n"/>
      <c r="G106" s="55" t="n"/>
      <c r="H106" s="54" t="n"/>
      <c r="I106" s="54" t="n"/>
      <c r="J106" s="54" t="n"/>
      <c r="K106" s="56">
        <f>IF(SUM(U106:AY106)=0,"",SUM(U106:AY106))</f>
        <v/>
      </c>
      <c r="L106" s="57">
        <f>IFERROR(INDEX(U$2:AY$2,MATCH(TRUE,U106:AY106&lt;&gt;"",0)),"")</f>
        <v/>
      </c>
      <c r="M106" s="58">
        <f>IFERROR(LOOKUP(2,1/(U106:AY106&lt;&gt;""),U$2:AY$2),"")</f>
        <v/>
      </c>
      <c r="N106" s="59">
        <f>IF(OR(G106="",M106=""),"",G106-M106)</f>
        <v/>
      </c>
      <c r="O106" s="60" t="n"/>
      <c r="P106" s="61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  <c r="AG106" s="62" t="n"/>
      <c r="AH106" s="62" t="n"/>
      <c r="AI106" s="62" t="n"/>
      <c r="AJ106" s="62" t="n"/>
      <c r="AK106" s="62" t="n"/>
      <c r="AL106" s="62" t="n"/>
      <c r="AM106" s="62" t="n"/>
      <c r="AN106" s="62" t="n"/>
      <c r="AO106" s="62" t="n"/>
      <c r="AP106" s="62" t="n"/>
      <c r="AQ106" s="62" t="n"/>
      <c r="AR106" s="62" t="n"/>
      <c r="AS106" s="62" t="n"/>
      <c r="AT106" s="62" t="n"/>
      <c r="AU106" s="62" t="n"/>
      <c r="AV106" s="62" t="n"/>
      <c r="AW106" s="62" t="n"/>
      <c r="AX106" s="62" t="n"/>
      <c r="AY106" s="62" t="n"/>
    </row>
    <row r="107">
      <c r="A107" s="38">
        <f>IF(D107="","",COUNTA($D$102:D107))</f>
        <v/>
      </c>
      <c r="B107" s="52" t="n"/>
      <c r="C107" s="71" t="inlineStr">
        <is>
          <t>마케팅4팀</t>
        </is>
      </c>
      <c r="D107" s="52" t="n"/>
      <c r="E107" s="54" t="n"/>
      <c r="F107" s="52" t="n"/>
      <c r="G107" s="55" t="n"/>
      <c r="H107" s="54" t="n"/>
      <c r="I107" s="54" t="n"/>
      <c r="J107" s="54" t="n"/>
      <c r="K107" s="56">
        <f>IF(SUM(U107:AY107)=0,"",SUM(U107:AY107))</f>
        <v/>
      </c>
      <c r="L107" s="57">
        <f>IFERROR(INDEX(U$2:AY$2,MATCH(TRUE,U107:AY107&lt;&gt;"",0)),"")</f>
        <v/>
      </c>
      <c r="M107" s="58">
        <f>IFERROR(LOOKUP(2,1/(U107:AY107&lt;&gt;""),U$2:AY$2),"")</f>
        <v/>
      </c>
      <c r="N107" s="59">
        <f>IF(OR(G107="",M107=""),"",G107-M107)</f>
        <v/>
      </c>
      <c r="O107" s="60" t="n"/>
      <c r="P107" s="61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  <c r="AG107" s="62" t="n"/>
      <c r="AH107" s="62" t="n"/>
      <c r="AI107" s="62" t="n"/>
      <c r="AJ107" s="62" t="n"/>
      <c r="AK107" s="62" t="n"/>
      <c r="AL107" s="62" t="n"/>
      <c r="AM107" s="62" t="n"/>
      <c r="AN107" s="62" t="n"/>
      <c r="AO107" s="62" t="n"/>
      <c r="AP107" s="62" t="n"/>
      <c r="AQ107" s="62" t="n"/>
      <c r="AR107" s="62" t="n"/>
      <c r="AS107" s="62" t="n"/>
      <c r="AT107" s="62" t="n"/>
      <c r="AU107" s="62" t="n"/>
      <c r="AV107" s="62" t="n"/>
      <c r="AW107" s="62" t="n"/>
      <c r="AX107" s="62" t="n"/>
      <c r="AY107" s="62" t="n"/>
    </row>
    <row r="108">
      <c r="A108" s="38">
        <f>IF(D108="","",COUNTA($D$102:D108))</f>
        <v/>
      </c>
      <c r="B108" s="52" t="n"/>
      <c r="C108" s="71" t="inlineStr">
        <is>
          <t>마케팅4팀</t>
        </is>
      </c>
      <c r="D108" s="52" t="n"/>
      <c r="E108" s="54" t="n"/>
      <c r="F108" s="52" t="n"/>
      <c r="G108" s="55" t="n"/>
      <c r="H108" s="54" t="n"/>
      <c r="I108" s="54" t="n"/>
      <c r="J108" s="54" t="n"/>
      <c r="K108" s="56">
        <f>IF(SUM(U108:AY108)=0,"",SUM(U108:AY108))</f>
        <v/>
      </c>
      <c r="L108" s="57">
        <f>IFERROR(INDEX(U$2:AY$2,MATCH(TRUE,U108:AY108&lt;&gt;"",0)),"")</f>
        <v/>
      </c>
      <c r="M108" s="58">
        <f>IFERROR(LOOKUP(2,1/(U108:AY108&lt;&gt;""),U$2:AY$2),"")</f>
        <v/>
      </c>
      <c r="N108" s="59">
        <f>IF(OR(G108="",M108=""),"",G108-M108)</f>
        <v/>
      </c>
      <c r="O108" s="60" t="n"/>
      <c r="P108" s="61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  <c r="AG108" s="62" t="n"/>
      <c r="AH108" s="62" t="n"/>
      <c r="AI108" s="62" t="n"/>
      <c r="AJ108" s="62" t="n"/>
      <c r="AK108" s="62" t="n"/>
      <c r="AL108" s="62" t="n"/>
      <c r="AM108" s="62" t="n"/>
      <c r="AN108" s="62" t="n"/>
      <c r="AO108" s="62" t="n"/>
      <c r="AP108" s="62" t="n"/>
      <c r="AQ108" s="62" t="n"/>
      <c r="AR108" s="62" t="n"/>
      <c r="AS108" s="62" t="n"/>
      <c r="AT108" s="62" t="n"/>
      <c r="AU108" s="62" t="n"/>
      <c r="AV108" s="62" t="n"/>
      <c r="AW108" s="62" t="n"/>
      <c r="AX108" s="62" t="n"/>
      <c r="AY108" s="62" t="n"/>
    </row>
    <row r="109">
      <c r="A109" s="38">
        <f>IF(D109="","",COUNTA($D$102:D109))</f>
        <v/>
      </c>
      <c r="B109" s="52" t="n"/>
      <c r="C109" s="71" t="inlineStr">
        <is>
          <t>마케팅4팀</t>
        </is>
      </c>
      <c r="D109" s="52" t="n"/>
      <c r="E109" s="54" t="n"/>
      <c r="F109" s="52" t="n"/>
      <c r="G109" s="55" t="n"/>
      <c r="H109" s="54" t="n"/>
      <c r="I109" s="54" t="n"/>
      <c r="J109" s="54" t="n"/>
      <c r="K109" s="56">
        <f>IF(SUM(U109:AY109)=0,"",SUM(U109:AY109))</f>
        <v/>
      </c>
      <c r="L109" s="57">
        <f>IFERROR(INDEX(U$2:AY$2,MATCH(TRUE,U109:AY109&lt;&gt;"",0)),"")</f>
        <v/>
      </c>
      <c r="M109" s="58">
        <f>IFERROR(LOOKUP(2,1/(U109:AY109&lt;&gt;""),U$2:AY$2),"")</f>
        <v/>
      </c>
      <c r="N109" s="59">
        <f>IF(OR(G109="",M109=""),"",G109-M109)</f>
        <v/>
      </c>
      <c r="O109" s="60" t="n"/>
      <c r="P109" s="61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  <c r="AG109" s="62" t="n"/>
      <c r="AH109" s="62" t="n"/>
      <c r="AI109" s="62" t="n"/>
      <c r="AJ109" s="62" t="n"/>
      <c r="AK109" s="62" t="n"/>
      <c r="AL109" s="62" t="n"/>
      <c r="AM109" s="62" t="n"/>
      <c r="AN109" s="62" t="n"/>
      <c r="AO109" s="62" t="n"/>
      <c r="AP109" s="62" t="n"/>
      <c r="AQ109" s="62" t="n"/>
      <c r="AR109" s="62" t="n"/>
      <c r="AS109" s="62" t="n"/>
      <c r="AT109" s="62" t="n"/>
      <c r="AU109" s="62" t="n"/>
      <c r="AV109" s="62" t="n"/>
      <c r="AW109" s="62" t="n"/>
      <c r="AX109" s="62" t="n"/>
      <c r="AY109" s="62" t="n"/>
    </row>
    <row r="110">
      <c r="A110" s="38">
        <f>IF(D110="","",COUNTA($D$102:D110))</f>
        <v/>
      </c>
      <c r="B110" s="52" t="n"/>
      <c r="C110" s="71" t="inlineStr">
        <is>
          <t>마케팅4팀</t>
        </is>
      </c>
      <c r="D110" s="52" t="n"/>
      <c r="E110" s="54" t="n"/>
      <c r="F110" s="52" t="n"/>
      <c r="G110" s="55" t="n"/>
      <c r="H110" s="54" t="n"/>
      <c r="I110" s="54" t="n"/>
      <c r="J110" s="54" t="n"/>
      <c r="K110" s="56">
        <f>IF(SUM(U110:AY110)=0,"",SUM(U110:AY110))</f>
        <v/>
      </c>
      <c r="L110" s="57">
        <f>IFERROR(INDEX(U$2:AY$2,MATCH(TRUE,U110:AY110&lt;&gt;"",0)),"")</f>
        <v/>
      </c>
      <c r="M110" s="58">
        <f>IFERROR(LOOKUP(2,1/(U110:AY110&lt;&gt;""),U$2:AY$2),"")</f>
        <v/>
      </c>
      <c r="N110" s="59">
        <f>IF(OR(G110="",M110=""),"",G110-M110)</f>
        <v/>
      </c>
      <c r="O110" s="60" t="n"/>
      <c r="P110" s="61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  <c r="AG110" s="62" t="n"/>
      <c r="AH110" s="62" t="n"/>
      <c r="AI110" s="62" t="n"/>
      <c r="AJ110" s="62" t="n"/>
      <c r="AK110" s="62" t="n"/>
      <c r="AL110" s="62" t="n"/>
      <c r="AM110" s="62" t="n"/>
      <c r="AN110" s="62" t="n"/>
      <c r="AO110" s="62" t="n"/>
      <c r="AP110" s="62" t="n"/>
      <c r="AQ110" s="62" t="n"/>
      <c r="AR110" s="62" t="n"/>
      <c r="AS110" s="62" t="n"/>
      <c r="AT110" s="62" t="n"/>
      <c r="AU110" s="62" t="n"/>
      <c r="AV110" s="62" t="n"/>
      <c r="AW110" s="62" t="n"/>
      <c r="AX110" s="62" t="n"/>
      <c r="AY110" s="62" t="n"/>
    </row>
    <row r="111">
      <c r="A111" s="38">
        <f>IF(D111="","",COUNTA($D$102:D111))</f>
        <v/>
      </c>
      <c r="B111" s="52" t="n"/>
      <c r="C111" s="71" t="inlineStr">
        <is>
          <t>마케팅4팀</t>
        </is>
      </c>
      <c r="D111" s="52" t="n"/>
      <c r="E111" s="54" t="n"/>
      <c r="F111" s="52" t="n"/>
      <c r="G111" s="55" t="n"/>
      <c r="H111" s="54" t="n"/>
      <c r="I111" s="54" t="n"/>
      <c r="J111" s="54" t="n"/>
      <c r="K111" s="56">
        <f>IF(SUM(U111:AY111)=0,"",SUM(U111:AY111))</f>
        <v/>
      </c>
      <c r="L111" s="57">
        <f>IFERROR(INDEX(U$2:AY$2,MATCH(TRUE,U111:AY111&lt;&gt;"",0)),"")</f>
        <v/>
      </c>
      <c r="M111" s="58">
        <f>IFERROR(LOOKUP(2,1/(U111:AY111&lt;&gt;""),U$2:AY$2),"")</f>
        <v/>
      </c>
      <c r="N111" s="59">
        <f>IF(OR(G111="",M111=""),"",G111-M111)</f>
        <v/>
      </c>
      <c r="O111" s="60" t="n"/>
      <c r="P111" s="61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  <c r="AG111" s="62" t="n"/>
      <c r="AH111" s="62" t="n"/>
      <c r="AI111" s="62" t="n"/>
      <c r="AJ111" s="62" t="n"/>
      <c r="AK111" s="62" t="n"/>
      <c r="AL111" s="62" t="n"/>
      <c r="AM111" s="62" t="n"/>
      <c r="AN111" s="62" t="n"/>
      <c r="AO111" s="62" t="n"/>
      <c r="AP111" s="62" t="n"/>
      <c r="AQ111" s="62" t="n"/>
      <c r="AR111" s="62" t="n"/>
      <c r="AS111" s="62" t="n"/>
      <c r="AT111" s="62" t="n"/>
      <c r="AU111" s="62" t="n"/>
      <c r="AV111" s="62" t="n"/>
      <c r="AW111" s="62" t="n"/>
      <c r="AX111" s="62" t="n"/>
      <c r="AY111" s="62" t="n"/>
    </row>
    <row r="112">
      <c r="A112" s="38">
        <f>IF(D112="","",COUNTA($D$102:D112))</f>
        <v/>
      </c>
      <c r="B112" s="52" t="n"/>
      <c r="C112" s="71" t="inlineStr">
        <is>
          <t>마케팅4팀</t>
        </is>
      </c>
      <c r="D112" s="52" t="n"/>
      <c r="E112" s="54" t="n"/>
      <c r="F112" s="52" t="n"/>
      <c r="G112" s="55" t="n"/>
      <c r="H112" s="54" t="n"/>
      <c r="I112" s="54" t="n"/>
      <c r="J112" s="54" t="n"/>
      <c r="K112" s="56">
        <f>IF(SUM(U112:AY112)=0,"",SUM(U112:AY112))</f>
        <v/>
      </c>
      <c r="L112" s="57">
        <f>IFERROR(INDEX(U$2:AY$2,MATCH(TRUE,U112:AY112&lt;&gt;"",0)),"")</f>
        <v/>
      </c>
      <c r="M112" s="58">
        <f>IFERROR(LOOKUP(2,1/(U112:AY112&lt;&gt;""),U$2:AY$2),"")</f>
        <v/>
      </c>
      <c r="N112" s="59">
        <f>IF(OR(G112="",M112=""),"",G112-M112)</f>
        <v/>
      </c>
      <c r="O112" s="60" t="n"/>
      <c r="P112" s="61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  <c r="AG112" s="62" t="n"/>
      <c r="AH112" s="62" t="n"/>
      <c r="AI112" s="62" t="n"/>
      <c r="AJ112" s="62" t="n"/>
      <c r="AK112" s="62" t="n"/>
      <c r="AL112" s="62" t="n"/>
      <c r="AM112" s="62" t="n"/>
      <c r="AN112" s="62" t="n"/>
      <c r="AO112" s="62" t="n"/>
      <c r="AP112" s="62" t="n"/>
      <c r="AQ112" s="62" t="n"/>
      <c r="AR112" s="62" t="n"/>
      <c r="AS112" s="62" t="n"/>
      <c r="AT112" s="62" t="n"/>
      <c r="AU112" s="62" t="n"/>
      <c r="AV112" s="62" t="n"/>
      <c r="AW112" s="62" t="n"/>
      <c r="AX112" s="62" t="n"/>
      <c r="AY112" s="62" t="n"/>
    </row>
    <row r="113">
      <c r="A113" s="38">
        <f>IF(D113="","",COUNTA($D$102:D113))</f>
        <v/>
      </c>
      <c r="B113" s="52" t="n"/>
      <c r="C113" s="71" t="inlineStr">
        <is>
          <t>마케팅4팀</t>
        </is>
      </c>
      <c r="D113" s="52" t="n"/>
      <c r="E113" s="54" t="n"/>
      <c r="F113" s="52" t="n"/>
      <c r="G113" s="55" t="n"/>
      <c r="H113" s="54" t="n"/>
      <c r="I113" s="54" t="n"/>
      <c r="J113" s="54" t="n"/>
      <c r="K113" s="56">
        <f>IF(SUM(U113:AY113)=0,"",SUM(U113:AY113))</f>
        <v/>
      </c>
      <c r="L113" s="57">
        <f>IFERROR(INDEX(U$2:AY$2,MATCH(TRUE,U113:AY113&lt;&gt;"",0)),"")</f>
        <v/>
      </c>
      <c r="M113" s="58">
        <f>IFERROR(LOOKUP(2,1/(U113:AY113&lt;&gt;""),U$2:AY$2),"")</f>
        <v/>
      </c>
      <c r="N113" s="59">
        <f>IF(OR(G113="",M113=""),"",G113-M113)</f>
        <v/>
      </c>
      <c r="O113" s="60" t="n"/>
      <c r="P113" s="61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  <c r="AG113" s="62" t="n"/>
      <c r="AH113" s="62" t="n"/>
      <c r="AI113" s="62" t="n"/>
      <c r="AJ113" s="62" t="n"/>
      <c r="AK113" s="62" t="n"/>
      <c r="AL113" s="62" t="n"/>
      <c r="AM113" s="62" t="n"/>
      <c r="AN113" s="62" t="n"/>
      <c r="AO113" s="62" t="n"/>
      <c r="AP113" s="62" t="n"/>
      <c r="AQ113" s="62" t="n"/>
      <c r="AR113" s="62" t="n"/>
      <c r="AS113" s="62" t="n"/>
      <c r="AT113" s="62" t="n"/>
      <c r="AU113" s="62" t="n"/>
      <c r="AV113" s="62" t="n"/>
      <c r="AW113" s="62" t="n"/>
      <c r="AX113" s="62" t="n"/>
      <c r="AY113" s="62" t="n"/>
    </row>
    <row r="114">
      <c r="A114" s="38">
        <f>IF(D114="","",COUNTA($D$102:D114))</f>
        <v/>
      </c>
      <c r="B114" s="52" t="n"/>
      <c r="C114" s="71" t="inlineStr">
        <is>
          <t>마케팅4팀</t>
        </is>
      </c>
      <c r="D114" s="52" t="n"/>
      <c r="E114" s="54" t="n"/>
      <c r="F114" s="52" t="n"/>
      <c r="G114" s="55" t="n"/>
      <c r="H114" s="54" t="n"/>
      <c r="I114" s="54" t="n"/>
      <c r="J114" s="54" t="n"/>
      <c r="K114" s="56">
        <f>IF(SUM(U114:AY114)=0,"",SUM(U114:AY114))</f>
        <v/>
      </c>
      <c r="L114" s="57">
        <f>IFERROR(INDEX(U$2:AY$2,MATCH(TRUE,U114:AY114&lt;&gt;"",0)),"")</f>
        <v/>
      </c>
      <c r="M114" s="58">
        <f>IFERROR(LOOKUP(2,1/(U114:AY114&lt;&gt;""),U$2:AY$2),"")</f>
        <v/>
      </c>
      <c r="N114" s="59">
        <f>IF(OR(G114="",M114=""),"",G114-M114)</f>
        <v/>
      </c>
      <c r="O114" s="60" t="n"/>
      <c r="P114" s="61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  <c r="AG114" s="62" t="n"/>
      <c r="AH114" s="62" t="n"/>
      <c r="AI114" s="62" t="n"/>
      <c r="AJ114" s="62" t="n"/>
      <c r="AK114" s="62" t="n"/>
      <c r="AL114" s="62" t="n"/>
      <c r="AM114" s="62" t="n"/>
      <c r="AN114" s="62" t="n"/>
      <c r="AO114" s="62" t="n"/>
      <c r="AP114" s="62" t="n"/>
      <c r="AQ114" s="62" t="n"/>
      <c r="AR114" s="62" t="n"/>
      <c r="AS114" s="62" t="n"/>
      <c r="AT114" s="62" t="n"/>
      <c r="AU114" s="62" t="n"/>
      <c r="AV114" s="62" t="n"/>
      <c r="AW114" s="62" t="n"/>
      <c r="AX114" s="62" t="n"/>
      <c r="AY114" s="62" t="n"/>
    </row>
    <row r="115">
      <c r="A115" s="38">
        <f>IF(D115="","",COUNTA($D$102:D115))</f>
        <v/>
      </c>
      <c r="B115" s="52" t="n"/>
      <c r="C115" s="71" t="inlineStr">
        <is>
          <t>마케팅4팀</t>
        </is>
      </c>
      <c r="D115" s="52" t="n"/>
      <c r="E115" s="54" t="n"/>
      <c r="F115" s="52" t="n"/>
      <c r="G115" s="55" t="n"/>
      <c r="H115" s="54" t="n"/>
      <c r="I115" s="54" t="n"/>
      <c r="J115" s="54" t="n"/>
      <c r="K115" s="56">
        <f>IF(SUM(U115:AY115)=0,"",SUM(U115:AY115))</f>
        <v/>
      </c>
      <c r="L115" s="57">
        <f>IFERROR(INDEX(U$2:AY$2,MATCH(TRUE,U115:AY115&lt;&gt;"",0)),"")</f>
        <v/>
      </c>
      <c r="M115" s="58">
        <f>IFERROR(LOOKUP(2,1/(U115:AY115&lt;&gt;""),U$2:AY$2),"")</f>
        <v/>
      </c>
      <c r="N115" s="59">
        <f>IF(OR(G115="",M115=""),"",G115-M115)</f>
        <v/>
      </c>
      <c r="O115" s="60" t="n"/>
      <c r="P115" s="61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  <c r="AG115" s="62" t="n"/>
      <c r="AH115" s="62" t="n"/>
      <c r="AI115" s="62" t="n"/>
      <c r="AJ115" s="62" t="n"/>
      <c r="AK115" s="62" t="n"/>
      <c r="AL115" s="62" t="n"/>
      <c r="AM115" s="62" t="n"/>
      <c r="AN115" s="62" t="n"/>
      <c r="AO115" s="62" t="n"/>
      <c r="AP115" s="62" t="n"/>
      <c r="AQ115" s="62" t="n"/>
      <c r="AR115" s="62" t="n"/>
      <c r="AS115" s="62" t="n"/>
      <c r="AT115" s="62" t="n"/>
      <c r="AU115" s="62" t="n"/>
      <c r="AV115" s="62" t="n"/>
      <c r="AW115" s="62" t="n"/>
      <c r="AX115" s="62" t="n"/>
      <c r="AY115" s="62" t="n"/>
    </row>
    <row r="116">
      <c r="A116" s="38">
        <f>IF(D116="","",COUNTA($D$102:D116))</f>
        <v/>
      </c>
      <c r="B116" s="52" t="n"/>
      <c r="C116" s="71" t="inlineStr">
        <is>
          <t>마케팅4팀</t>
        </is>
      </c>
      <c r="D116" s="52" t="n"/>
      <c r="E116" s="54" t="n"/>
      <c r="F116" s="52" t="n"/>
      <c r="G116" s="55" t="n"/>
      <c r="H116" s="54" t="n"/>
      <c r="I116" s="54" t="n"/>
      <c r="J116" s="54" t="n"/>
      <c r="K116" s="56">
        <f>IF(SUM(U116:AY116)=0,"",SUM(U116:AY116))</f>
        <v/>
      </c>
      <c r="L116" s="57">
        <f>IFERROR(INDEX(U$2:AY$2,MATCH(TRUE,U116:AY116&lt;&gt;"",0)),"")</f>
        <v/>
      </c>
      <c r="M116" s="58">
        <f>IFERROR(LOOKUP(2,1/(U116:AY116&lt;&gt;""),U$2:AY$2),"")</f>
        <v/>
      </c>
      <c r="N116" s="59">
        <f>IF(OR(G116="",M116=""),"",G116-M116)</f>
        <v/>
      </c>
      <c r="O116" s="60" t="n"/>
      <c r="P116" s="61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  <c r="AG116" s="62" t="n"/>
      <c r="AH116" s="62" t="n"/>
      <c r="AI116" s="62" t="n"/>
      <c r="AJ116" s="62" t="n"/>
      <c r="AK116" s="62" t="n"/>
      <c r="AL116" s="62" t="n"/>
      <c r="AM116" s="62" t="n"/>
      <c r="AN116" s="62" t="n"/>
      <c r="AO116" s="62" t="n"/>
      <c r="AP116" s="62" t="n"/>
      <c r="AQ116" s="62" t="n"/>
      <c r="AR116" s="62" t="n"/>
      <c r="AS116" s="62" t="n"/>
      <c r="AT116" s="62" t="n"/>
      <c r="AU116" s="62" t="n"/>
      <c r="AV116" s="62" t="n"/>
      <c r="AW116" s="62" t="n"/>
      <c r="AX116" s="62" t="n"/>
      <c r="AY116" s="62" t="n"/>
    </row>
    <row r="117">
      <c r="A117" s="38">
        <f>IF(D117="","",COUNTA($D$102:D117))</f>
        <v/>
      </c>
      <c r="B117" s="52" t="n"/>
      <c r="C117" s="71" t="inlineStr">
        <is>
          <t>마케팅4팀</t>
        </is>
      </c>
      <c r="D117" s="52" t="n"/>
      <c r="E117" s="54" t="n"/>
      <c r="F117" s="52" t="n"/>
      <c r="G117" s="55" t="n"/>
      <c r="H117" s="54" t="n"/>
      <c r="I117" s="54" t="n"/>
      <c r="J117" s="54" t="n"/>
      <c r="K117" s="56">
        <f>IF(SUM(U117:AY117)=0,"",SUM(U117:AY117))</f>
        <v/>
      </c>
      <c r="L117" s="57">
        <f>IFERROR(INDEX(U$2:AY$2,MATCH(TRUE,U117:AY117&lt;&gt;"",0)),"")</f>
        <v/>
      </c>
      <c r="M117" s="58">
        <f>IFERROR(LOOKUP(2,1/(U117:AY117&lt;&gt;""),U$2:AY$2),"")</f>
        <v/>
      </c>
      <c r="N117" s="59">
        <f>IF(OR(G117="",M117=""),"",G117-M117)</f>
        <v/>
      </c>
      <c r="O117" s="60" t="n"/>
      <c r="P117" s="61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  <c r="AG117" s="62" t="n"/>
      <c r="AH117" s="62" t="n"/>
      <c r="AI117" s="62" t="n"/>
      <c r="AJ117" s="62" t="n"/>
      <c r="AK117" s="62" t="n"/>
      <c r="AL117" s="62" t="n"/>
      <c r="AM117" s="62" t="n"/>
      <c r="AN117" s="62" t="n"/>
      <c r="AO117" s="62" t="n"/>
      <c r="AP117" s="62" t="n"/>
      <c r="AQ117" s="62" t="n"/>
      <c r="AR117" s="62" t="n"/>
      <c r="AS117" s="62" t="n"/>
      <c r="AT117" s="62" t="n"/>
      <c r="AU117" s="62" t="n"/>
      <c r="AV117" s="62" t="n"/>
      <c r="AW117" s="62" t="n"/>
      <c r="AX117" s="62" t="n"/>
      <c r="AY117" s="62" t="n"/>
    </row>
    <row r="118">
      <c r="A118" s="38">
        <f>IF(D118="","",COUNTA($D$102:D118))</f>
        <v/>
      </c>
      <c r="B118" s="52" t="n"/>
      <c r="C118" s="71" t="inlineStr">
        <is>
          <t>마케팅4팀</t>
        </is>
      </c>
      <c r="D118" s="52" t="n"/>
      <c r="E118" s="54" t="n"/>
      <c r="F118" s="52" t="n"/>
      <c r="G118" s="55" t="n"/>
      <c r="H118" s="54" t="n"/>
      <c r="I118" s="54" t="n"/>
      <c r="J118" s="54" t="n"/>
      <c r="K118" s="56">
        <f>IF(SUM(U118:AY118)=0,"",SUM(U118:AY118))</f>
        <v/>
      </c>
      <c r="L118" s="57">
        <f>IFERROR(INDEX(U$2:AY$2,MATCH(TRUE,U118:AY118&lt;&gt;"",0)),"")</f>
        <v/>
      </c>
      <c r="M118" s="58">
        <f>IFERROR(LOOKUP(2,1/(U118:AY118&lt;&gt;""),U$2:AY$2),"")</f>
        <v/>
      </c>
      <c r="N118" s="59">
        <f>IF(OR(G118="",M118=""),"",G118-M118)</f>
        <v/>
      </c>
      <c r="O118" s="60" t="n"/>
      <c r="P118" s="61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  <c r="AG118" s="62" t="n"/>
      <c r="AH118" s="62" t="n"/>
      <c r="AI118" s="62" t="n"/>
      <c r="AJ118" s="62" t="n"/>
      <c r="AK118" s="62" t="n"/>
      <c r="AL118" s="62" t="n"/>
      <c r="AM118" s="62" t="n"/>
      <c r="AN118" s="62" t="n"/>
      <c r="AO118" s="62" t="n"/>
      <c r="AP118" s="62" t="n"/>
      <c r="AQ118" s="62" t="n"/>
      <c r="AR118" s="62" t="n"/>
      <c r="AS118" s="62" t="n"/>
      <c r="AT118" s="62" t="n"/>
      <c r="AU118" s="62" t="n"/>
      <c r="AV118" s="62" t="n"/>
      <c r="AW118" s="62" t="n"/>
      <c r="AX118" s="62" t="n"/>
      <c r="AY118" s="62" t="n"/>
    </row>
    <row r="119">
      <c r="A119" s="38">
        <f>IF(D119="","",COUNTA($D$102:D119))</f>
        <v/>
      </c>
      <c r="B119" s="52" t="n"/>
      <c r="C119" s="71" t="inlineStr">
        <is>
          <t>마케팅4팀</t>
        </is>
      </c>
      <c r="D119" s="52" t="n"/>
      <c r="E119" s="54" t="n"/>
      <c r="F119" s="52" t="n"/>
      <c r="G119" s="55" t="n"/>
      <c r="H119" s="54" t="n"/>
      <c r="I119" s="54" t="n"/>
      <c r="J119" s="54" t="n"/>
      <c r="K119" s="56">
        <f>IF(SUM(U119:AY119)=0,"",SUM(U119:AY119))</f>
        <v/>
      </c>
      <c r="L119" s="57">
        <f>IFERROR(INDEX(U$2:AY$2,MATCH(TRUE,U119:AY119&lt;&gt;"",0)),"")</f>
        <v/>
      </c>
      <c r="M119" s="58">
        <f>IFERROR(LOOKUP(2,1/(U119:AY119&lt;&gt;""),U$2:AY$2),"")</f>
        <v/>
      </c>
      <c r="N119" s="59">
        <f>IF(OR(G119="",M119=""),"",G119-M119)</f>
        <v/>
      </c>
      <c r="O119" s="60" t="n"/>
      <c r="P119" s="61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  <c r="AG119" s="62" t="n"/>
      <c r="AH119" s="62" t="n"/>
      <c r="AI119" s="62" t="n"/>
      <c r="AJ119" s="62" t="n"/>
      <c r="AK119" s="62" t="n"/>
      <c r="AL119" s="62" t="n"/>
      <c r="AM119" s="62" t="n"/>
      <c r="AN119" s="62" t="n"/>
      <c r="AO119" s="62" t="n"/>
      <c r="AP119" s="62" t="n"/>
      <c r="AQ119" s="62" t="n"/>
      <c r="AR119" s="62" t="n"/>
      <c r="AS119" s="62" t="n"/>
      <c r="AT119" s="62" t="n"/>
      <c r="AU119" s="62" t="n"/>
      <c r="AV119" s="62" t="n"/>
      <c r="AW119" s="62" t="n"/>
      <c r="AX119" s="62" t="n"/>
      <c r="AY119" s="62" t="n"/>
    </row>
    <row r="120">
      <c r="A120" s="38">
        <f>IF(D120="","",COUNTA($D$102:D120))</f>
        <v/>
      </c>
      <c r="B120" s="52" t="n"/>
      <c r="C120" s="71" t="inlineStr">
        <is>
          <t>마케팅4팀</t>
        </is>
      </c>
      <c r="D120" s="52" t="n"/>
      <c r="E120" s="54" t="n"/>
      <c r="F120" s="52" t="n"/>
      <c r="G120" s="55" t="n"/>
      <c r="H120" s="54" t="n"/>
      <c r="I120" s="54" t="n"/>
      <c r="J120" s="54" t="n"/>
      <c r="K120" s="56">
        <f>IF(SUM(U120:AY120)=0,"",SUM(U120:AY120))</f>
        <v/>
      </c>
      <c r="L120" s="57">
        <f>IFERROR(INDEX(U$2:AY$2,MATCH(TRUE,U120:AY120&lt;&gt;"",0)),"")</f>
        <v/>
      </c>
      <c r="M120" s="58">
        <f>IFERROR(LOOKUP(2,1/(U120:AY120&lt;&gt;""),U$2:AY$2),"")</f>
        <v/>
      </c>
      <c r="N120" s="59">
        <f>IF(OR(G120="",M120=""),"",G120-M120)</f>
        <v/>
      </c>
      <c r="O120" s="60" t="n"/>
      <c r="P120" s="61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  <c r="AG120" s="62" t="n"/>
      <c r="AH120" s="62" t="n"/>
      <c r="AI120" s="62" t="n"/>
      <c r="AJ120" s="62" t="n"/>
      <c r="AK120" s="62" t="n"/>
      <c r="AL120" s="62" t="n"/>
      <c r="AM120" s="62" t="n"/>
      <c r="AN120" s="62" t="n"/>
      <c r="AO120" s="62" t="n"/>
      <c r="AP120" s="62" t="n"/>
      <c r="AQ120" s="62" t="n"/>
      <c r="AR120" s="62" t="n"/>
      <c r="AS120" s="62" t="n"/>
      <c r="AT120" s="62" t="n"/>
      <c r="AU120" s="62" t="n"/>
      <c r="AV120" s="62" t="n"/>
      <c r="AW120" s="62" t="n"/>
      <c r="AX120" s="62" t="n"/>
      <c r="AY120" s="62" t="n"/>
    </row>
    <row r="121">
      <c r="A121" s="38">
        <f>IF(D121="","",COUNTA($D$102:D121))</f>
        <v/>
      </c>
      <c r="B121" s="52" t="n"/>
      <c r="C121" s="71" t="inlineStr">
        <is>
          <t>마케팅4팀</t>
        </is>
      </c>
      <c r="D121" s="52" t="n"/>
      <c r="E121" s="54" t="n"/>
      <c r="F121" s="52" t="n"/>
      <c r="G121" s="55" t="n"/>
      <c r="H121" s="54" t="n"/>
      <c r="I121" s="54" t="n"/>
      <c r="J121" s="54" t="n"/>
      <c r="K121" s="56">
        <f>IF(SUM(U121:AY121)=0,"",SUM(U121:AY121))</f>
        <v/>
      </c>
      <c r="L121" s="57">
        <f>IFERROR(INDEX(U$2:AY$2,MATCH(TRUE,U121:AY121&lt;&gt;"",0)),"")</f>
        <v/>
      </c>
      <c r="M121" s="58">
        <f>IFERROR(LOOKUP(2,1/(U121:AY121&lt;&gt;""),U$2:AY$2),"")</f>
        <v/>
      </c>
      <c r="N121" s="59">
        <f>IF(OR(G121="",M121=""),"",G121-M121)</f>
        <v/>
      </c>
      <c r="O121" s="60" t="n"/>
      <c r="P121" s="61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  <c r="AG121" s="62" t="n"/>
      <c r="AH121" s="62" t="n"/>
      <c r="AI121" s="62" t="n"/>
      <c r="AJ121" s="62" t="n"/>
      <c r="AK121" s="62" t="n"/>
      <c r="AL121" s="62" t="n"/>
      <c r="AM121" s="62" t="n"/>
      <c r="AN121" s="62" t="n"/>
      <c r="AO121" s="62" t="n"/>
      <c r="AP121" s="62" t="n"/>
      <c r="AQ121" s="62" t="n"/>
      <c r="AR121" s="62" t="n"/>
      <c r="AS121" s="62" t="n"/>
      <c r="AT121" s="62" t="n"/>
      <c r="AU121" s="62" t="n"/>
      <c r="AV121" s="62" t="n"/>
      <c r="AW121" s="62" t="n"/>
      <c r="AX121" s="62" t="n"/>
      <c r="AY121" s="62" t="n"/>
    </row>
    <row r="122">
      <c r="A122" s="38">
        <f>IF(D122="","",COUNTA($D$102:D122))</f>
        <v/>
      </c>
      <c r="B122" s="52" t="n"/>
      <c r="C122" s="71" t="inlineStr">
        <is>
          <t>마케팅4팀</t>
        </is>
      </c>
      <c r="D122" s="52" t="n"/>
      <c r="E122" s="54" t="n"/>
      <c r="F122" s="52" t="n"/>
      <c r="G122" s="55" t="n"/>
      <c r="H122" s="54" t="n"/>
      <c r="I122" s="54" t="n"/>
      <c r="J122" s="54" t="n"/>
      <c r="K122" s="56">
        <f>IF(SUM(U122:AY122)=0,"",SUM(U122:AY122))</f>
        <v/>
      </c>
      <c r="L122" s="57">
        <f>IFERROR(INDEX(U$2:AY$2,MATCH(TRUE,U122:AY122&lt;&gt;"",0)),"")</f>
        <v/>
      </c>
      <c r="M122" s="58">
        <f>IFERROR(LOOKUP(2,1/(U122:AY122&lt;&gt;""),U$2:AY$2),"")</f>
        <v/>
      </c>
      <c r="N122" s="59">
        <f>IF(OR(G122="",M122=""),"",G122-M122)</f>
        <v/>
      </c>
      <c r="O122" s="60" t="n"/>
      <c r="P122" s="61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  <c r="AG122" s="62" t="n"/>
      <c r="AH122" s="62" t="n"/>
      <c r="AI122" s="62" t="n"/>
      <c r="AJ122" s="62" t="n"/>
      <c r="AK122" s="62" t="n"/>
      <c r="AL122" s="62" t="n"/>
      <c r="AM122" s="62" t="n"/>
      <c r="AN122" s="62" t="n"/>
      <c r="AO122" s="62" t="n"/>
      <c r="AP122" s="62" t="n"/>
      <c r="AQ122" s="62" t="n"/>
      <c r="AR122" s="62" t="n"/>
      <c r="AS122" s="62" t="n"/>
      <c r="AT122" s="62" t="n"/>
      <c r="AU122" s="62" t="n"/>
      <c r="AV122" s="62" t="n"/>
      <c r="AW122" s="62" t="n"/>
      <c r="AX122" s="62" t="n"/>
      <c r="AY122" s="62" t="n"/>
    </row>
    <row r="123">
      <c r="A123" s="38">
        <f>IF(D123="","",COUNTA($D$102:D123))</f>
        <v/>
      </c>
      <c r="B123" s="52" t="n"/>
      <c r="C123" s="71" t="inlineStr">
        <is>
          <t>마케팅4팀</t>
        </is>
      </c>
      <c r="D123" s="52" t="n"/>
      <c r="E123" s="54" t="n"/>
      <c r="F123" s="52" t="n"/>
      <c r="G123" s="55" t="n"/>
      <c r="H123" s="54" t="n"/>
      <c r="I123" s="54" t="n"/>
      <c r="J123" s="54" t="n"/>
      <c r="K123" s="56">
        <f>IF(SUM(U123:AY123)=0,"",SUM(U123:AY123))</f>
        <v/>
      </c>
      <c r="L123" s="57">
        <f>IFERROR(INDEX(U$2:AY$2,MATCH(TRUE,U123:AY123&lt;&gt;"",0)),"")</f>
        <v/>
      </c>
      <c r="M123" s="58">
        <f>IFERROR(LOOKUP(2,1/(U123:AY123&lt;&gt;""),U$2:AY$2),"")</f>
        <v/>
      </c>
      <c r="N123" s="59">
        <f>IF(OR(G123="",M123=""),"",G123-M123)</f>
        <v/>
      </c>
      <c r="O123" s="60" t="n"/>
      <c r="P123" s="61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  <c r="AG123" s="62" t="n"/>
      <c r="AH123" s="62" t="n"/>
      <c r="AI123" s="62" t="n"/>
      <c r="AJ123" s="62" t="n"/>
      <c r="AK123" s="62" t="n"/>
      <c r="AL123" s="62" t="n"/>
      <c r="AM123" s="62" t="n"/>
      <c r="AN123" s="62" t="n"/>
      <c r="AO123" s="62" t="n"/>
      <c r="AP123" s="62" t="n"/>
      <c r="AQ123" s="62" t="n"/>
      <c r="AR123" s="62" t="n"/>
      <c r="AS123" s="62" t="n"/>
      <c r="AT123" s="62" t="n"/>
      <c r="AU123" s="62" t="n"/>
      <c r="AV123" s="62" t="n"/>
      <c r="AW123" s="62" t="n"/>
      <c r="AX123" s="62" t="n"/>
      <c r="AY123" s="62" t="n"/>
    </row>
    <row r="124">
      <c r="A124" s="38">
        <f>IF(D124="","",COUNTA($D$102:D124))</f>
        <v/>
      </c>
      <c r="B124" s="52" t="n"/>
      <c r="C124" s="71" t="inlineStr">
        <is>
          <t>마케팅4팀</t>
        </is>
      </c>
      <c r="D124" s="52" t="n"/>
      <c r="E124" s="54" t="n"/>
      <c r="F124" s="52" t="n"/>
      <c r="G124" s="55" t="n"/>
      <c r="H124" s="54" t="n"/>
      <c r="I124" s="54" t="n"/>
      <c r="J124" s="54" t="n"/>
      <c r="K124" s="56">
        <f>IF(SUM(U124:AY124)=0,"",SUM(U124:AY124))</f>
        <v/>
      </c>
      <c r="L124" s="57">
        <f>IFERROR(INDEX(U$2:AY$2,MATCH(TRUE,U124:AY124&lt;&gt;"",0)),"")</f>
        <v/>
      </c>
      <c r="M124" s="58">
        <f>IFERROR(LOOKUP(2,1/(U124:AY124&lt;&gt;""),U$2:AY$2),"")</f>
        <v/>
      </c>
      <c r="N124" s="59">
        <f>IF(OR(G124="",M124=""),"",G124-M124)</f>
        <v/>
      </c>
      <c r="O124" s="60" t="n"/>
      <c r="P124" s="61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  <c r="AG124" s="62" t="n"/>
      <c r="AH124" s="62" t="n"/>
      <c r="AI124" s="62" t="n"/>
      <c r="AJ124" s="62" t="n"/>
      <c r="AK124" s="62" t="n"/>
      <c r="AL124" s="62" t="n"/>
      <c r="AM124" s="62" t="n"/>
      <c r="AN124" s="62" t="n"/>
      <c r="AO124" s="62" t="n"/>
      <c r="AP124" s="62" t="n"/>
      <c r="AQ124" s="62" t="n"/>
      <c r="AR124" s="62" t="n"/>
      <c r="AS124" s="62" t="n"/>
      <c r="AT124" s="62" t="n"/>
      <c r="AU124" s="62" t="n"/>
      <c r="AV124" s="62" t="n"/>
      <c r="AW124" s="62" t="n"/>
      <c r="AX124" s="62" t="n"/>
      <c r="AY124" s="62" t="n"/>
    </row>
    <row r="125">
      <c r="A125" s="38">
        <f>IF(D125="","",COUNTA($D$102:D125))</f>
        <v/>
      </c>
      <c r="B125" s="52" t="n"/>
      <c r="C125" s="71" t="inlineStr">
        <is>
          <t>마케팅4팀</t>
        </is>
      </c>
      <c r="D125" s="52" t="n"/>
      <c r="E125" s="54" t="n"/>
      <c r="F125" s="52" t="n"/>
      <c r="G125" s="55" t="n"/>
      <c r="H125" s="54" t="n"/>
      <c r="I125" s="54" t="n"/>
      <c r="J125" s="54" t="n"/>
      <c r="K125" s="56">
        <f>IF(SUM(U125:AY125)=0,"",SUM(U125:AY125))</f>
        <v/>
      </c>
      <c r="L125" s="57">
        <f>IFERROR(INDEX(U$2:AY$2,MATCH(TRUE,U125:AY125&lt;&gt;"",0)),"")</f>
        <v/>
      </c>
      <c r="M125" s="58">
        <f>IFERROR(LOOKUP(2,1/(U125:AY125&lt;&gt;""),U$2:AY$2),"")</f>
        <v/>
      </c>
      <c r="N125" s="59">
        <f>IF(OR(G125="",M125=""),"",G125-M125)</f>
        <v/>
      </c>
      <c r="O125" s="60" t="n"/>
      <c r="P125" s="61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  <c r="AG125" s="62" t="n"/>
      <c r="AH125" s="62" t="n"/>
      <c r="AI125" s="62" t="n"/>
      <c r="AJ125" s="62" t="n"/>
      <c r="AK125" s="62" t="n"/>
      <c r="AL125" s="62" t="n"/>
      <c r="AM125" s="62" t="n"/>
      <c r="AN125" s="62" t="n"/>
      <c r="AO125" s="62" t="n"/>
      <c r="AP125" s="62" t="n"/>
      <c r="AQ125" s="62" t="n"/>
      <c r="AR125" s="62" t="n"/>
      <c r="AS125" s="62" t="n"/>
      <c r="AT125" s="62" t="n"/>
      <c r="AU125" s="62" t="n"/>
      <c r="AV125" s="62" t="n"/>
      <c r="AW125" s="62" t="n"/>
      <c r="AX125" s="62" t="n"/>
      <c r="AY125" s="62" t="n"/>
    </row>
    <row r="126">
      <c r="A126" s="38">
        <f>IF(D126="","",COUNTA($D$102:D126))</f>
        <v/>
      </c>
      <c r="B126" s="52" t="n"/>
      <c r="C126" s="71" t="inlineStr">
        <is>
          <t>마케팅4팀</t>
        </is>
      </c>
      <c r="D126" s="52" t="n"/>
      <c r="E126" s="54" t="n"/>
      <c r="F126" s="52" t="n"/>
      <c r="G126" s="55" t="n"/>
      <c r="H126" s="54" t="n"/>
      <c r="I126" s="54" t="n"/>
      <c r="J126" s="54" t="n"/>
      <c r="K126" s="56">
        <f>IF(SUM(U126:AY126)=0,"",SUM(U126:AY126))</f>
        <v/>
      </c>
      <c r="L126" s="57">
        <f>IFERROR(INDEX(U$2:AY$2,MATCH(TRUE,U126:AY126&lt;&gt;"",0)),"")</f>
        <v/>
      </c>
      <c r="M126" s="58">
        <f>IFERROR(LOOKUP(2,1/(U126:AY126&lt;&gt;""),U$2:AY$2),"")</f>
        <v/>
      </c>
      <c r="N126" s="59">
        <f>IF(OR(G126="",M126=""),"",G126-M126)</f>
        <v/>
      </c>
      <c r="O126" s="60" t="n"/>
      <c r="P126" s="61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  <c r="AG126" s="62" t="n"/>
      <c r="AH126" s="62" t="n"/>
      <c r="AI126" s="62" t="n"/>
      <c r="AJ126" s="62" t="n"/>
      <c r="AK126" s="62" t="n"/>
      <c r="AL126" s="62" t="n"/>
      <c r="AM126" s="62" t="n"/>
      <c r="AN126" s="62" t="n"/>
      <c r="AO126" s="62" t="n"/>
      <c r="AP126" s="62" t="n"/>
      <c r="AQ126" s="62" t="n"/>
      <c r="AR126" s="62" t="n"/>
      <c r="AS126" s="62" t="n"/>
      <c r="AT126" s="62" t="n"/>
      <c r="AU126" s="62" t="n"/>
      <c r="AV126" s="62" t="n"/>
      <c r="AW126" s="62" t="n"/>
      <c r="AX126" s="62" t="n"/>
      <c r="AY126" s="62" t="n"/>
    </row>
    <row r="127">
      <c r="A127" s="38">
        <f>IF(D127="","",COUNTA($D$102:D127))</f>
        <v/>
      </c>
      <c r="B127" s="52" t="n"/>
      <c r="C127" s="71" t="inlineStr">
        <is>
          <t>마케팅4팀</t>
        </is>
      </c>
      <c r="D127" s="52" t="n"/>
      <c r="E127" s="54" t="n"/>
      <c r="F127" s="52" t="n"/>
      <c r="G127" s="55" t="n"/>
      <c r="H127" s="54" t="n"/>
      <c r="I127" s="54" t="n"/>
      <c r="J127" s="54" t="n"/>
      <c r="K127" s="56">
        <f>IF(SUM(U127:AY127)=0,"",SUM(U127:AY127))</f>
        <v/>
      </c>
      <c r="L127" s="57">
        <f>IFERROR(INDEX(U$2:AY$2,MATCH(TRUE,U127:AY127&lt;&gt;"",0)),"")</f>
        <v/>
      </c>
      <c r="M127" s="58">
        <f>IFERROR(LOOKUP(2,1/(U127:AY127&lt;&gt;""),U$2:AY$2),"")</f>
        <v/>
      </c>
      <c r="N127" s="59">
        <f>IF(OR(G127="",M127=""),"",G127-M127)</f>
        <v/>
      </c>
      <c r="O127" s="60" t="n"/>
      <c r="P127" s="61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  <c r="AG127" s="62" t="n"/>
      <c r="AH127" s="62" t="n"/>
      <c r="AI127" s="62" t="n"/>
      <c r="AJ127" s="62" t="n"/>
      <c r="AK127" s="62" t="n"/>
      <c r="AL127" s="62" t="n"/>
      <c r="AM127" s="62" t="n"/>
      <c r="AN127" s="62" t="n"/>
      <c r="AO127" s="62" t="n"/>
      <c r="AP127" s="62" t="n"/>
      <c r="AQ127" s="62" t="n"/>
      <c r="AR127" s="62" t="n"/>
      <c r="AS127" s="62" t="n"/>
      <c r="AT127" s="62" t="n"/>
      <c r="AU127" s="62" t="n"/>
      <c r="AV127" s="62" t="n"/>
      <c r="AW127" s="62" t="n"/>
      <c r="AX127" s="62" t="n"/>
      <c r="AY127" s="62" t="n"/>
    </row>
    <row r="128">
      <c r="A128" s="38">
        <f>IF(D128="","",COUNTA($D$102:D128))</f>
        <v/>
      </c>
      <c r="B128" s="52" t="n"/>
      <c r="C128" s="71" t="inlineStr">
        <is>
          <t>마케팅4팀</t>
        </is>
      </c>
      <c r="D128" s="52" t="n"/>
      <c r="E128" s="54" t="n"/>
      <c r="F128" s="52" t="n"/>
      <c r="G128" s="55" t="n"/>
      <c r="H128" s="54" t="n"/>
      <c r="I128" s="54" t="n"/>
      <c r="J128" s="54" t="n"/>
      <c r="K128" s="56">
        <f>IF(SUM(U128:AY128)=0,"",SUM(U128:AY128))</f>
        <v/>
      </c>
      <c r="L128" s="57">
        <f>IFERROR(INDEX(U$2:AY$2,MATCH(TRUE,U128:AY128&lt;&gt;"",0)),"")</f>
        <v/>
      </c>
      <c r="M128" s="58">
        <f>IFERROR(LOOKUP(2,1/(U128:AY128&lt;&gt;""),U$2:AY$2),"")</f>
        <v/>
      </c>
      <c r="N128" s="59">
        <f>IF(OR(G128="",M128=""),"",G128-M128)</f>
        <v/>
      </c>
      <c r="O128" s="60" t="n"/>
      <c r="P128" s="61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  <c r="AG128" s="62" t="n"/>
      <c r="AH128" s="62" t="n"/>
      <c r="AI128" s="62" t="n"/>
      <c r="AJ128" s="62" t="n"/>
      <c r="AK128" s="62" t="n"/>
      <c r="AL128" s="62" t="n"/>
      <c r="AM128" s="62" t="n"/>
      <c r="AN128" s="62" t="n"/>
      <c r="AO128" s="62" t="n"/>
      <c r="AP128" s="62" t="n"/>
      <c r="AQ128" s="62" t="n"/>
      <c r="AR128" s="62" t="n"/>
      <c r="AS128" s="62" t="n"/>
      <c r="AT128" s="62" t="n"/>
      <c r="AU128" s="62" t="n"/>
      <c r="AV128" s="62" t="n"/>
      <c r="AW128" s="62" t="n"/>
      <c r="AX128" s="62" t="n"/>
      <c r="AY128" s="62" t="n"/>
    </row>
    <row r="129">
      <c r="A129" s="38">
        <f>IF(D129="","",COUNTA($D$102:D129))</f>
        <v/>
      </c>
      <c r="B129" s="52" t="n"/>
      <c r="C129" s="71" t="inlineStr">
        <is>
          <t>마케팅4팀</t>
        </is>
      </c>
      <c r="D129" s="52" t="n"/>
      <c r="E129" s="54" t="n"/>
      <c r="F129" s="52" t="n"/>
      <c r="G129" s="55" t="n"/>
      <c r="H129" s="54" t="n"/>
      <c r="I129" s="54" t="n"/>
      <c r="J129" s="54" t="n"/>
      <c r="K129" s="56">
        <f>IF(SUM(U129:AY129)=0,"",SUM(U129:AY129))</f>
        <v/>
      </c>
      <c r="L129" s="57">
        <f>IFERROR(INDEX(U$2:AY$2,MATCH(TRUE,U129:AY129&lt;&gt;"",0)),"")</f>
        <v/>
      </c>
      <c r="M129" s="58">
        <f>IFERROR(LOOKUP(2,1/(U129:AY129&lt;&gt;""),U$2:AY$2),"")</f>
        <v/>
      </c>
      <c r="N129" s="59">
        <f>IF(OR(G129="",M129=""),"",G129-M129)</f>
        <v/>
      </c>
      <c r="O129" s="60" t="n"/>
      <c r="P129" s="61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  <c r="AG129" s="62" t="n"/>
      <c r="AH129" s="62" t="n"/>
      <c r="AI129" s="62" t="n"/>
      <c r="AJ129" s="62" t="n"/>
      <c r="AK129" s="62" t="n"/>
      <c r="AL129" s="62" t="n"/>
      <c r="AM129" s="62" t="n"/>
      <c r="AN129" s="62" t="n"/>
      <c r="AO129" s="62" t="n"/>
      <c r="AP129" s="62" t="n"/>
      <c r="AQ129" s="62" t="n"/>
      <c r="AR129" s="62" t="n"/>
      <c r="AS129" s="62" t="n"/>
      <c r="AT129" s="62" t="n"/>
      <c r="AU129" s="62" t="n"/>
      <c r="AV129" s="62" t="n"/>
      <c r="AW129" s="62" t="n"/>
      <c r="AX129" s="62" t="n"/>
      <c r="AY129" s="62" t="n"/>
    </row>
    <row r="130">
      <c r="A130" s="38">
        <f>IF(D130="","",COUNTA($D$102:D130))</f>
        <v/>
      </c>
      <c r="B130" s="52" t="n"/>
      <c r="C130" s="71" t="inlineStr">
        <is>
          <t>마케팅4팀</t>
        </is>
      </c>
      <c r="D130" s="52" t="n"/>
      <c r="E130" s="54" t="n"/>
      <c r="F130" s="52" t="n"/>
      <c r="G130" s="55" t="n"/>
      <c r="H130" s="54" t="n"/>
      <c r="I130" s="54" t="n"/>
      <c r="J130" s="54" t="n"/>
      <c r="K130" s="56">
        <f>IF(SUM(U130:AY130)=0,"",SUM(U130:AY130))</f>
        <v/>
      </c>
      <c r="L130" s="57">
        <f>IFERROR(INDEX(U$2:AY$2,MATCH(TRUE,U130:AY130&lt;&gt;"",0)),"")</f>
        <v/>
      </c>
      <c r="M130" s="58">
        <f>IFERROR(LOOKUP(2,1/(U130:AY130&lt;&gt;""),U$2:AY$2),"")</f>
        <v/>
      </c>
      <c r="N130" s="59">
        <f>IF(OR(G130="",M130=""),"",G130-M130)</f>
        <v/>
      </c>
      <c r="O130" s="60" t="n"/>
      <c r="P130" s="61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  <c r="AG130" s="62" t="n"/>
      <c r="AH130" s="62" t="n"/>
      <c r="AI130" s="62" t="n"/>
      <c r="AJ130" s="62" t="n"/>
      <c r="AK130" s="62" t="n"/>
      <c r="AL130" s="62" t="n"/>
      <c r="AM130" s="62" t="n"/>
      <c r="AN130" s="62" t="n"/>
      <c r="AO130" s="62" t="n"/>
      <c r="AP130" s="62" t="n"/>
      <c r="AQ130" s="62" t="n"/>
      <c r="AR130" s="62" t="n"/>
      <c r="AS130" s="62" t="n"/>
      <c r="AT130" s="62" t="n"/>
      <c r="AU130" s="62" t="n"/>
      <c r="AV130" s="62" t="n"/>
      <c r="AW130" s="62" t="n"/>
      <c r="AX130" s="62" t="n"/>
      <c r="AY130" s="62" t="n"/>
    </row>
    <row r="131">
      <c r="A131" s="38">
        <f>IF(D131="","",COUNTA($D$102:D131))</f>
        <v/>
      </c>
      <c r="B131" s="52" t="n"/>
      <c r="C131" s="71" t="inlineStr">
        <is>
          <t>마케팅4팀</t>
        </is>
      </c>
      <c r="D131" s="52" t="n"/>
      <c r="E131" s="54" t="n"/>
      <c r="F131" s="52" t="n"/>
      <c r="G131" s="55" t="n"/>
      <c r="H131" s="54" t="n"/>
      <c r="I131" s="54" t="n"/>
      <c r="J131" s="54" t="n"/>
      <c r="K131" s="56">
        <f>IF(SUM(U131:AY131)=0,"",SUM(U131:AY131))</f>
        <v/>
      </c>
      <c r="L131" s="57">
        <f>IFERROR(INDEX(U$2:AY$2,MATCH(TRUE,U131:AY131&lt;&gt;"",0)),"")</f>
        <v/>
      </c>
      <c r="M131" s="58">
        <f>IFERROR(LOOKUP(2,1/(U131:AY131&lt;&gt;""),U$2:AY$2),"")</f>
        <v/>
      </c>
      <c r="N131" s="59">
        <f>IF(OR(G131="",M131=""),"",G131-M131)</f>
        <v/>
      </c>
      <c r="O131" s="60" t="n"/>
      <c r="P131" s="61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  <c r="AG131" s="62" t="n"/>
      <c r="AH131" s="62" t="n"/>
      <c r="AI131" s="62" t="n"/>
      <c r="AJ131" s="62" t="n"/>
      <c r="AK131" s="62" t="n"/>
      <c r="AL131" s="62" t="n"/>
      <c r="AM131" s="62" t="n"/>
      <c r="AN131" s="62" t="n"/>
      <c r="AO131" s="62" t="n"/>
      <c r="AP131" s="62" t="n"/>
      <c r="AQ131" s="62" t="n"/>
      <c r="AR131" s="62" t="n"/>
      <c r="AS131" s="62" t="n"/>
      <c r="AT131" s="62" t="n"/>
      <c r="AU131" s="62" t="n"/>
      <c r="AV131" s="62" t="n"/>
      <c r="AW131" s="62" t="n"/>
      <c r="AX131" s="62" t="n"/>
      <c r="AY131" s="62" t="n"/>
    </row>
    <row r="132">
      <c r="A132" s="72" t="inlineStr">
        <is>
          <t>기타  (133~162행)</t>
        </is>
      </c>
      <c r="U132" s="34" t="n"/>
      <c r="V132" s="34" t="n"/>
      <c r="W132" s="34" t="n"/>
      <c r="X132" s="34" t="n"/>
      <c r="Y132" s="34" t="n"/>
      <c r="Z132" s="34" t="n"/>
      <c r="AA132" s="34" t="n"/>
      <c r="AB132" s="34" t="n"/>
      <c r="AC132" s="34" t="n"/>
      <c r="AD132" s="34" t="n"/>
      <c r="AE132" s="34" t="n"/>
      <c r="AF132" s="34" t="n"/>
      <c r="AG132" s="34" t="n"/>
      <c r="AH132" s="34" t="n"/>
      <c r="AI132" s="34" t="n"/>
      <c r="AJ132" s="34" t="n"/>
      <c r="AK132" s="34" t="n"/>
      <c r="AL132" s="34" t="n"/>
      <c r="AM132" s="34" t="n"/>
      <c r="AN132" s="34" t="n"/>
      <c r="AO132" s="34" t="n"/>
      <c r="AP132" s="34" t="n"/>
      <c r="AQ132" s="34" t="n"/>
      <c r="AR132" s="34" t="n"/>
      <c r="AS132" s="34" t="n"/>
      <c r="AT132" s="34" t="n"/>
      <c r="AU132" s="34" t="n"/>
      <c r="AV132" s="34" t="n"/>
      <c r="AW132" s="34" t="n"/>
      <c r="AX132" s="34" t="n"/>
      <c r="AY132" s="34" t="n"/>
    </row>
    <row r="133">
      <c r="A133" s="38">
        <f>IF(D133="","",COUNTA($D$133:D133))</f>
        <v/>
      </c>
      <c r="B133" s="52" t="n"/>
      <c r="C133" s="73" t="inlineStr">
        <is>
          <t>기타</t>
        </is>
      </c>
      <c r="D133" s="52" t="n"/>
      <c r="E133" s="54" t="n"/>
      <c r="F133" s="52" t="n"/>
      <c r="G133" s="55" t="n"/>
      <c r="H133" s="54" t="n"/>
      <c r="I133" s="54" t="n"/>
      <c r="J133" s="54" t="n"/>
      <c r="K133" s="56">
        <f>IF(SUM(U133:AY133)=0,"",SUM(U133:AY133))</f>
        <v/>
      </c>
      <c r="L133" s="57">
        <f>IFERROR(INDEX(U$2:AY$2,MATCH(TRUE,U133:AY133&lt;&gt;"",0)),"")</f>
        <v/>
      </c>
      <c r="M133" s="58">
        <f>IFERROR(LOOKUP(2,1/(U133:AY133&lt;&gt;""),U$2:AY$2),"")</f>
        <v/>
      </c>
      <c r="N133" s="59">
        <f>IF(OR(G133="",M133=""),"",G133-M133)</f>
        <v/>
      </c>
      <c r="O133" s="60" t="n"/>
      <c r="P133" s="61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  <c r="AG133" s="62" t="n"/>
      <c r="AH133" s="62" t="n"/>
      <c r="AI133" s="62" t="n"/>
      <c r="AJ133" s="62" t="n"/>
      <c r="AK133" s="62" t="n"/>
      <c r="AL133" s="62" t="n"/>
      <c r="AM133" s="62" t="n"/>
      <c r="AN133" s="62" t="n"/>
      <c r="AO133" s="62" t="n"/>
      <c r="AP133" s="62" t="n"/>
      <c r="AQ133" s="62" t="n"/>
      <c r="AR133" s="62" t="n"/>
      <c r="AS133" s="62" t="n"/>
      <c r="AT133" s="62" t="n"/>
      <c r="AU133" s="62" t="n"/>
      <c r="AV133" s="62" t="n"/>
      <c r="AW133" s="62" t="n"/>
      <c r="AX133" s="62" t="n"/>
      <c r="AY133" s="62" t="n"/>
    </row>
    <row r="134">
      <c r="A134" s="38">
        <f>IF(D134="","",COUNTA($D$133:D134))</f>
        <v/>
      </c>
      <c r="B134" s="52" t="n"/>
      <c r="C134" s="73" t="inlineStr">
        <is>
          <t>기타</t>
        </is>
      </c>
      <c r="D134" s="52" t="n"/>
      <c r="E134" s="54" t="n"/>
      <c r="F134" s="52" t="n"/>
      <c r="G134" s="55" t="n"/>
      <c r="H134" s="54" t="n"/>
      <c r="I134" s="54" t="n"/>
      <c r="J134" s="54" t="n"/>
      <c r="K134" s="56">
        <f>IF(SUM(U134:AY134)=0,"",SUM(U134:AY134))</f>
        <v/>
      </c>
      <c r="L134" s="57">
        <f>IFERROR(INDEX(U$2:AY$2,MATCH(TRUE,U134:AY134&lt;&gt;"",0)),"")</f>
        <v/>
      </c>
      <c r="M134" s="58">
        <f>IFERROR(LOOKUP(2,1/(U134:AY134&lt;&gt;""),U$2:AY$2),"")</f>
        <v/>
      </c>
      <c r="N134" s="59">
        <f>IF(OR(G134="",M134=""),"",G134-M134)</f>
        <v/>
      </c>
      <c r="O134" s="60" t="n"/>
      <c r="P134" s="61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  <c r="AG134" s="62" t="n"/>
      <c r="AH134" s="62" t="n"/>
      <c r="AI134" s="62" t="n"/>
      <c r="AJ134" s="62" t="n"/>
      <c r="AK134" s="62" t="n"/>
      <c r="AL134" s="62" t="n"/>
      <c r="AM134" s="62" t="n"/>
      <c r="AN134" s="62" t="n"/>
      <c r="AO134" s="62" t="n"/>
      <c r="AP134" s="62" t="n"/>
      <c r="AQ134" s="62" t="n"/>
      <c r="AR134" s="62" t="n"/>
      <c r="AS134" s="62" t="n"/>
      <c r="AT134" s="62" t="n"/>
      <c r="AU134" s="62" t="n"/>
      <c r="AV134" s="62" t="n"/>
      <c r="AW134" s="62" t="n"/>
      <c r="AX134" s="62" t="n"/>
      <c r="AY134" s="62" t="n"/>
    </row>
    <row r="135">
      <c r="A135" s="38">
        <f>IF(D135="","",COUNTA($D$133:D135))</f>
        <v/>
      </c>
      <c r="B135" s="52" t="n"/>
      <c r="C135" s="73" t="inlineStr">
        <is>
          <t>기타</t>
        </is>
      </c>
      <c r="D135" s="52" t="n"/>
      <c r="E135" s="54" t="n"/>
      <c r="F135" s="52" t="n"/>
      <c r="G135" s="55" t="n"/>
      <c r="H135" s="54" t="n"/>
      <c r="I135" s="54" t="n"/>
      <c r="J135" s="54" t="n"/>
      <c r="K135" s="56">
        <f>IF(SUM(U135:AY135)=0,"",SUM(U135:AY135))</f>
        <v/>
      </c>
      <c r="L135" s="57">
        <f>IFERROR(INDEX(U$2:AY$2,MATCH(TRUE,U135:AY135&lt;&gt;"",0)),"")</f>
        <v/>
      </c>
      <c r="M135" s="58">
        <f>IFERROR(LOOKUP(2,1/(U135:AY135&lt;&gt;""),U$2:AY$2),"")</f>
        <v/>
      </c>
      <c r="N135" s="59">
        <f>IF(OR(G135="",M135=""),"",G135-M135)</f>
        <v/>
      </c>
      <c r="O135" s="60" t="n"/>
      <c r="P135" s="61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  <c r="AG135" s="62" t="n"/>
      <c r="AH135" s="62" t="n"/>
      <c r="AI135" s="62" t="n"/>
      <c r="AJ135" s="62" t="n"/>
      <c r="AK135" s="62" t="n"/>
      <c r="AL135" s="62" t="n"/>
      <c r="AM135" s="62" t="n"/>
      <c r="AN135" s="62" t="n"/>
      <c r="AO135" s="62" t="n"/>
      <c r="AP135" s="62" t="n"/>
      <c r="AQ135" s="62" t="n"/>
      <c r="AR135" s="62" t="n"/>
      <c r="AS135" s="62" t="n"/>
      <c r="AT135" s="62" t="n"/>
      <c r="AU135" s="62" t="n"/>
      <c r="AV135" s="62" t="n"/>
      <c r="AW135" s="62" t="n"/>
      <c r="AX135" s="62" t="n"/>
      <c r="AY135" s="62" t="n"/>
    </row>
    <row r="136">
      <c r="A136" s="38">
        <f>IF(D136="","",COUNTA($D$133:D136))</f>
        <v/>
      </c>
      <c r="B136" s="52" t="n"/>
      <c r="C136" s="73" t="inlineStr">
        <is>
          <t>기타</t>
        </is>
      </c>
      <c r="D136" s="52" t="n"/>
      <c r="E136" s="54" t="n"/>
      <c r="F136" s="52" t="n"/>
      <c r="G136" s="55" t="n"/>
      <c r="H136" s="54" t="n"/>
      <c r="I136" s="54" t="n"/>
      <c r="J136" s="54" t="n"/>
      <c r="K136" s="56">
        <f>IF(SUM(U136:AY136)=0,"",SUM(U136:AY136))</f>
        <v/>
      </c>
      <c r="L136" s="57">
        <f>IFERROR(INDEX(U$2:AY$2,MATCH(TRUE,U136:AY136&lt;&gt;"",0)),"")</f>
        <v/>
      </c>
      <c r="M136" s="58">
        <f>IFERROR(LOOKUP(2,1/(U136:AY136&lt;&gt;""),U$2:AY$2),"")</f>
        <v/>
      </c>
      <c r="N136" s="59">
        <f>IF(OR(G136="",M136=""),"",G136-M136)</f>
        <v/>
      </c>
      <c r="O136" s="60" t="n"/>
      <c r="P136" s="61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  <c r="AG136" s="62" t="n"/>
      <c r="AH136" s="62" t="n"/>
      <c r="AI136" s="62" t="n"/>
      <c r="AJ136" s="62" t="n"/>
      <c r="AK136" s="62" t="n"/>
      <c r="AL136" s="62" t="n"/>
      <c r="AM136" s="62" t="n"/>
      <c r="AN136" s="62" t="n"/>
      <c r="AO136" s="62" t="n"/>
      <c r="AP136" s="62" t="n"/>
      <c r="AQ136" s="62" t="n"/>
      <c r="AR136" s="62" t="n"/>
      <c r="AS136" s="62" t="n"/>
      <c r="AT136" s="62" t="n"/>
      <c r="AU136" s="62" t="n"/>
      <c r="AV136" s="62" t="n"/>
      <c r="AW136" s="62" t="n"/>
      <c r="AX136" s="62" t="n"/>
      <c r="AY136" s="62" t="n"/>
    </row>
    <row r="137">
      <c r="A137" s="38">
        <f>IF(D137="","",COUNTA($D$133:D137))</f>
        <v/>
      </c>
      <c r="B137" s="52" t="n"/>
      <c r="C137" s="73" t="inlineStr">
        <is>
          <t>기타</t>
        </is>
      </c>
      <c r="D137" s="52" t="n"/>
      <c r="E137" s="54" t="n"/>
      <c r="F137" s="52" t="n"/>
      <c r="G137" s="55" t="n"/>
      <c r="H137" s="54" t="n"/>
      <c r="I137" s="54" t="n"/>
      <c r="J137" s="54" t="n"/>
      <c r="K137" s="56">
        <f>IF(SUM(U137:AY137)=0,"",SUM(U137:AY137))</f>
        <v/>
      </c>
      <c r="L137" s="57">
        <f>IFERROR(INDEX(U$2:AY$2,MATCH(TRUE,U137:AY137&lt;&gt;"",0)),"")</f>
        <v/>
      </c>
      <c r="M137" s="58">
        <f>IFERROR(LOOKUP(2,1/(U137:AY137&lt;&gt;""),U$2:AY$2),"")</f>
        <v/>
      </c>
      <c r="N137" s="59">
        <f>IF(OR(G137="",M137=""),"",G137-M137)</f>
        <v/>
      </c>
      <c r="O137" s="60" t="n"/>
      <c r="P137" s="61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  <c r="AG137" s="62" t="n"/>
      <c r="AH137" s="62" t="n"/>
      <c r="AI137" s="62" t="n"/>
      <c r="AJ137" s="62" t="n"/>
      <c r="AK137" s="62" t="n"/>
      <c r="AL137" s="62" t="n"/>
      <c r="AM137" s="62" t="n"/>
      <c r="AN137" s="62" t="n"/>
      <c r="AO137" s="62" t="n"/>
      <c r="AP137" s="62" t="n"/>
      <c r="AQ137" s="62" t="n"/>
      <c r="AR137" s="62" t="n"/>
      <c r="AS137" s="62" t="n"/>
      <c r="AT137" s="62" t="n"/>
      <c r="AU137" s="62" t="n"/>
      <c r="AV137" s="62" t="n"/>
      <c r="AW137" s="62" t="n"/>
      <c r="AX137" s="62" t="n"/>
      <c r="AY137" s="62" t="n"/>
    </row>
    <row r="138">
      <c r="A138" s="38">
        <f>IF(D138="","",COUNTA($D$133:D138))</f>
        <v/>
      </c>
      <c r="B138" s="52" t="n"/>
      <c r="C138" s="73" t="inlineStr">
        <is>
          <t>기타</t>
        </is>
      </c>
      <c r="D138" s="52" t="n"/>
      <c r="E138" s="54" t="n"/>
      <c r="F138" s="52" t="n"/>
      <c r="G138" s="55" t="n"/>
      <c r="H138" s="54" t="n"/>
      <c r="I138" s="54" t="n"/>
      <c r="J138" s="54" t="n"/>
      <c r="K138" s="56">
        <f>IF(SUM(U138:AY138)=0,"",SUM(U138:AY138))</f>
        <v/>
      </c>
      <c r="L138" s="57">
        <f>IFERROR(INDEX(U$2:AY$2,MATCH(TRUE,U138:AY138&lt;&gt;"",0)),"")</f>
        <v/>
      </c>
      <c r="M138" s="58">
        <f>IFERROR(LOOKUP(2,1/(U138:AY138&lt;&gt;""),U$2:AY$2),"")</f>
        <v/>
      </c>
      <c r="N138" s="59">
        <f>IF(OR(G138="",M138=""),"",G138-M138)</f>
        <v/>
      </c>
      <c r="O138" s="60" t="n"/>
      <c r="P138" s="61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  <c r="AG138" s="62" t="n"/>
      <c r="AH138" s="62" t="n"/>
      <c r="AI138" s="62" t="n"/>
      <c r="AJ138" s="62" t="n"/>
      <c r="AK138" s="62" t="n"/>
      <c r="AL138" s="62" t="n"/>
      <c r="AM138" s="62" t="n"/>
      <c r="AN138" s="62" t="n"/>
      <c r="AO138" s="62" t="n"/>
      <c r="AP138" s="62" t="n"/>
      <c r="AQ138" s="62" t="n"/>
      <c r="AR138" s="62" t="n"/>
      <c r="AS138" s="62" t="n"/>
      <c r="AT138" s="62" t="n"/>
      <c r="AU138" s="62" t="n"/>
      <c r="AV138" s="62" t="n"/>
      <c r="AW138" s="62" t="n"/>
      <c r="AX138" s="62" t="n"/>
      <c r="AY138" s="62" t="n"/>
    </row>
    <row r="139">
      <c r="A139" s="38">
        <f>IF(D139="","",COUNTA($D$133:D139))</f>
        <v/>
      </c>
      <c r="B139" s="52" t="n"/>
      <c r="C139" s="73" t="inlineStr">
        <is>
          <t>기타</t>
        </is>
      </c>
      <c r="D139" s="52" t="n"/>
      <c r="E139" s="54" t="n"/>
      <c r="F139" s="52" t="n"/>
      <c r="G139" s="55" t="n"/>
      <c r="H139" s="54" t="n"/>
      <c r="I139" s="54" t="n"/>
      <c r="J139" s="54" t="n"/>
      <c r="K139" s="56">
        <f>IF(SUM(U139:AY139)=0,"",SUM(U139:AY139))</f>
        <v/>
      </c>
      <c r="L139" s="57">
        <f>IFERROR(INDEX(U$2:AY$2,MATCH(TRUE,U139:AY139&lt;&gt;"",0)),"")</f>
        <v/>
      </c>
      <c r="M139" s="58">
        <f>IFERROR(LOOKUP(2,1/(U139:AY139&lt;&gt;""),U$2:AY$2),"")</f>
        <v/>
      </c>
      <c r="N139" s="59">
        <f>IF(OR(G139="",M139=""),"",G139-M139)</f>
        <v/>
      </c>
      <c r="O139" s="60" t="n"/>
      <c r="P139" s="61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  <c r="AG139" s="62" t="n"/>
      <c r="AH139" s="62" t="n"/>
      <c r="AI139" s="62" t="n"/>
      <c r="AJ139" s="62" t="n"/>
      <c r="AK139" s="62" t="n"/>
      <c r="AL139" s="62" t="n"/>
      <c r="AM139" s="62" t="n"/>
      <c r="AN139" s="62" t="n"/>
      <c r="AO139" s="62" t="n"/>
      <c r="AP139" s="62" t="n"/>
      <c r="AQ139" s="62" t="n"/>
      <c r="AR139" s="62" t="n"/>
      <c r="AS139" s="62" t="n"/>
      <c r="AT139" s="62" t="n"/>
      <c r="AU139" s="62" t="n"/>
      <c r="AV139" s="62" t="n"/>
      <c r="AW139" s="62" t="n"/>
      <c r="AX139" s="62" t="n"/>
      <c r="AY139" s="62" t="n"/>
    </row>
    <row r="140">
      <c r="A140" s="38">
        <f>IF(D140="","",COUNTA($D$133:D140))</f>
        <v/>
      </c>
      <c r="B140" s="52" t="n"/>
      <c r="C140" s="73" t="inlineStr">
        <is>
          <t>기타</t>
        </is>
      </c>
      <c r="D140" s="52" t="n"/>
      <c r="E140" s="54" t="n"/>
      <c r="F140" s="52" t="n"/>
      <c r="G140" s="55" t="n"/>
      <c r="H140" s="54" t="n"/>
      <c r="I140" s="54" t="n"/>
      <c r="J140" s="54" t="n"/>
      <c r="K140" s="56">
        <f>IF(SUM(U140:AY140)=0,"",SUM(U140:AY140))</f>
        <v/>
      </c>
      <c r="L140" s="57">
        <f>IFERROR(INDEX(U$2:AY$2,MATCH(TRUE,U140:AY140&lt;&gt;"",0)),"")</f>
        <v/>
      </c>
      <c r="M140" s="58">
        <f>IFERROR(LOOKUP(2,1/(U140:AY140&lt;&gt;""),U$2:AY$2),"")</f>
        <v/>
      </c>
      <c r="N140" s="59">
        <f>IF(OR(G140="",M140=""),"",G140-M140)</f>
        <v/>
      </c>
      <c r="O140" s="60" t="n"/>
      <c r="P140" s="61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  <c r="AG140" s="62" t="n"/>
      <c r="AH140" s="62" t="n"/>
      <c r="AI140" s="62" t="n"/>
      <c r="AJ140" s="62" t="n"/>
      <c r="AK140" s="62" t="n"/>
      <c r="AL140" s="62" t="n"/>
      <c r="AM140" s="62" t="n"/>
      <c r="AN140" s="62" t="n"/>
      <c r="AO140" s="62" t="n"/>
      <c r="AP140" s="62" t="n"/>
      <c r="AQ140" s="62" t="n"/>
      <c r="AR140" s="62" t="n"/>
      <c r="AS140" s="62" t="n"/>
      <c r="AT140" s="62" t="n"/>
      <c r="AU140" s="62" t="n"/>
      <c r="AV140" s="62" t="n"/>
      <c r="AW140" s="62" t="n"/>
      <c r="AX140" s="62" t="n"/>
      <c r="AY140" s="62" t="n"/>
    </row>
    <row r="141">
      <c r="A141" s="38">
        <f>IF(D141="","",COUNTA($D$133:D141))</f>
        <v/>
      </c>
      <c r="B141" s="52" t="n"/>
      <c r="C141" s="73" t="inlineStr">
        <is>
          <t>기타</t>
        </is>
      </c>
      <c r="D141" s="52" t="n"/>
      <c r="E141" s="54" t="n"/>
      <c r="F141" s="52" t="n"/>
      <c r="G141" s="55" t="n"/>
      <c r="H141" s="54" t="n"/>
      <c r="I141" s="54" t="n"/>
      <c r="J141" s="54" t="n"/>
      <c r="K141" s="56">
        <f>IF(SUM(U141:AY141)=0,"",SUM(U141:AY141))</f>
        <v/>
      </c>
      <c r="L141" s="57">
        <f>IFERROR(INDEX(U$2:AY$2,MATCH(TRUE,U141:AY141&lt;&gt;"",0)),"")</f>
        <v/>
      </c>
      <c r="M141" s="58">
        <f>IFERROR(LOOKUP(2,1/(U141:AY141&lt;&gt;""),U$2:AY$2),"")</f>
        <v/>
      </c>
      <c r="N141" s="59">
        <f>IF(OR(G141="",M141=""),"",G141-M141)</f>
        <v/>
      </c>
      <c r="O141" s="60" t="n"/>
      <c r="P141" s="61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  <c r="AG141" s="62" t="n"/>
      <c r="AH141" s="62" t="n"/>
      <c r="AI141" s="62" t="n"/>
      <c r="AJ141" s="62" t="n"/>
      <c r="AK141" s="62" t="n"/>
      <c r="AL141" s="62" t="n"/>
      <c r="AM141" s="62" t="n"/>
      <c r="AN141" s="62" t="n"/>
      <c r="AO141" s="62" t="n"/>
      <c r="AP141" s="62" t="n"/>
      <c r="AQ141" s="62" t="n"/>
      <c r="AR141" s="62" t="n"/>
      <c r="AS141" s="62" t="n"/>
      <c r="AT141" s="62" t="n"/>
      <c r="AU141" s="62" t="n"/>
      <c r="AV141" s="62" t="n"/>
      <c r="AW141" s="62" t="n"/>
      <c r="AX141" s="62" t="n"/>
      <c r="AY141" s="62" t="n"/>
    </row>
    <row r="142">
      <c r="A142" s="38">
        <f>IF(D142="","",COUNTA($D$133:D142))</f>
        <v/>
      </c>
      <c r="B142" s="52" t="n"/>
      <c r="C142" s="73" t="inlineStr">
        <is>
          <t>기타</t>
        </is>
      </c>
      <c r="D142" s="52" t="n"/>
      <c r="E142" s="54" t="n"/>
      <c r="F142" s="52" t="n"/>
      <c r="G142" s="55" t="n"/>
      <c r="H142" s="54" t="n"/>
      <c r="I142" s="54" t="n"/>
      <c r="J142" s="54" t="n"/>
      <c r="K142" s="56">
        <f>IF(SUM(U142:AY142)=0,"",SUM(U142:AY142))</f>
        <v/>
      </c>
      <c r="L142" s="57">
        <f>IFERROR(INDEX(U$2:AY$2,MATCH(TRUE,U142:AY142&lt;&gt;"",0)),"")</f>
        <v/>
      </c>
      <c r="M142" s="58">
        <f>IFERROR(LOOKUP(2,1/(U142:AY142&lt;&gt;""),U$2:AY$2),"")</f>
        <v/>
      </c>
      <c r="N142" s="59">
        <f>IF(OR(G142="",M142=""),"",G142-M142)</f>
        <v/>
      </c>
      <c r="O142" s="60" t="n"/>
      <c r="P142" s="61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  <c r="AG142" s="62" t="n"/>
      <c r="AH142" s="62" t="n"/>
      <c r="AI142" s="62" t="n"/>
      <c r="AJ142" s="62" t="n"/>
      <c r="AK142" s="62" t="n"/>
      <c r="AL142" s="62" t="n"/>
      <c r="AM142" s="62" t="n"/>
      <c r="AN142" s="62" t="n"/>
      <c r="AO142" s="62" t="n"/>
      <c r="AP142" s="62" t="n"/>
      <c r="AQ142" s="62" t="n"/>
      <c r="AR142" s="62" t="n"/>
      <c r="AS142" s="62" t="n"/>
      <c r="AT142" s="62" t="n"/>
      <c r="AU142" s="62" t="n"/>
      <c r="AV142" s="62" t="n"/>
      <c r="AW142" s="62" t="n"/>
      <c r="AX142" s="62" t="n"/>
      <c r="AY142" s="62" t="n"/>
    </row>
    <row r="143">
      <c r="A143" s="38">
        <f>IF(D143="","",COUNTA($D$133:D143))</f>
        <v/>
      </c>
      <c r="B143" s="52" t="n"/>
      <c r="C143" s="73" t="inlineStr">
        <is>
          <t>기타</t>
        </is>
      </c>
      <c r="D143" s="52" t="n"/>
      <c r="E143" s="54" t="n"/>
      <c r="F143" s="52" t="n"/>
      <c r="G143" s="55" t="n"/>
      <c r="H143" s="54" t="n"/>
      <c r="I143" s="54" t="n"/>
      <c r="J143" s="54" t="n"/>
      <c r="K143" s="56">
        <f>IF(SUM(U143:AY143)=0,"",SUM(U143:AY143))</f>
        <v/>
      </c>
      <c r="L143" s="57">
        <f>IFERROR(INDEX(U$2:AY$2,MATCH(TRUE,U143:AY143&lt;&gt;"",0)),"")</f>
        <v/>
      </c>
      <c r="M143" s="58">
        <f>IFERROR(LOOKUP(2,1/(U143:AY143&lt;&gt;""),U$2:AY$2),"")</f>
        <v/>
      </c>
      <c r="N143" s="59">
        <f>IF(OR(G143="",M143=""),"",G143-M143)</f>
        <v/>
      </c>
      <c r="O143" s="60" t="n"/>
      <c r="P143" s="61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  <c r="AG143" s="62" t="n"/>
      <c r="AH143" s="62" t="n"/>
      <c r="AI143" s="62" t="n"/>
      <c r="AJ143" s="62" t="n"/>
      <c r="AK143" s="62" t="n"/>
      <c r="AL143" s="62" t="n"/>
      <c r="AM143" s="62" t="n"/>
      <c r="AN143" s="62" t="n"/>
      <c r="AO143" s="62" t="n"/>
      <c r="AP143" s="62" t="n"/>
      <c r="AQ143" s="62" t="n"/>
      <c r="AR143" s="62" t="n"/>
      <c r="AS143" s="62" t="n"/>
      <c r="AT143" s="62" t="n"/>
      <c r="AU143" s="62" t="n"/>
      <c r="AV143" s="62" t="n"/>
      <c r="AW143" s="62" t="n"/>
      <c r="AX143" s="62" t="n"/>
      <c r="AY143" s="62" t="n"/>
    </row>
    <row r="144">
      <c r="A144" s="38">
        <f>IF(D144="","",COUNTA($D$133:D144))</f>
        <v/>
      </c>
      <c r="B144" s="52" t="n"/>
      <c r="C144" s="73" t="inlineStr">
        <is>
          <t>기타</t>
        </is>
      </c>
      <c r="D144" s="52" t="n"/>
      <c r="E144" s="54" t="n"/>
      <c r="F144" s="52" t="n"/>
      <c r="G144" s="55" t="n"/>
      <c r="H144" s="54" t="n"/>
      <c r="I144" s="54" t="n"/>
      <c r="J144" s="54" t="n"/>
      <c r="K144" s="56">
        <f>IF(SUM(U144:AY144)=0,"",SUM(U144:AY144))</f>
        <v/>
      </c>
      <c r="L144" s="57">
        <f>IFERROR(INDEX(U$2:AY$2,MATCH(TRUE,U144:AY144&lt;&gt;"",0)),"")</f>
        <v/>
      </c>
      <c r="M144" s="58">
        <f>IFERROR(LOOKUP(2,1/(U144:AY144&lt;&gt;""),U$2:AY$2),"")</f>
        <v/>
      </c>
      <c r="N144" s="59">
        <f>IF(OR(G144="",M144=""),"",G144-M144)</f>
        <v/>
      </c>
      <c r="O144" s="60" t="n"/>
      <c r="P144" s="61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  <c r="AG144" s="62" t="n"/>
      <c r="AH144" s="62" t="n"/>
      <c r="AI144" s="62" t="n"/>
      <c r="AJ144" s="62" t="n"/>
      <c r="AK144" s="62" t="n"/>
      <c r="AL144" s="62" t="n"/>
      <c r="AM144" s="62" t="n"/>
      <c r="AN144" s="62" t="n"/>
      <c r="AO144" s="62" t="n"/>
      <c r="AP144" s="62" t="n"/>
      <c r="AQ144" s="62" t="n"/>
      <c r="AR144" s="62" t="n"/>
      <c r="AS144" s="62" t="n"/>
      <c r="AT144" s="62" t="n"/>
      <c r="AU144" s="62" t="n"/>
      <c r="AV144" s="62" t="n"/>
      <c r="AW144" s="62" t="n"/>
      <c r="AX144" s="62" t="n"/>
      <c r="AY144" s="62" t="n"/>
    </row>
    <row r="145">
      <c r="A145" s="38">
        <f>IF(D145="","",COUNTA($D$133:D145))</f>
        <v/>
      </c>
      <c r="B145" s="52" t="n"/>
      <c r="C145" s="73" t="inlineStr">
        <is>
          <t>기타</t>
        </is>
      </c>
      <c r="D145" s="52" t="n"/>
      <c r="E145" s="54" t="n"/>
      <c r="F145" s="52" t="n"/>
      <c r="G145" s="55" t="n"/>
      <c r="H145" s="54" t="n"/>
      <c r="I145" s="54" t="n"/>
      <c r="J145" s="54" t="n"/>
      <c r="K145" s="56">
        <f>IF(SUM(U145:AY145)=0,"",SUM(U145:AY145))</f>
        <v/>
      </c>
      <c r="L145" s="57">
        <f>IFERROR(INDEX(U$2:AY$2,MATCH(TRUE,U145:AY145&lt;&gt;"",0)),"")</f>
        <v/>
      </c>
      <c r="M145" s="58">
        <f>IFERROR(LOOKUP(2,1/(U145:AY145&lt;&gt;""),U$2:AY$2),"")</f>
        <v/>
      </c>
      <c r="N145" s="59">
        <f>IF(OR(G145="",M145=""),"",G145-M145)</f>
        <v/>
      </c>
      <c r="O145" s="60" t="n"/>
      <c r="P145" s="61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  <c r="AG145" s="62" t="n"/>
      <c r="AH145" s="62" t="n"/>
      <c r="AI145" s="62" t="n"/>
      <c r="AJ145" s="62" t="n"/>
      <c r="AK145" s="62" t="n"/>
      <c r="AL145" s="62" t="n"/>
      <c r="AM145" s="62" t="n"/>
      <c r="AN145" s="62" t="n"/>
      <c r="AO145" s="62" t="n"/>
      <c r="AP145" s="62" t="n"/>
      <c r="AQ145" s="62" t="n"/>
      <c r="AR145" s="62" t="n"/>
      <c r="AS145" s="62" t="n"/>
      <c r="AT145" s="62" t="n"/>
      <c r="AU145" s="62" t="n"/>
      <c r="AV145" s="62" t="n"/>
      <c r="AW145" s="62" t="n"/>
      <c r="AX145" s="62" t="n"/>
      <c r="AY145" s="62" t="n"/>
    </row>
    <row r="146">
      <c r="A146" s="38">
        <f>IF(D146="","",COUNTA($D$133:D146))</f>
        <v/>
      </c>
      <c r="B146" s="52" t="n"/>
      <c r="C146" s="73" t="inlineStr">
        <is>
          <t>기타</t>
        </is>
      </c>
      <c r="D146" s="52" t="n"/>
      <c r="E146" s="54" t="n"/>
      <c r="F146" s="52" t="n"/>
      <c r="G146" s="55" t="n"/>
      <c r="H146" s="54" t="n"/>
      <c r="I146" s="54" t="n"/>
      <c r="J146" s="54" t="n"/>
      <c r="K146" s="56">
        <f>IF(SUM(U146:AY146)=0,"",SUM(U146:AY146))</f>
        <v/>
      </c>
      <c r="L146" s="57">
        <f>IFERROR(INDEX(U$2:AY$2,MATCH(TRUE,U146:AY146&lt;&gt;"",0)),"")</f>
        <v/>
      </c>
      <c r="M146" s="58">
        <f>IFERROR(LOOKUP(2,1/(U146:AY146&lt;&gt;""),U$2:AY$2),"")</f>
        <v/>
      </c>
      <c r="N146" s="59">
        <f>IF(OR(G146="",M146=""),"",G146-M146)</f>
        <v/>
      </c>
      <c r="O146" s="60" t="n"/>
      <c r="P146" s="61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  <c r="AG146" s="62" t="n"/>
      <c r="AH146" s="62" t="n"/>
      <c r="AI146" s="62" t="n"/>
      <c r="AJ146" s="62" t="n"/>
      <c r="AK146" s="62" t="n"/>
      <c r="AL146" s="62" t="n"/>
      <c r="AM146" s="62" t="n"/>
      <c r="AN146" s="62" t="n"/>
      <c r="AO146" s="62" t="n"/>
      <c r="AP146" s="62" t="n"/>
      <c r="AQ146" s="62" t="n"/>
      <c r="AR146" s="62" t="n"/>
      <c r="AS146" s="62" t="n"/>
      <c r="AT146" s="62" t="n"/>
      <c r="AU146" s="62" t="n"/>
      <c r="AV146" s="62" t="n"/>
      <c r="AW146" s="62" t="n"/>
      <c r="AX146" s="62" t="n"/>
      <c r="AY146" s="62" t="n"/>
    </row>
    <row r="147">
      <c r="A147" s="38">
        <f>IF(D147="","",COUNTA($D$133:D147))</f>
        <v/>
      </c>
      <c r="B147" s="52" t="n"/>
      <c r="C147" s="73" t="inlineStr">
        <is>
          <t>기타</t>
        </is>
      </c>
      <c r="D147" s="52" t="n"/>
      <c r="E147" s="54" t="n"/>
      <c r="F147" s="52" t="n"/>
      <c r="G147" s="55" t="n"/>
      <c r="H147" s="54" t="n"/>
      <c r="I147" s="54" t="n"/>
      <c r="J147" s="54" t="n"/>
      <c r="K147" s="56">
        <f>IF(SUM(U147:AY147)=0,"",SUM(U147:AY147))</f>
        <v/>
      </c>
      <c r="L147" s="57">
        <f>IFERROR(INDEX(U$2:AY$2,MATCH(TRUE,U147:AY147&lt;&gt;"",0)),"")</f>
        <v/>
      </c>
      <c r="M147" s="58">
        <f>IFERROR(LOOKUP(2,1/(U147:AY147&lt;&gt;""),U$2:AY$2),"")</f>
        <v/>
      </c>
      <c r="N147" s="59">
        <f>IF(OR(G147="",M147=""),"",G147-M147)</f>
        <v/>
      </c>
      <c r="O147" s="60" t="n"/>
      <c r="P147" s="61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  <c r="AG147" s="62" t="n"/>
      <c r="AH147" s="62" t="n"/>
      <c r="AI147" s="62" t="n"/>
      <c r="AJ147" s="62" t="n"/>
      <c r="AK147" s="62" t="n"/>
      <c r="AL147" s="62" t="n"/>
      <c r="AM147" s="62" t="n"/>
      <c r="AN147" s="62" t="n"/>
      <c r="AO147" s="62" t="n"/>
      <c r="AP147" s="62" t="n"/>
      <c r="AQ147" s="62" t="n"/>
      <c r="AR147" s="62" t="n"/>
      <c r="AS147" s="62" t="n"/>
      <c r="AT147" s="62" t="n"/>
      <c r="AU147" s="62" t="n"/>
      <c r="AV147" s="62" t="n"/>
      <c r="AW147" s="62" t="n"/>
      <c r="AX147" s="62" t="n"/>
      <c r="AY147" s="62" t="n"/>
    </row>
    <row r="148">
      <c r="A148" s="38">
        <f>IF(D148="","",COUNTA($D$133:D148))</f>
        <v/>
      </c>
      <c r="B148" s="52" t="n"/>
      <c r="C148" s="73" t="inlineStr">
        <is>
          <t>기타</t>
        </is>
      </c>
      <c r="D148" s="52" t="n"/>
      <c r="E148" s="54" t="n"/>
      <c r="F148" s="52" t="n"/>
      <c r="G148" s="55" t="n"/>
      <c r="H148" s="54" t="n"/>
      <c r="I148" s="54" t="n"/>
      <c r="J148" s="54" t="n"/>
      <c r="K148" s="56">
        <f>IF(SUM(U148:AY148)=0,"",SUM(U148:AY148))</f>
        <v/>
      </c>
      <c r="L148" s="57">
        <f>IFERROR(INDEX(U$2:AY$2,MATCH(TRUE,U148:AY148&lt;&gt;"",0)),"")</f>
        <v/>
      </c>
      <c r="M148" s="58">
        <f>IFERROR(LOOKUP(2,1/(U148:AY148&lt;&gt;""),U$2:AY$2),"")</f>
        <v/>
      </c>
      <c r="N148" s="59">
        <f>IF(OR(G148="",M148=""),"",G148-M148)</f>
        <v/>
      </c>
      <c r="O148" s="60" t="n"/>
      <c r="P148" s="61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  <c r="AG148" s="62" t="n"/>
      <c r="AH148" s="62" t="n"/>
      <c r="AI148" s="62" t="n"/>
      <c r="AJ148" s="62" t="n"/>
      <c r="AK148" s="62" t="n"/>
      <c r="AL148" s="62" t="n"/>
      <c r="AM148" s="62" t="n"/>
      <c r="AN148" s="62" t="n"/>
      <c r="AO148" s="62" t="n"/>
      <c r="AP148" s="62" t="n"/>
      <c r="AQ148" s="62" t="n"/>
      <c r="AR148" s="62" t="n"/>
      <c r="AS148" s="62" t="n"/>
      <c r="AT148" s="62" t="n"/>
      <c r="AU148" s="62" t="n"/>
      <c r="AV148" s="62" t="n"/>
      <c r="AW148" s="62" t="n"/>
      <c r="AX148" s="62" t="n"/>
      <c r="AY148" s="62" t="n"/>
    </row>
    <row r="149">
      <c r="A149" s="38">
        <f>IF(D149="","",COUNTA($D$133:D149))</f>
        <v/>
      </c>
      <c r="B149" s="52" t="n"/>
      <c r="C149" s="73" t="inlineStr">
        <is>
          <t>기타</t>
        </is>
      </c>
      <c r="D149" s="52" t="n"/>
      <c r="E149" s="54" t="n"/>
      <c r="F149" s="52" t="n"/>
      <c r="G149" s="55" t="n"/>
      <c r="H149" s="54" t="n"/>
      <c r="I149" s="54" t="n"/>
      <c r="J149" s="54" t="n"/>
      <c r="K149" s="56">
        <f>IF(SUM(U149:AY149)=0,"",SUM(U149:AY149))</f>
        <v/>
      </c>
      <c r="L149" s="57">
        <f>IFERROR(INDEX(U$2:AY$2,MATCH(TRUE,U149:AY149&lt;&gt;"",0)),"")</f>
        <v/>
      </c>
      <c r="M149" s="58">
        <f>IFERROR(LOOKUP(2,1/(U149:AY149&lt;&gt;""),U$2:AY$2),"")</f>
        <v/>
      </c>
      <c r="N149" s="59">
        <f>IF(OR(G149="",M149=""),"",G149-M149)</f>
        <v/>
      </c>
      <c r="O149" s="60" t="n"/>
      <c r="P149" s="61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  <c r="AG149" s="62" t="n"/>
      <c r="AH149" s="62" t="n"/>
      <c r="AI149" s="62" t="n"/>
      <c r="AJ149" s="62" t="n"/>
      <c r="AK149" s="62" t="n"/>
      <c r="AL149" s="62" t="n"/>
      <c r="AM149" s="62" t="n"/>
      <c r="AN149" s="62" t="n"/>
      <c r="AO149" s="62" t="n"/>
      <c r="AP149" s="62" t="n"/>
      <c r="AQ149" s="62" t="n"/>
      <c r="AR149" s="62" t="n"/>
      <c r="AS149" s="62" t="n"/>
      <c r="AT149" s="62" t="n"/>
      <c r="AU149" s="62" t="n"/>
      <c r="AV149" s="62" t="n"/>
      <c r="AW149" s="62" t="n"/>
      <c r="AX149" s="62" t="n"/>
      <c r="AY149" s="62" t="n"/>
    </row>
    <row r="150">
      <c r="A150" s="38">
        <f>IF(D150="","",COUNTA($D$133:D150))</f>
        <v/>
      </c>
      <c r="B150" s="52" t="n"/>
      <c r="C150" s="73" t="inlineStr">
        <is>
          <t>기타</t>
        </is>
      </c>
      <c r="D150" s="52" t="n"/>
      <c r="E150" s="54" t="n"/>
      <c r="F150" s="52" t="n"/>
      <c r="G150" s="55" t="n"/>
      <c r="H150" s="54" t="n"/>
      <c r="I150" s="54" t="n"/>
      <c r="J150" s="54" t="n"/>
      <c r="K150" s="56">
        <f>IF(SUM(U150:AY150)=0,"",SUM(U150:AY150))</f>
        <v/>
      </c>
      <c r="L150" s="57">
        <f>IFERROR(INDEX(U$2:AY$2,MATCH(TRUE,U150:AY150&lt;&gt;"",0)),"")</f>
        <v/>
      </c>
      <c r="M150" s="58">
        <f>IFERROR(LOOKUP(2,1/(U150:AY150&lt;&gt;""),U$2:AY$2),"")</f>
        <v/>
      </c>
      <c r="N150" s="59">
        <f>IF(OR(G150="",M150=""),"",G150-M150)</f>
        <v/>
      </c>
      <c r="O150" s="60" t="n"/>
      <c r="P150" s="61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  <c r="AG150" s="62" t="n"/>
      <c r="AH150" s="62" t="n"/>
      <c r="AI150" s="62" t="n"/>
      <c r="AJ150" s="62" t="n"/>
      <c r="AK150" s="62" t="n"/>
      <c r="AL150" s="62" t="n"/>
      <c r="AM150" s="62" t="n"/>
      <c r="AN150" s="62" t="n"/>
      <c r="AO150" s="62" t="n"/>
      <c r="AP150" s="62" t="n"/>
      <c r="AQ150" s="62" t="n"/>
      <c r="AR150" s="62" t="n"/>
      <c r="AS150" s="62" t="n"/>
      <c r="AT150" s="62" t="n"/>
      <c r="AU150" s="62" t="n"/>
      <c r="AV150" s="62" t="n"/>
      <c r="AW150" s="62" t="n"/>
      <c r="AX150" s="62" t="n"/>
      <c r="AY150" s="62" t="n"/>
    </row>
    <row r="151">
      <c r="A151" s="38">
        <f>IF(D151="","",COUNTA($D$133:D151))</f>
        <v/>
      </c>
      <c r="B151" s="52" t="n"/>
      <c r="C151" s="73" t="inlineStr">
        <is>
          <t>기타</t>
        </is>
      </c>
      <c r="D151" s="52" t="n"/>
      <c r="E151" s="54" t="n"/>
      <c r="F151" s="52" t="n"/>
      <c r="G151" s="55" t="n"/>
      <c r="H151" s="54" t="n"/>
      <c r="I151" s="54" t="n"/>
      <c r="J151" s="54" t="n"/>
      <c r="K151" s="56">
        <f>IF(SUM(U151:AY151)=0,"",SUM(U151:AY151))</f>
        <v/>
      </c>
      <c r="L151" s="57">
        <f>IFERROR(INDEX(U$2:AY$2,MATCH(TRUE,U151:AY151&lt;&gt;"",0)),"")</f>
        <v/>
      </c>
      <c r="M151" s="58">
        <f>IFERROR(LOOKUP(2,1/(U151:AY151&lt;&gt;""),U$2:AY$2),"")</f>
        <v/>
      </c>
      <c r="N151" s="59">
        <f>IF(OR(G151="",M151=""),"",G151-M151)</f>
        <v/>
      </c>
      <c r="O151" s="60" t="n"/>
      <c r="P151" s="61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  <c r="AG151" s="62" t="n"/>
      <c r="AH151" s="62" t="n"/>
      <c r="AI151" s="62" t="n"/>
      <c r="AJ151" s="62" t="n"/>
      <c r="AK151" s="62" t="n"/>
      <c r="AL151" s="62" t="n"/>
      <c r="AM151" s="62" t="n"/>
      <c r="AN151" s="62" t="n"/>
      <c r="AO151" s="62" t="n"/>
      <c r="AP151" s="62" t="n"/>
      <c r="AQ151" s="62" t="n"/>
      <c r="AR151" s="62" t="n"/>
      <c r="AS151" s="62" t="n"/>
      <c r="AT151" s="62" t="n"/>
      <c r="AU151" s="62" t="n"/>
      <c r="AV151" s="62" t="n"/>
      <c r="AW151" s="62" t="n"/>
      <c r="AX151" s="62" t="n"/>
      <c r="AY151" s="62" t="n"/>
    </row>
    <row r="152">
      <c r="A152" s="38">
        <f>IF(D152="","",COUNTA($D$133:D152))</f>
        <v/>
      </c>
      <c r="B152" s="52" t="n"/>
      <c r="C152" s="73" t="inlineStr">
        <is>
          <t>기타</t>
        </is>
      </c>
      <c r="D152" s="52" t="n"/>
      <c r="E152" s="54" t="n"/>
      <c r="F152" s="52" t="n"/>
      <c r="G152" s="55" t="n"/>
      <c r="H152" s="54" t="n"/>
      <c r="I152" s="54" t="n"/>
      <c r="J152" s="54" t="n"/>
      <c r="K152" s="56">
        <f>IF(SUM(U152:AY152)=0,"",SUM(U152:AY152))</f>
        <v/>
      </c>
      <c r="L152" s="57">
        <f>IFERROR(INDEX(U$2:AY$2,MATCH(TRUE,U152:AY152&lt;&gt;"",0)),"")</f>
        <v/>
      </c>
      <c r="M152" s="58">
        <f>IFERROR(LOOKUP(2,1/(U152:AY152&lt;&gt;""),U$2:AY$2),"")</f>
        <v/>
      </c>
      <c r="N152" s="59">
        <f>IF(OR(G152="",M152=""),"",G152-M152)</f>
        <v/>
      </c>
      <c r="O152" s="60" t="n"/>
      <c r="P152" s="61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  <c r="AG152" s="62" t="n"/>
      <c r="AH152" s="62" t="n"/>
      <c r="AI152" s="62" t="n"/>
      <c r="AJ152" s="62" t="n"/>
      <c r="AK152" s="62" t="n"/>
      <c r="AL152" s="62" t="n"/>
      <c r="AM152" s="62" t="n"/>
      <c r="AN152" s="62" t="n"/>
      <c r="AO152" s="62" t="n"/>
      <c r="AP152" s="62" t="n"/>
      <c r="AQ152" s="62" t="n"/>
      <c r="AR152" s="62" t="n"/>
      <c r="AS152" s="62" t="n"/>
      <c r="AT152" s="62" t="n"/>
      <c r="AU152" s="62" t="n"/>
      <c r="AV152" s="62" t="n"/>
      <c r="AW152" s="62" t="n"/>
      <c r="AX152" s="62" t="n"/>
      <c r="AY152" s="62" t="n"/>
    </row>
    <row r="153">
      <c r="A153" s="38">
        <f>IF(D153="","",COUNTA($D$133:D153))</f>
        <v/>
      </c>
      <c r="B153" s="52" t="n"/>
      <c r="C153" s="73" t="inlineStr">
        <is>
          <t>기타</t>
        </is>
      </c>
      <c r="D153" s="52" t="n"/>
      <c r="E153" s="54" t="n"/>
      <c r="F153" s="52" t="n"/>
      <c r="G153" s="55" t="n"/>
      <c r="H153" s="54" t="n"/>
      <c r="I153" s="54" t="n"/>
      <c r="J153" s="54" t="n"/>
      <c r="K153" s="56">
        <f>IF(SUM(U153:AY153)=0,"",SUM(U153:AY153))</f>
        <v/>
      </c>
      <c r="L153" s="57">
        <f>IFERROR(INDEX(U$2:AY$2,MATCH(TRUE,U153:AY153&lt;&gt;"",0)),"")</f>
        <v/>
      </c>
      <c r="M153" s="58">
        <f>IFERROR(LOOKUP(2,1/(U153:AY153&lt;&gt;""),U$2:AY$2),"")</f>
        <v/>
      </c>
      <c r="N153" s="59">
        <f>IF(OR(G153="",M153=""),"",G153-M153)</f>
        <v/>
      </c>
      <c r="O153" s="60" t="n"/>
      <c r="P153" s="61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  <c r="AG153" s="62" t="n"/>
      <c r="AH153" s="62" t="n"/>
      <c r="AI153" s="62" t="n"/>
      <c r="AJ153" s="62" t="n"/>
      <c r="AK153" s="62" t="n"/>
      <c r="AL153" s="62" t="n"/>
      <c r="AM153" s="62" t="n"/>
      <c r="AN153" s="62" t="n"/>
      <c r="AO153" s="62" t="n"/>
      <c r="AP153" s="62" t="n"/>
      <c r="AQ153" s="62" t="n"/>
      <c r="AR153" s="62" t="n"/>
      <c r="AS153" s="62" t="n"/>
      <c r="AT153" s="62" t="n"/>
      <c r="AU153" s="62" t="n"/>
      <c r="AV153" s="62" t="n"/>
      <c r="AW153" s="62" t="n"/>
      <c r="AX153" s="62" t="n"/>
      <c r="AY153" s="62" t="n"/>
    </row>
    <row r="154">
      <c r="A154" s="38">
        <f>IF(D154="","",COUNTA($D$133:D154))</f>
        <v/>
      </c>
      <c r="B154" s="52" t="n"/>
      <c r="C154" s="73" t="inlineStr">
        <is>
          <t>기타</t>
        </is>
      </c>
      <c r="D154" s="52" t="n"/>
      <c r="E154" s="54" t="n"/>
      <c r="F154" s="52" t="n"/>
      <c r="G154" s="55" t="n"/>
      <c r="H154" s="54" t="n"/>
      <c r="I154" s="54" t="n"/>
      <c r="J154" s="54" t="n"/>
      <c r="K154" s="56">
        <f>IF(SUM(U154:AY154)=0,"",SUM(U154:AY154))</f>
        <v/>
      </c>
      <c r="L154" s="57">
        <f>IFERROR(INDEX(U$2:AY$2,MATCH(TRUE,U154:AY154&lt;&gt;"",0)),"")</f>
        <v/>
      </c>
      <c r="M154" s="58">
        <f>IFERROR(LOOKUP(2,1/(U154:AY154&lt;&gt;""),U$2:AY$2),"")</f>
        <v/>
      </c>
      <c r="N154" s="59">
        <f>IF(OR(G154="",M154=""),"",G154-M154)</f>
        <v/>
      </c>
      <c r="O154" s="60" t="n"/>
      <c r="P154" s="61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  <c r="AG154" s="62" t="n"/>
      <c r="AH154" s="62" t="n"/>
      <c r="AI154" s="62" t="n"/>
      <c r="AJ154" s="62" t="n"/>
      <c r="AK154" s="62" t="n"/>
      <c r="AL154" s="62" t="n"/>
      <c r="AM154" s="62" t="n"/>
      <c r="AN154" s="62" t="n"/>
      <c r="AO154" s="62" t="n"/>
      <c r="AP154" s="62" t="n"/>
      <c r="AQ154" s="62" t="n"/>
      <c r="AR154" s="62" t="n"/>
      <c r="AS154" s="62" t="n"/>
      <c r="AT154" s="62" t="n"/>
      <c r="AU154" s="62" t="n"/>
      <c r="AV154" s="62" t="n"/>
      <c r="AW154" s="62" t="n"/>
      <c r="AX154" s="62" t="n"/>
      <c r="AY154" s="62" t="n"/>
    </row>
    <row r="155">
      <c r="A155" s="38">
        <f>IF(D155="","",COUNTA($D$133:D155))</f>
        <v/>
      </c>
      <c r="B155" s="52" t="n"/>
      <c r="C155" s="73" t="inlineStr">
        <is>
          <t>기타</t>
        </is>
      </c>
      <c r="D155" s="52" t="n"/>
      <c r="E155" s="54" t="n"/>
      <c r="F155" s="52" t="n"/>
      <c r="G155" s="55" t="n"/>
      <c r="H155" s="54" t="n"/>
      <c r="I155" s="54" t="n"/>
      <c r="J155" s="54" t="n"/>
      <c r="K155" s="56">
        <f>IF(SUM(U155:AY155)=0,"",SUM(U155:AY155))</f>
        <v/>
      </c>
      <c r="L155" s="57">
        <f>IFERROR(INDEX(U$2:AY$2,MATCH(TRUE,U155:AY155&lt;&gt;"",0)),"")</f>
        <v/>
      </c>
      <c r="M155" s="58">
        <f>IFERROR(LOOKUP(2,1/(U155:AY155&lt;&gt;""),U$2:AY$2),"")</f>
        <v/>
      </c>
      <c r="N155" s="59">
        <f>IF(OR(G155="",M155=""),"",G155-M155)</f>
        <v/>
      </c>
      <c r="O155" s="60" t="n"/>
      <c r="P155" s="61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  <c r="AG155" s="62" t="n"/>
      <c r="AH155" s="62" t="n"/>
      <c r="AI155" s="62" t="n"/>
      <c r="AJ155" s="62" t="n"/>
      <c r="AK155" s="62" t="n"/>
      <c r="AL155" s="62" t="n"/>
      <c r="AM155" s="62" t="n"/>
      <c r="AN155" s="62" t="n"/>
      <c r="AO155" s="62" t="n"/>
      <c r="AP155" s="62" t="n"/>
      <c r="AQ155" s="62" t="n"/>
      <c r="AR155" s="62" t="n"/>
      <c r="AS155" s="62" t="n"/>
      <c r="AT155" s="62" t="n"/>
      <c r="AU155" s="62" t="n"/>
      <c r="AV155" s="62" t="n"/>
      <c r="AW155" s="62" t="n"/>
      <c r="AX155" s="62" t="n"/>
      <c r="AY155" s="62" t="n"/>
    </row>
    <row r="156">
      <c r="A156" s="38">
        <f>IF(D156="","",COUNTA($D$133:D156))</f>
        <v/>
      </c>
      <c r="B156" s="52" t="n"/>
      <c r="C156" s="73" t="inlineStr">
        <is>
          <t>기타</t>
        </is>
      </c>
      <c r="D156" s="52" t="n"/>
      <c r="E156" s="54" t="n"/>
      <c r="F156" s="52" t="n"/>
      <c r="G156" s="55" t="n"/>
      <c r="H156" s="54" t="n"/>
      <c r="I156" s="54" t="n"/>
      <c r="J156" s="54" t="n"/>
      <c r="K156" s="56">
        <f>IF(SUM(U156:AY156)=0,"",SUM(U156:AY156))</f>
        <v/>
      </c>
      <c r="L156" s="57">
        <f>IFERROR(INDEX(U$2:AY$2,MATCH(TRUE,U156:AY156&lt;&gt;"",0)),"")</f>
        <v/>
      </c>
      <c r="M156" s="58">
        <f>IFERROR(LOOKUP(2,1/(U156:AY156&lt;&gt;""),U$2:AY$2),"")</f>
        <v/>
      </c>
      <c r="N156" s="59">
        <f>IF(OR(G156="",M156=""),"",G156-M156)</f>
        <v/>
      </c>
      <c r="O156" s="60" t="n"/>
      <c r="P156" s="61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  <c r="AG156" s="62" t="n"/>
      <c r="AH156" s="62" t="n"/>
      <c r="AI156" s="62" t="n"/>
      <c r="AJ156" s="62" t="n"/>
      <c r="AK156" s="62" t="n"/>
      <c r="AL156" s="62" t="n"/>
      <c r="AM156" s="62" t="n"/>
      <c r="AN156" s="62" t="n"/>
      <c r="AO156" s="62" t="n"/>
      <c r="AP156" s="62" t="n"/>
      <c r="AQ156" s="62" t="n"/>
      <c r="AR156" s="62" t="n"/>
      <c r="AS156" s="62" t="n"/>
      <c r="AT156" s="62" t="n"/>
      <c r="AU156" s="62" t="n"/>
      <c r="AV156" s="62" t="n"/>
      <c r="AW156" s="62" t="n"/>
      <c r="AX156" s="62" t="n"/>
      <c r="AY156" s="62" t="n"/>
    </row>
    <row r="157">
      <c r="A157" s="38">
        <f>IF(D157="","",COUNTA($D$133:D157))</f>
        <v/>
      </c>
      <c r="B157" s="52" t="n"/>
      <c r="C157" s="73" t="inlineStr">
        <is>
          <t>기타</t>
        </is>
      </c>
      <c r="D157" s="52" t="n"/>
      <c r="E157" s="54" t="n"/>
      <c r="F157" s="52" t="n"/>
      <c r="G157" s="55" t="n"/>
      <c r="H157" s="54" t="n"/>
      <c r="I157" s="54" t="n"/>
      <c r="J157" s="54" t="n"/>
      <c r="K157" s="56">
        <f>IF(SUM(U157:AY157)=0,"",SUM(U157:AY157))</f>
        <v/>
      </c>
      <c r="L157" s="57">
        <f>IFERROR(INDEX(U$2:AY$2,MATCH(TRUE,U157:AY157&lt;&gt;"",0)),"")</f>
        <v/>
      </c>
      <c r="M157" s="58">
        <f>IFERROR(LOOKUP(2,1/(U157:AY157&lt;&gt;""),U$2:AY$2),"")</f>
        <v/>
      </c>
      <c r="N157" s="59">
        <f>IF(OR(G157="",M157=""),"",G157-M157)</f>
        <v/>
      </c>
      <c r="O157" s="60" t="n"/>
      <c r="P157" s="61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  <c r="AG157" s="62" t="n"/>
      <c r="AH157" s="62" t="n"/>
      <c r="AI157" s="62" t="n"/>
      <c r="AJ157" s="62" t="n"/>
      <c r="AK157" s="62" t="n"/>
      <c r="AL157" s="62" t="n"/>
      <c r="AM157" s="62" t="n"/>
      <c r="AN157" s="62" t="n"/>
      <c r="AO157" s="62" t="n"/>
      <c r="AP157" s="62" t="n"/>
      <c r="AQ157" s="62" t="n"/>
      <c r="AR157" s="62" t="n"/>
      <c r="AS157" s="62" t="n"/>
      <c r="AT157" s="62" t="n"/>
      <c r="AU157" s="62" t="n"/>
      <c r="AV157" s="62" t="n"/>
      <c r="AW157" s="62" t="n"/>
      <c r="AX157" s="62" t="n"/>
      <c r="AY157" s="62" t="n"/>
    </row>
    <row r="158">
      <c r="A158" s="38">
        <f>IF(D158="","",COUNTA($D$133:D158))</f>
        <v/>
      </c>
      <c r="B158" s="52" t="n"/>
      <c r="C158" s="73" t="inlineStr">
        <is>
          <t>기타</t>
        </is>
      </c>
      <c r="D158" s="52" t="n"/>
      <c r="E158" s="54" t="n"/>
      <c r="F158" s="52" t="n"/>
      <c r="G158" s="55" t="n"/>
      <c r="H158" s="54" t="n"/>
      <c r="I158" s="54" t="n"/>
      <c r="J158" s="54" t="n"/>
      <c r="K158" s="56">
        <f>IF(SUM(U158:AY158)=0,"",SUM(U158:AY158))</f>
        <v/>
      </c>
      <c r="L158" s="57">
        <f>IFERROR(INDEX(U$2:AY$2,MATCH(TRUE,U158:AY158&lt;&gt;"",0)),"")</f>
        <v/>
      </c>
      <c r="M158" s="58">
        <f>IFERROR(LOOKUP(2,1/(U158:AY158&lt;&gt;""),U$2:AY$2),"")</f>
        <v/>
      </c>
      <c r="N158" s="59">
        <f>IF(OR(G158="",M158=""),"",G158-M158)</f>
        <v/>
      </c>
      <c r="O158" s="60" t="n"/>
      <c r="P158" s="61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  <c r="AG158" s="62" t="n"/>
      <c r="AH158" s="62" t="n"/>
      <c r="AI158" s="62" t="n"/>
      <c r="AJ158" s="62" t="n"/>
      <c r="AK158" s="62" t="n"/>
      <c r="AL158" s="62" t="n"/>
      <c r="AM158" s="62" t="n"/>
      <c r="AN158" s="62" t="n"/>
      <c r="AO158" s="62" t="n"/>
      <c r="AP158" s="62" t="n"/>
      <c r="AQ158" s="62" t="n"/>
      <c r="AR158" s="62" t="n"/>
      <c r="AS158" s="62" t="n"/>
      <c r="AT158" s="62" t="n"/>
      <c r="AU158" s="62" t="n"/>
      <c r="AV158" s="62" t="n"/>
      <c r="AW158" s="62" t="n"/>
      <c r="AX158" s="62" t="n"/>
      <c r="AY158" s="62" t="n"/>
    </row>
    <row r="159">
      <c r="A159" s="38">
        <f>IF(D159="","",COUNTA($D$133:D159))</f>
        <v/>
      </c>
      <c r="B159" s="52" t="n"/>
      <c r="C159" s="73" t="inlineStr">
        <is>
          <t>기타</t>
        </is>
      </c>
      <c r="D159" s="52" t="n"/>
      <c r="E159" s="54" t="n"/>
      <c r="F159" s="52" t="n"/>
      <c r="G159" s="55" t="n"/>
      <c r="H159" s="54" t="n"/>
      <c r="I159" s="54" t="n"/>
      <c r="J159" s="54" t="n"/>
      <c r="K159" s="56">
        <f>IF(SUM(U159:AY159)=0,"",SUM(U159:AY159))</f>
        <v/>
      </c>
      <c r="L159" s="57">
        <f>IFERROR(INDEX(U$2:AY$2,MATCH(TRUE,U159:AY159&lt;&gt;"",0)),"")</f>
        <v/>
      </c>
      <c r="M159" s="58">
        <f>IFERROR(LOOKUP(2,1/(U159:AY159&lt;&gt;""),U$2:AY$2),"")</f>
        <v/>
      </c>
      <c r="N159" s="59">
        <f>IF(OR(G159="",M159=""),"",G159-M159)</f>
        <v/>
      </c>
      <c r="O159" s="60" t="n"/>
      <c r="P159" s="61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  <c r="AG159" s="62" t="n"/>
      <c r="AH159" s="62" t="n"/>
      <c r="AI159" s="62" t="n"/>
      <c r="AJ159" s="62" t="n"/>
      <c r="AK159" s="62" t="n"/>
      <c r="AL159" s="62" t="n"/>
      <c r="AM159" s="62" t="n"/>
      <c r="AN159" s="62" t="n"/>
      <c r="AO159" s="62" t="n"/>
      <c r="AP159" s="62" t="n"/>
      <c r="AQ159" s="62" t="n"/>
      <c r="AR159" s="62" t="n"/>
      <c r="AS159" s="62" t="n"/>
      <c r="AT159" s="62" t="n"/>
      <c r="AU159" s="62" t="n"/>
      <c r="AV159" s="62" t="n"/>
      <c r="AW159" s="62" t="n"/>
      <c r="AX159" s="62" t="n"/>
      <c r="AY159" s="62" t="n"/>
    </row>
    <row r="160">
      <c r="A160" s="38">
        <f>IF(D160="","",COUNTA($D$133:D160))</f>
        <v/>
      </c>
      <c r="B160" s="52" t="n"/>
      <c r="C160" s="73" t="inlineStr">
        <is>
          <t>기타</t>
        </is>
      </c>
      <c r="D160" s="52" t="n"/>
      <c r="E160" s="54" t="n"/>
      <c r="F160" s="52" t="n"/>
      <c r="G160" s="55" t="n"/>
      <c r="H160" s="54" t="n"/>
      <c r="I160" s="54" t="n"/>
      <c r="J160" s="54" t="n"/>
      <c r="K160" s="56">
        <f>IF(SUM(U160:AY160)=0,"",SUM(U160:AY160))</f>
        <v/>
      </c>
      <c r="L160" s="57">
        <f>IFERROR(INDEX(U$2:AY$2,MATCH(TRUE,U160:AY160&lt;&gt;"",0)),"")</f>
        <v/>
      </c>
      <c r="M160" s="58">
        <f>IFERROR(LOOKUP(2,1/(U160:AY160&lt;&gt;""),U$2:AY$2),"")</f>
        <v/>
      </c>
      <c r="N160" s="59">
        <f>IF(OR(G160="",M160=""),"",G160-M160)</f>
        <v/>
      </c>
      <c r="O160" s="60" t="n"/>
      <c r="P160" s="61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  <c r="AG160" s="62" t="n"/>
      <c r="AH160" s="62" t="n"/>
      <c r="AI160" s="62" t="n"/>
      <c r="AJ160" s="62" t="n"/>
      <c r="AK160" s="62" t="n"/>
      <c r="AL160" s="62" t="n"/>
      <c r="AM160" s="62" t="n"/>
      <c r="AN160" s="62" t="n"/>
      <c r="AO160" s="62" t="n"/>
      <c r="AP160" s="62" t="n"/>
      <c r="AQ160" s="62" t="n"/>
      <c r="AR160" s="62" t="n"/>
      <c r="AS160" s="62" t="n"/>
      <c r="AT160" s="62" t="n"/>
      <c r="AU160" s="62" t="n"/>
      <c r="AV160" s="62" t="n"/>
      <c r="AW160" s="62" t="n"/>
      <c r="AX160" s="62" t="n"/>
      <c r="AY160" s="62" t="n"/>
    </row>
    <row r="161">
      <c r="A161" s="38">
        <f>IF(D161="","",COUNTA($D$133:D161))</f>
        <v/>
      </c>
      <c r="B161" s="52" t="n"/>
      <c r="C161" s="73" t="inlineStr">
        <is>
          <t>기타</t>
        </is>
      </c>
      <c r="D161" s="52" t="n"/>
      <c r="E161" s="54" t="n"/>
      <c r="F161" s="52" t="n"/>
      <c r="G161" s="55" t="n"/>
      <c r="H161" s="54" t="n"/>
      <c r="I161" s="54" t="n"/>
      <c r="J161" s="54" t="n"/>
      <c r="K161" s="56">
        <f>IF(SUM(U161:AY161)=0,"",SUM(U161:AY161))</f>
        <v/>
      </c>
      <c r="L161" s="57">
        <f>IFERROR(INDEX(U$2:AY$2,MATCH(TRUE,U161:AY161&lt;&gt;"",0)),"")</f>
        <v/>
      </c>
      <c r="M161" s="58">
        <f>IFERROR(LOOKUP(2,1/(U161:AY161&lt;&gt;""),U$2:AY$2),"")</f>
        <v/>
      </c>
      <c r="N161" s="59">
        <f>IF(OR(G161="",M161=""),"",G161-M161)</f>
        <v/>
      </c>
      <c r="O161" s="60" t="n"/>
      <c r="P161" s="61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  <c r="AG161" s="62" t="n"/>
      <c r="AH161" s="62" t="n"/>
      <c r="AI161" s="62" t="n"/>
      <c r="AJ161" s="62" t="n"/>
      <c r="AK161" s="62" t="n"/>
      <c r="AL161" s="62" t="n"/>
      <c r="AM161" s="62" t="n"/>
      <c r="AN161" s="62" t="n"/>
      <c r="AO161" s="62" t="n"/>
      <c r="AP161" s="62" t="n"/>
      <c r="AQ161" s="62" t="n"/>
      <c r="AR161" s="62" t="n"/>
      <c r="AS161" s="62" t="n"/>
      <c r="AT161" s="62" t="n"/>
      <c r="AU161" s="62" t="n"/>
      <c r="AV161" s="62" t="n"/>
      <c r="AW161" s="62" t="n"/>
      <c r="AX161" s="62" t="n"/>
      <c r="AY161" s="62" t="n"/>
    </row>
    <row r="162">
      <c r="A162" s="38">
        <f>IF(D162="","",COUNTA($D$133:D162))</f>
        <v/>
      </c>
      <c r="B162" s="52" t="n"/>
      <c r="C162" s="73" t="inlineStr">
        <is>
          <t>기타</t>
        </is>
      </c>
      <c r="D162" s="52" t="n"/>
      <c r="E162" s="54" t="n"/>
      <c r="F162" s="52" t="n"/>
      <c r="G162" s="55" t="n"/>
      <c r="H162" s="54" t="n"/>
      <c r="I162" s="54" t="n"/>
      <c r="J162" s="54" t="n"/>
      <c r="K162" s="56">
        <f>IF(SUM(U162:AY162)=0,"",SUM(U162:AY162))</f>
        <v/>
      </c>
      <c r="L162" s="57">
        <f>IFERROR(INDEX(U$2:AY$2,MATCH(TRUE,U162:AY162&lt;&gt;"",0)),"")</f>
        <v/>
      </c>
      <c r="M162" s="58">
        <f>IFERROR(LOOKUP(2,1/(U162:AY162&lt;&gt;""),U$2:AY$2),"")</f>
        <v/>
      </c>
      <c r="N162" s="59">
        <f>IF(OR(G162="",M162=""),"",G162-M162)</f>
        <v/>
      </c>
      <c r="O162" s="60" t="n"/>
      <c r="P162" s="61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  <c r="AG162" s="62" t="n"/>
      <c r="AH162" s="62" t="n"/>
      <c r="AI162" s="62" t="n"/>
      <c r="AJ162" s="62" t="n"/>
      <c r="AK162" s="62" t="n"/>
      <c r="AL162" s="62" t="n"/>
      <c r="AM162" s="62" t="n"/>
      <c r="AN162" s="62" t="n"/>
      <c r="AO162" s="62" t="n"/>
      <c r="AP162" s="62" t="n"/>
      <c r="AQ162" s="62" t="n"/>
      <c r="AR162" s="62" t="n"/>
      <c r="AS162" s="62" t="n"/>
      <c r="AT162" s="62" t="n"/>
      <c r="AU162" s="62" t="n"/>
      <c r="AV162" s="62" t="n"/>
      <c r="AW162" s="62" t="n"/>
      <c r="AX162" s="62" t="n"/>
      <c r="AY162" s="62" t="n"/>
    </row>
    <row r="163">
      <c r="A163" s="74">
        <f>'마스터'!$J$5</f>
        <v/>
      </c>
    </row>
    <row r="164">
      <c r="A164" s="74" t="inlineStr">
        <is>
          <t>공휴일(로컬 미러 - 조건부서식 전용, 편집 불필요)</t>
        </is>
      </c>
    </row>
    <row r="165">
      <c r="A165" s="75">
        <f>'마스터'!$J$13</f>
        <v/>
      </c>
    </row>
    <row r="166">
      <c r="A166" s="75">
        <f>'마스터'!$J$14</f>
        <v/>
      </c>
    </row>
    <row r="167">
      <c r="A167" s="75">
        <f>'마스터'!$J$15</f>
        <v/>
      </c>
    </row>
    <row r="168">
      <c r="A168" s="75">
        <f>'마스터'!$J$16</f>
        <v/>
      </c>
    </row>
    <row r="169">
      <c r="A169" s="75">
        <f>'마스터'!$J$17</f>
        <v/>
      </c>
    </row>
    <row r="170">
      <c r="A170" s="75">
        <f>'마스터'!$J$18</f>
        <v/>
      </c>
    </row>
    <row r="171">
      <c r="A171" s="75">
        <f>'마스터'!$J$19</f>
        <v/>
      </c>
    </row>
    <row r="172">
      <c r="A172" s="75">
        <f>'마스터'!$J$20</f>
        <v/>
      </c>
    </row>
    <row r="173">
      <c r="A173" s="75">
        <f>'마스터'!$J$21</f>
        <v/>
      </c>
    </row>
    <row r="174">
      <c r="A174" s="75">
        <f>'마스터'!$J$22</f>
        <v/>
      </c>
    </row>
    <row r="175">
      <c r="A175" s="75">
        <f>'마스터'!$J$23</f>
        <v/>
      </c>
    </row>
    <row r="176">
      <c r="A176" s="75">
        <f>'마스터'!$J$24</f>
        <v/>
      </c>
    </row>
    <row r="177">
      <c r="A177" s="75">
        <f>'마스터'!$J$25</f>
        <v/>
      </c>
    </row>
    <row r="178">
      <c r="A178" s="75">
        <f>'마스터'!$J$26</f>
        <v/>
      </c>
    </row>
    <row r="179">
      <c r="A179" s="75">
        <f>'마스터'!$J$27</f>
        <v/>
      </c>
    </row>
  </sheetData>
  <mergeCells count="13">
    <mergeCell ref="H1:J1"/>
    <mergeCell ref="K1:P1"/>
    <mergeCell ref="A1:G1"/>
    <mergeCell ref="A132:P132"/>
    <mergeCell ref="A5:F5"/>
    <mergeCell ref="A70:P70"/>
    <mergeCell ref="A8:P8"/>
    <mergeCell ref="U1:AY1"/>
    <mergeCell ref="A6:F6"/>
    <mergeCell ref="A39:P39"/>
    <mergeCell ref="A4:F4"/>
    <mergeCell ref="A101:P101"/>
    <mergeCell ref="A3:F3"/>
  </mergeCells>
  <conditionalFormatting sqref="U3:AY6">
    <cfRule type="expression" priority="1" dxfId="0">
      <formula>U3&gt;$H3</formula>
    </cfRule>
    <cfRule type="expression" priority="2" dxfId="1">
      <formula>AND(U3&gt;0,U3&gt;=$H3*0.8)</formula>
    </cfRule>
  </conditionalFormatting>
  <conditionalFormatting sqref="U3:AY162">
    <cfRule type="expression" priority="3" dxfId="2">
      <formula>OR(WEEKDAY(U$2,2)&gt;5,COUNTIF($A$165:$A$179,U$2)&gt;0)</formula>
    </cfRule>
  </conditionalFormatting>
  <conditionalFormatting sqref="U8:AY162">
    <cfRule type="expression" priority="4" dxfId="3">
      <formula>AND($F8&lt;&gt;"",U8&lt;&gt;"",SUMIF($F$8:$F$162,$F8,U$8:U$162)&gt;$A$163)</formula>
    </cfRule>
    <cfRule type="expression" priority="5" dxfId="4">
      <formula>$E8="기획"</formula>
    </cfRule>
    <cfRule type="expression" priority="6" dxfId="5">
      <formula>$E8="이미지"</formula>
    </cfRule>
    <cfRule type="expression" priority="7" dxfId="6">
      <formula>$E8="영상"</formula>
    </cfRule>
    <cfRule type="expression" priority="8" dxfId="7">
      <formula>AND($E8="기획",U8&lt;&gt;"")</formula>
    </cfRule>
    <cfRule type="expression" priority="9" dxfId="8">
      <formula>AND($E8="이미지",U8&lt;&gt;"")</formula>
    </cfRule>
    <cfRule type="expression" priority="10" dxfId="9">
      <formula>AND($E8="영상",U8&lt;&gt;"")</formula>
    </cfRule>
  </conditionalFormatting>
  <conditionalFormatting sqref="N8:N162">
    <cfRule type="expression" priority="11" dxfId="10">
      <formula>AND(N8&lt;&gt;"",N8&lt;0)</formula>
    </cfRule>
    <cfRule type="expression" priority="12" dxfId="11">
      <formula>AND(N8&lt;&gt;"",N8&gt;=0,N8&lt;=1)</formula>
    </cfRule>
    <cfRule type="expression" priority="13" dxfId="12">
      <formula>AND(N8&lt;&gt;"",N8&gt;1)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E8:E162" showDropDown="0" showInputMessage="0" showErrorMessage="0" allowBlank="1" type="list">
      <formula1>='마스터'!$E$3:$E$5</formula1>
    </dataValidation>
    <dataValidation sqref="O8:O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179"/>
  <sheetViews>
    <sheetView showGridLines="0" workbookViewId="0">
      <pane xSplit="7" ySplit="7" topLeftCell="H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20" customWidth="1" min="4" max="4"/>
    <col width="7" customWidth="1" min="5" max="5"/>
    <col width="9" customWidth="1" min="6" max="6"/>
    <col width="9" customWidth="1" min="7" max="7"/>
    <col width="5" customWidth="1" min="8" max="8"/>
    <col width="5" customWidth="1" min="9" max="9"/>
    <col width="5" customWidth="1" min="10" max="10"/>
    <col width="6" customWidth="1" min="11" max="11"/>
    <col width="8" customWidth="1" min="12" max="12"/>
    <col width="8" customWidth="1" min="13" max="13"/>
    <col width="6" customWidth="1" min="14" max="14"/>
    <col width="7" customWidth="1" min="15" max="15"/>
    <col width="12" customWidth="1" min="16" max="16"/>
    <col width="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</cols>
  <sheetData>
    <row r="1">
      <c r="A1" s="40" t="inlineStr">
        <is>
          <t>9월 업무 정보 (소재명 = 직군별 줄)</t>
        </is>
      </c>
      <c r="H1" s="41" t="inlineStr">
        <is>
          <t>수량 (소재당 1번만)</t>
        </is>
      </c>
      <c r="K1" s="42" t="inlineStr">
        <is>
          <t>집계 / 일정 (자동)</t>
        </is>
      </c>
      <c r="U1" s="14" t="inlineStr">
        <is>
          <t>9월 간트 - 날짜 칸에 MD 직접 입력 (주말+공휴일 회색)  상단 4줄=일자별 직군 TO 상태</t>
        </is>
      </c>
    </row>
    <row r="2">
      <c r="A2" s="43" t="inlineStr">
        <is>
          <t>No</t>
        </is>
      </c>
      <c r="B2" s="43" t="inlineStr">
        <is>
          <t>게임 타이틀명</t>
        </is>
      </c>
      <c r="C2" s="43" t="inlineStr">
        <is>
          <t>고객팀</t>
        </is>
      </c>
      <c r="D2" s="43" t="inlineStr">
        <is>
          <t>소재명(업무명)</t>
        </is>
      </c>
      <c r="E2" s="43" t="inlineStr">
        <is>
          <t>직군</t>
        </is>
      </c>
      <c r="F2" s="43" t="inlineStr">
        <is>
          <t>담당자</t>
        </is>
      </c>
      <c r="G2" s="43" t="inlineStr">
        <is>
          <t>최종완료일
(고객전달)</t>
        </is>
      </c>
      <c r="H2" s="43" t="inlineStr">
        <is>
          <t>영상
수</t>
        </is>
      </c>
      <c r="I2" s="43" t="inlineStr">
        <is>
          <t>사이즈
베리</t>
        </is>
      </c>
      <c r="J2" s="43" t="inlineStr">
        <is>
          <t>다국어
베리</t>
        </is>
      </c>
      <c r="K2" s="43" t="inlineStr">
        <is>
          <t>합계
MD</t>
        </is>
      </c>
      <c r="L2" s="43" t="inlineStr">
        <is>
          <t>시작일
(자동)</t>
        </is>
      </c>
      <c r="M2" s="43" t="inlineStr">
        <is>
          <t>완료일
(자동)</t>
        </is>
      </c>
      <c r="N2" s="43" t="inlineStr">
        <is>
          <t>여유</t>
        </is>
      </c>
      <c r="O2" s="43" t="inlineStr">
        <is>
          <t>상태</t>
        </is>
      </c>
      <c r="P2" s="43" t="inlineStr">
        <is>
          <t>비고</t>
        </is>
      </c>
      <c r="U2" s="44">
        <f>DATE('마스터'!$J$3,9,1)</f>
        <v/>
      </c>
      <c r="V2" s="44">
        <f>U2+1</f>
        <v/>
      </c>
      <c r="W2" s="44">
        <f>V2+1</f>
        <v/>
      </c>
      <c r="X2" s="44">
        <f>W2+1</f>
        <v/>
      </c>
      <c r="Y2" s="44">
        <f>X2+1</f>
        <v/>
      </c>
      <c r="Z2" s="44">
        <f>Y2+1</f>
        <v/>
      </c>
      <c r="AA2" s="44">
        <f>Z2+1</f>
        <v/>
      </c>
      <c r="AB2" s="44">
        <f>AA2+1</f>
        <v/>
      </c>
      <c r="AC2" s="44">
        <f>AB2+1</f>
        <v/>
      </c>
      <c r="AD2" s="44">
        <f>AC2+1</f>
        <v/>
      </c>
      <c r="AE2" s="44">
        <f>AD2+1</f>
        <v/>
      </c>
      <c r="AF2" s="44">
        <f>AE2+1</f>
        <v/>
      </c>
      <c r="AG2" s="44">
        <f>AF2+1</f>
        <v/>
      </c>
      <c r="AH2" s="44">
        <f>AG2+1</f>
        <v/>
      </c>
      <c r="AI2" s="44">
        <f>AH2+1</f>
        <v/>
      </c>
      <c r="AJ2" s="44">
        <f>AI2+1</f>
        <v/>
      </c>
      <c r="AK2" s="44">
        <f>AJ2+1</f>
        <v/>
      </c>
      <c r="AL2" s="44">
        <f>AK2+1</f>
        <v/>
      </c>
      <c r="AM2" s="44">
        <f>AL2+1</f>
        <v/>
      </c>
      <c r="AN2" s="44">
        <f>AM2+1</f>
        <v/>
      </c>
      <c r="AO2" s="44">
        <f>AN2+1</f>
        <v/>
      </c>
      <c r="AP2" s="44">
        <f>AO2+1</f>
        <v/>
      </c>
      <c r="AQ2" s="44">
        <f>AP2+1</f>
        <v/>
      </c>
      <c r="AR2" s="44">
        <f>AQ2+1</f>
        <v/>
      </c>
      <c r="AS2" s="44">
        <f>AR2+1</f>
        <v/>
      </c>
      <c r="AT2" s="44">
        <f>AS2+1</f>
        <v/>
      </c>
      <c r="AU2" s="44">
        <f>AT2+1</f>
        <v/>
      </c>
      <c r="AV2" s="44">
        <f>AU2+1</f>
        <v/>
      </c>
      <c r="AW2" s="44">
        <f>AV2+1</f>
        <v/>
      </c>
      <c r="AX2" s="44">
        <f>AW2+1</f>
        <v/>
      </c>
      <c r="AY2" s="44">
        <f>AX2+1</f>
        <v/>
      </c>
    </row>
    <row r="3">
      <c r="A3" s="45" t="inlineStr">
        <is>
          <t>전체 TO (일자별 부하)</t>
        </is>
      </c>
      <c r="G3" s="46" t="inlineStr">
        <is>
          <t>정원</t>
        </is>
      </c>
      <c r="H3" s="47">
        <f>SUM('마스터'!$J$8:$J$10)</f>
        <v/>
      </c>
      <c r="I3" s="48" t="n"/>
      <c r="J3" s="48" t="n"/>
      <c r="K3" s="48" t="n"/>
      <c r="L3" s="48" t="n"/>
      <c r="M3" s="48" t="n"/>
      <c r="N3" s="48" t="n"/>
      <c r="O3" s="48" t="n"/>
      <c r="P3" s="48" t="n"/>
      <c r="U3" s="49">
        <f>SUM(U$8:U$162)</f>
        <v/>
      </c>
      <c r="V3" s="49">
        <f>SUM(V$8:V$162)</f>
        <v/>
      </c>
      <c r="W3" s="49">
        <f>SUM(W$8:W$162)</f>
        <v/>
      </c>
      <c r="X3" s="49">
        <f>SUM(X$8:X$162)</f>
        <v/>
      </c>
      <c r="Y3" s="49">
        <f>SUM(Y$8:Y$162)</f>
        <v/>
      </c>
      <c r="Z3" s="49">
        <f>SUM(Z$8:Z$162)</f>
        <v/>
      </c>
      <c r="AA3" s="49">
        <f>SUM(AA$8:AA$162)</f>
        <v/>
      </c>
      <c r="AB3" s="49">
        <f>SUM(AB$8:AB$162)</f>
        <v/>
      </c>
      <c r="AC3" s="49">
        <f>SUM(AC$8:AC$162)</f>
        <v/>
      </c>
      <c r="AD3" s="49">
        <f>SUM(AD$8:AD$162)</f>
        <v/>
      </c>
      <c r="AE3" s="49">
        <f>SUM(AE$8:AE$162)</f>
        <v/>
      </c>
      <c r="AF3" s="49">
        <f>SUM(AF$8:AF$162)</f>
        <v/>
      </c>
      <c r="AG3" s="49">
        <f>SUM(AG$8:AG$162)</f>
        <v/>
      </c>
      <c r="AH3" s="49">
        <f>SUM(AH$8:AH$162)</f>
        <v/>
      </c>
      <c r="AI3" s="49">
        <f>SUM(AI$8:AI$162)</f>
        <v/>
      </c>
      <c r="AJ3" s="49">
        <f>SUM(AJ$8:AJ$162)</f>
        <v/>
      </c>
      <c r="AK3" s="49">
        <f>SUM(AK$8:AK$162)</f>
        <v/>
      </c>
      <c r="AL3" s="49">
        <f>SUM(AL$8:AL$162)</f>
        <v/>
      </c>
      <c r="AM3" s="49">
        <f>SUM(AM$8:AM$162)</f>
        <v/>
      </c>
      <c r="AN3" s="49">
        <f>SUM(AN$8:AN$162)</f>
        <v/>
      </c>
      <c r="AO3" s="49">
        <f>SUM(AO$8:AO$162)</f>
        <v/>
      </c>
      <c r="AP3" s="49">
        <f>SUM(AP$8:AP$162)</f>
        <v/>
      </c>
      <c r="AQ3" s="49">
        <f>SUM(AQ$8:AQ$162)</f>
        <v/>
      </c>
      <c r="AR3" s="49">
        <f>SUM(AR$8:AR$162)</f>
        <v/>
      </c>
      <c r="AS3" s="49">
        <f>SUM(AS$8:AS$162)</f>
        <v/>
      </c>
      <c r="AT3" s="49">
        <f>SUM(AT$8:AT$162)</f>
        <v/>
      </c>
      <c r="AU3" s="49">
        <f>SUM(AU$8:AU$162)</f>
        <v/>
      </c>
      <c r="AV3" s="49">
        <f>SUM(AV$8:AV$162)</f>
        <v/>
      </c>
      <c r="AW3" s="49">
        <f>SUM(AW$8:AW$162)</f>
        <v/>
      </c>
      <c r="AX3" s="49">
        <f>SUM(AX$8:AX$162)</f>
        <v/>
      </c>
      <c r="AY3" s="49">
        <f>SUM(AY$8:AY$162)</f>
        <v/>
      </c>
    </row>
    <row r="4">
      <c r="A4" s="45" t="inlineStr">
        <is>
          <t>영상 TO</t>
        </is>
      </c>
      <c r="G4" s="46" t="inlineStr">
        <is>
          <t>정원</t>
        </is>
      </c>
      <c r="H4" s="47">
        <f>'마스터'!$J$8</f>
        <v/>
      </c>
      <c r="I4" s="48" t="n"/>
      <c r="J4" s="48" t="n"/>
      <c r="K4" s="48" t="n"/>
      <c r="L4" s="48" t="n"/>
      <c r="M4" s="48" t="n"/>
      <c r="N4" s="48" t="n"/>
      <c r="O4" s="48" t="n"/>
      <c r="P4" s="48" t="n"/>
      <c r="U4" s="49">
        <f>SUMIF($E$8:$E$162,"영상",U$8:U$162)</f>
        <v/>
      </c>
      <c r="V4" s="49">
        <f>SUMIF($E$8:$E$162,"영상",V$8:V$162)</f>
        <v/>
      </c>
      <c r="W4" s="49">
        <f>SUMIF($E$8:$E$162,"영상",W$8:W$162)</f>
        <v/>
      </c>
      <c r="X4" s="49">
        <f>SUMIF($E$8:$E$162,"영상",X$8:X$162)</f>
        <v/>
      </c>
      <c r="Y4" s="49">
        <f>SUMIF($E$8:$E$162,"영상",Y$8:Y$162)</f>
        <v/>
      </c>
      <c r="Z4" s="49">
        <f>SUMIF($E$8:$E$162,"영상",Z$8:Z$162)</f>
        <v/>
      </c>
      <c r="AA4" s="49">
        <f>SUMIF($E$8:$E$162,"영상",AA$8:AA$162)</f>
        <v/>
      </c>
      <c r="AB4" s="49">
        <f>SUMIF($E$8:$E$162,"영상",AB$8:AB$162)</f>
        <v/>
      </c>
      <c r="AC4" s="49">
        <f>SUMIF($E$8:$E$162,"영상",AC$8:AC$162)</f>
        <v/>
      </c>
      <c r="AD4" s="49">
        <f>SUMIF($E$8:$E$162,"영상",AD$8:AD$162)</f>
        <v/>
      </c>
      <c r="AE4" s="49">
        <f>SUMIF($E$8:$E$162,"영상",AE$8:AE$162)</f>
        <v/>
      </c>
      <c r="AF4" s="49">
        <f>SUMIF($E$8:$E$162,"영상",AF$8:AF$162)</f>
        <v/>
      </c>
      <c r="AG4" s="49">
        <f>SUMIF($E$8:$E$162,"영상",AG$8:AG$162)</f>
        <v/>
      </c>
      <c r="AH4" s="49">
        <f>SUMIF($E$8:$E$162,"영상",AH$8:AH$162)</f>
        <v/>
      </c>
      <c r="AI4" s="49">
        <f>SUMIF($E$8:$E$162,"영상",AI$8:AI$162)</f>
        <v/>
      </c>
      <c r="AJ4" s="49">
        <f>SUMIF($E$8:$E$162,"영상",AJ$8:AJ$162)</f>
        <v/>
      </c>
      <c r="AK4" s="49">
        <f>SUMIF($E$8:$E$162,"영상",AK$8:AK$162)</f>
        <v/>
      </c>
      <c r="AL4" s="49">
        <f>SUMIF($E$8:$E$162,"영상",AL$8:AL$162)</f>
        <v/>
      </c>
      <c r="AM4" s="49">
        <f>SUMIF($E$8:$E$162,"영상",AM$8:AM$162)</f>
        <v/>
      </c>
      <c r="AN4" s="49">
        <f>SUMIF($E$8:$E$162,"영상",AN$8:AN$162)</f>
        <v/>
      </c>
      <c r="AO4" s="49">
        <f>SUMIF($E$8:$E$162,"영상",AO$8:AO$162)</f>
        <v/>
      </c>
      <c r="AP4" s="49">
        <f>SUMIF($E$8:$E$162,"영상",AP$8:AP$162)</f>
        <v/>
      </c>
      <c r="AQ4" s="49">
        <f>SUMIF($E$8:$E$162,"영상",AQ$8:AQ$162)</f>
        <v/>
      </c>
      <c r="AR4" s="49">
        <f>SUMIF($E$8:$E$162,"영상",AR$8:AR$162)</f>
        <v/>
      </c>
      <c r="AS4" s="49">
        <f>SUMIF($E$8:$E$162,"영상",AS$8:AS$162)</f>
        <v/>
      </c>
      <c r="AT4" s="49">
        <f>SUMIF($E$8:$E$162,"영상",AT$8:AT$162)</f>
        <v/>
      </c>
      <c r="AU4" s="49">
        <f>SUMIF($E$8:$E$162,"영상",AU$8:AU$162)</f>
        <v/>
      </c>
      <c r="AV4" s="49">
        <f>SUMIF($E$8:$E$162,"영상",AV$8:AV$162)</f>
        <v/>
      </c>
      <c r="AW4" s="49">
        <f>SUMIF($E$8:$E$162,"영상",AW$8:AW$162)</f>
        <v/>
      </c>
      <c r="AX4" s="49">
        <f>SUMIF($E$8:$E$162,"영상",AX$8:AX$162)</f>
        <v/>
      </c>
      <c r="AY4" s="49">
        <f>SUMIF($E$8:$E$162,"영상",AY$8:AY$162)</f>
        <v/>
      </c>
    </row>
    <row r="5">
      <c r="A5" s="45" t="inlineStr">
        <is>
          <t>이미지 TO</t>
        </is>
      </c>
      <c r="G5" s="46" t="inlineStr">
        <is>
          <t>정원</t>
        </is>
      </c>
      <c r="H5" s="47">
        <f>'마스터'!$J$9</f>
        <v/>
      </c>
      <c r="I5" s="48" t="n"/>
      <c r="J5" s="48" t="n"/>
      <c r="K5" s="48" t="n"/>
      <c r="L5" s="48" t="n"/>
      <c r="M5" s="48" t="n"/>
      <c r="N5" s="48" t="n"/>
      <c r="O5" s="48" t="n"/>
      <c r="P5" s="48" t="n"/>
      <c r="U5" s="49">
        <f>SUMIF($E$8:$E$162,"이미지",U$8:U$162)</f>
        <v/>
      </c>
      <c r="V5" s="49">
        <f>SUMIF($E$8:$E$162,"이미지",V$8:V$162)</f>
        <v/>
      </c>
      <c r="W5" s="49">
        <f>SUMIF($E$8:$E$162,"이미지",W$8:W$162)</f>
        <v/>
      </c>
      <c r="X5" s="49">
        <f>SUMIF($E$8:$E$162,"이미지",X$8:X$162)</f>
        <v/>
      </c>
      <c r="Y5" s="49">
        <f>SUMIF($E$8:$E$162,"이미지",Y$8:Y$162)</f>
        <v/>
      </c>
      <c r="Z5" s="49">
        <f>SUMIF($E$8:$E$162,"이미지",Z$8:Z$162)</f>
        <v/>
      </c>
      <c r="AA5" s="49">
        <f>SUMIF($E$8:$E$162,"이미지",AA$8:AA$162)</f>
        <v/>
      </c>
      <c r="AB5" s="49">
        <f>SUMIF($E$8:$E$162,"이미지",AB$8:AB$162)</f>
        <v/>
      </c>
      <c r="AC5" s="49">
        <f>SUMIF($E$8:$E$162,"이미지",AC$8:AC$162)</f>
        <v/>
      </c>
      <c r="AD5" s="49">
        <f>SUMIF($E$8:$E$162,"이미지",AD$8:AD$162)</f>
        <v/>
      </c>
      <c r="AE5" s="49">
        <f>SUMIF($E$8:$E$162,"이미지",AE$8:AE$162)</f>
        <v/>
      </c>
      <c r="AF5" s="49">
        <f>SUMIF($E$8:$E$162,"이미지",AF$8:AF$162)</f>
        <v/>
      </c>
      <c r="AG5" s="49">
        <f>SUMIF($E$8:$E$162,"이미지",AG$8:AG$162)</f>
        <v/>
      </c>
      <c r="AH5" s="49">
        <f>SUMIF($E$8:$E$162,"이미지",AH$8:AH$162)</f>
        <v/>
      </c>
      <c r="AI5" s="49">
        <f>SUMIF($E$8:$E$162,"이미지",AI$8:AI$162)</f>
        <v/>
      </c>
      <c r="AJ5" s="49">
        <f>SUMIF($E$8:$E$162,"이미지",AJ$8:AJ$162)</f>
        <v/>
      </c>
      <c r="AK5" s="49">
        <f>SUMIF($E$8:$E$162,"이미지",AK$8:AK$162)</f>
        <v/>
      </c>
      <c r="AL5" s="49">
        <f>SUMIF($E$8:$E$162,"이미지",AL$8:AL$162)</f>
        <v/>
      </c>
      <c r="AM5" s="49">
        <f>SUMIF($E$8:$E$162,"이미지",AM$8:AM$162)</f>
        <v/>
      </c>
      <c r="AN5" s="49">
        <f>SUMIF($E$8:$E$162,"이미지",AN$8:AN$162)</f>
        <v/>
      </c>
      <c r="AO5" s="49">
        <f>SUMIF($E$8:$E$162,"이미지",AO$8:AO$162)</f>
        <v/>
      </c>
      <c r="AP5" s="49">
        <f>SUMIF($E$8:$E$162,"이미지",AP$8:AP$162)</f>
        <v/>
      </c>
      <c r="AQ5" s="49">
        <f>SUMIF($E$8:$E$162,"이미지",AQ$8:AQ$162)</f>
        <v/>
      </c>
      <c r="AR5" s="49">
        <f>SUMIF($E$8:$E$162,"이미지",AR$8:AR$162)</f>
        <v/>
      </c>
      <c r="AS5" s="49">
        <f>SUMIF($E$8:$E$162,"이미지",AS$8:AS$162)</f>
        <v/>
      </c>
      <c r="AT5" s="49">
        <f>SUMIF($E$8:$E$162,"이미지",AT$8:AT$162)</f>
        <v/>
      </c>
      <c r="AU5" s="49">
        <f>SUMIF($E$8:$E$162,"이미지",AU$8:AU$162)</f>
        <v/>
      </c>
      <c r="AV5" s="49">
        <f>SUMIF($E$8:$E$162,"이미지",AV$8:AV$162)</f>
        <v/>
      </c>
      <c r="AW5" s="49">
        <f>SUMIF($E$8:$E$162,"이미지",AW$8:AW$162)</f>
        <v/>
      </c>
      <c r="AX5" s="49">
        <f>SUMIF($E$8:$E$162,"이미지",AX$8:AX$162)</f>
        <v/>
      </c>
      <c r="AY5" s="49">
        <f>SUMIF($E$8:$E$162,"이미지",AY$8:AY$162)</f>
        <v/>
      </c>
    </row>
    <row r="6">
      <c r="A6" s="45" t="inlineStr">
        <is>
          <t>기획 TO</t>
        </is>
      </c>
      <c r="G6" s="46" t="inlineStr">
        <is>
          <t>정원</t>
        </is>
      </c>
      <c r="H6" s="47">
        <f>'마스터'!$J$10</f>
        <v/>
      </c>
      <c r="I6" s="48" t="n"/>
      <c r="J6" s="48" t="n"/>
      <c r="K6" s="48" t="n"/>
      <c r="L6" s="48" t="n"/>
      <c r="M6" s="48" t="n"/>
      <c r="N6" s="48" t="n"/>
      <c r="O6" s="48" t="n"/>
      <c r="P6" s="48" t="n"/>
      <c r="U6" s="49">
        <f>SUMIF($E$8:$E$162,"기획",U$8:U$162)</f>
        <v/>
      </c>
      <c r="V6" s="49">
        <f>SUMIF($E$8:$E$162,"기획",V$8:V$162)</f>
        <v/>
      </c>
      <c r="W6" s="49">
        <f>SUMIF($E$8:$E$162,"기획",W$8:W$162)</f>
        <v/>
      </c>
      <c r="X6" s="49">
        <f>SUMIF($E$8:$E$162,"기획",X$8:X$162)</f>
        <v/>
      </c>
      <c r="Y6" s="49">
        <f>SUMIF($E$8:$E$162,"기획",Y$8:Y$162)</f>
        <v/>
      </c>
      <c r="Z6" s="49">
        <f>SUMIF($E$8:$E$162,"기획",Z$8:Z$162)</f>
        <v/>
      </c>
      <c r="AA6" s="49">
        <f>SUMIF($E$8:$E$162,"기획",AA$8:AA$162)</f>
        <v/>
      </c>
      <c r="AB6" s="49">
        <f>SUMIF($E$8:$E$162,"기획",AB$8:AB$162)</f>
        <v/>
      </c>
      <c r="AC6" s="49">
        <f>SUMIF($E$8:$E$162,"기획",AC$8:AC$162)</f>
        <v/>
      </c>
      <c r="AD6" s="49">
        <f>SUMIF($E$8:$E$162,"기획",AD$8:AD$162)</f>
        <v/>
      </c>
      <c r="AE6" s="49">
        <f>SUMIF($E$8:$E$162,"기획",AE$8:AE$162)</f>
        <v/>
      </c>
      <c r="AF6" s="49">
        <f>SUMIF($E$8:$E$162,"기획",AF$8:AF$162)</f>
        <v/>
      </c>
      <c r="AG6" s="49">
        <f>SUMIF($E$8:$E$162,"기획",AG$8:AG$162)</f>
        <v/>
      </c>
      <c r="AH6" s="49">
        <f>SUMIF($E$8:$E$162,"기획",AH$8:AH$162)</f>
        <v/>
      </c>
      <c r="AI6" s="49">
        <f>SUMIF($E$8:$E$162,"기획",AI$8:AI$162)</f>
        <v/>
      </c>
      <c r="AJ6" s="49">
        <f>SUMIF($E$8:$E$162,"기획",AJ$8:AJ$162)</f>
        <v/>
      </c>
      <c r="AK6" s="49">
        <f>SUMIF($E$8:$E$162,"기획",AK$8:AK$162)</f>
        <v/>
      </c>
      <c r="AL6" s="49">
        <f>SUMIF($E$8:$E$162,"기획",AL$8:AL$162)</f>
        <v/>
      </c>
      <c r="AM6" s="49">
        <f>SUMIF($E$8:$E$162,"기획",AM$8:AM$162)</f>
        <v/>
      </c>
      <c r="AN6" s="49">
        <f>SUMIF($E$8:$E$162,"기획",AN$8:AN$162)</f>
        <v/>
      </c>
      <c r="AO6" s="49">
        <f>SUMIF($E$8:$E$162,"기획",AO$8:AO$162)</f>
        <v/>
      </c>
      <c r="AP6" s="49">
        <f>SUMIF($E$8:$E$162,"기획",AP$8:AP$162)</f>
        <v/>
      </c>
      <c r="AQ6" s="49">
        <f>SUMIF($E$8:$E$162,"기획",AQ$8:AQ$162)</f>
        <v/>
      </c>
      <c r="AR6" s="49">
        <f>SUMIF($E$8:$E$162,"기획",AR$8:AR$162)</f>
        <v/>
      </c>
      <c r="AS6" s="49">
        <f>SUMIF($E$8:$E$162,"기획",AS$8:AS$162)</f>
        <v/>
      </c>
      <c r="AT6" s="49">
        <f>SUMIF($E$8:$E$162,"기획",AT$8:AT$162)</f>
        <v/>
      </c>
      <c r="AU6" s="49">
        <f>SUMIF($E$8:$E$162,"기획",AU$8:AU$162)</f>
        <v/>
      </c>
      <c r="AV6" s="49">
        <f>SUMIF($E$8:$E$162,"기획",AV$8:AV$162)</f>
        <v/>
      </c>
      <c r="AW6" s="49">
        <f>SUMIF($E$8:$E$162,"기획",AW$8:AW$162)</f>
        <v/>
      </c>
      <c r="AX6" s="49">
        <f>SUMIF($E$8:$E$162,"기획",AX$8:AX$162)</f>
        <v/>
      </c>
      <c r="AY6" s="49">
        <f>SUMIF($E$8:$E$162,"기획",AY$8:AY$162)</f>
        <v/>
      </c>
    </row>
    <row r="8">
      <c r="A8" s="50" t="inlineStr">
        <is>
          <t>마케팅1팀  (9~38행)</t>
        </is>
      </c>
      <c r="U8" s="51" t="n"/>
      <c r="V8" s="51" t="n"/>
      <c r="W8" s="51" t="n"/>
      <c r="X8" s="51" t="n"/>
      <c r="Y8" s="51" t="n"/>
      <c r="Z8" s="51" t="n"/>
      <c r="AA8" s="51" t="n"/>
      <c r="AB8" s="51" t="n"/>
      <c r="AC8" s="51" t="n"/>
      <c r="AD8" s="51" t="n"/>
      <c r="AE8" s="51" t="n"/>
      <c r="AF8" s="51" t="n"/>
      <c r="AG8" s="51" t="n"/>
      <c r="AH8" s="51" t="n"/>
      <c r="AI8" s="51" t="n"/>
      <c r="AJ8" s="51" t="n"/>
      <c r="AK8" s="51" t="n"/>
      <c r="AL8" s="51" t="n"/>
      <c r="AM8" s="51" t="n"/>
      <c r="AN8" s="51" t="n"/>
      <c r="AO8" s="51" t="n"/>
      <c r="AP8" s="51" t="n"/>
      <c r="AQ8" s="51" t="n"/>
      <c r="AR8" s="51" t="n"/>
      <c r="AS8" s="51" t="n"/>
      <c r="AT8" s="51" t="n"/>
      <c r="AU8" s="51" t="n"/>
      <c r="AV8" s="51" t="n"/>
      <c r="AW8" s="51" t="n"/>
      <c r="AX8" s="51" t="n"/>
      <c r="AY8" s="51" t="n"/>
    </row>
    <row r="9">
      <c r="A9" s="38">
        <f>IF(D9="","",COUNTA($D$9:D9))</f>
        <v/>
      </c>
      <c r="B9" s="52" t="inlineStr">
        <is>
          <t>몬길</t>
        </is>
      </c>
      <c r="C9" s="53" t="inlineStr">
        <is>
          <t>마케팅1팀</t>
        </is>
      </c>
      <c r="D9" s="52" t="inlineStr">
        <is>
          <t>MONSTER_썸머</t>
        </is>
      </c>
      <c r="E9" s="54" t="inlineStr">
        <is>
          <t>영상</t>
        </is>
      </c>
      <c r="F9" s="52" t="inlineStr">
        <is>
          <t>이지현</t>
        </is>
      </c>
      <c r="G9" s="55">
        <f>DATE(2026,9,5)</f>
        <v/>
      </c>
      <c r="H9" s="54" t="n">
        <v>2</v>
      </c>
      <c r="I9" s="54" t="n">
        <v>0</v>
      </c>
      <c r="J9" s="54" t="n">
        <v>1</v>
      </c>
      <c r="K9" s="56">
        <f>IF(SUM(U9:AY9)=0,"",SUM(U9:AY9))</f>
        <v/>
      </c>
      <c r="L9" s="57">
        <f>IFERROR(INDEX(U$2:AY$2,MATCH(TRUE,U9:AY9&lt;&gt;"",0)),"")</f>
        <v/>
      </c>
      <c r="M9" s="58">
        <f>IFERROR(LOOKUP(2,1/(U9:AY9&lt;&gt;""),U$2:AY$2),"")</f>
        <v/>
      </c>
      <c r="N9" s="59">
        <f>IF(OR(G9="",M9=""),"",G9-M9)</f>
        <v/>
      </c>
      <c r="O9" s="60" t="inlineStr">
        <is>
          <t>대기</t>
        </is>
      </c>
      <c r="P9" s="61" t="inlineStr">
        <is>
          <t>Kling</t>
        </is>
      </c>
      <c r="U9" s="62" t="n"/>
      <c r="V9" s="62" t="n"/>
      <c r="W9" s="62" t="n">
        <v>1.5</v>
      </c>
      <c r="X9" s="62" t="n">
        <v>1.5</v>
      </c>
      <c r="Y9" s="62" t="n"/>
      <c r="Z9" s="62" t="n"/>
      <c r="AA9" s="62" t="n"/>
      <c r="AB9" s="62" t="n"/>
      <c r="AC9" s="62" t="n"/>
      <c r="AD9" s="62" t="n"/>
      <c r="AE9" s="62" t="n"/>
      <c r="AF9" s="62" t="n"/>
      <c r="AG9" s="62" t="n"/>
      <c r="AH9" s="62" t="n"/>
      <c r="AI9" s="62" t="n"/>
      <c r="AJ9" s="62" t="n"/>
      <c r="AK9" s="62" t="n"/>
      <c r="AL9" s="62" t="n"/>
      <c r="AM9" s="62" t="n"/>
      <c r="AN9" s="62" t="n"/>
      <c r="AO9" s="62" t="n"/>
      <c r="AP9" s="62" t="n"/>
      <c r="AQ9" s="62" t="n"/>
      <c r="AR9" s="62" t="n"/>
      <c r="AS9" s="62" t="n"/>
      <c r="AT9" s="62" t="n"/>
      <c r="AU9" s="62" t="n"/>
      <c r="AV9" s="62" t="n"/>
      <c r="AW9" s="62" t="n"/>
      <c r="AX9" s="62" t="n"/>
      <c r="AY9" s="62" t="n"/>
    </row>
    <row r="10">
      <c r="A10" s="38">
        <f>IF(D10="","",COUNTA($D$9:D10))</f>
        <v/>
      </c>
      <c r="B10" s="52" t="n"/>
      <c r="C10" s="53" t="inlineStr">
        <is>
          <t>마케팅1팀</t>
        </is>
      </c>
      <c r="D10" s="52" t="n"/>
      <c r="E10" s="54" t="n"/>
      <c r="F10" s="52" t="n"/>
      <c r="G10" s="55" t="n"/>
      <c r="H10" s="54" t="n"/>
      <c r="I10" s="54" t="n"/>
      <c r="J10" s="54" t="n"/>
      <c r="K10" s="56">
        <f>IF(SUM(U10:AY10)=0,"",SUM(U10:AY10))</f>
        <v/>
      </c>
      <c r="L10" s="57">
        <f>IFERROR(INDEX(U$2:AY$2,MATCH(TRUE,U10:AY10&lt;&gt;"",0)),"")</f>
        <v/>
      </c>
      <c r="M10" s="58">
        <f>IFERROR(LOOKUP(2,1/(U10:AY10&lt;&gt;""),U$2:AY$2),"")</f>
        <v/>
      </c>
      <c r="N10" s="59">
        <f>IF(OR(G10="",M10=""),"",G10-M10)</f>
        <v/>
      </c>
      <c r="O10" s="60" t="n"/>
      <c r="P10" s="61" t="n"/>
      <c r="U10" s="62" t="n"/>
      <c r="V10" s="62" t="n"/>
      <c r="W10" s="62" t="n"/>
      <c r="X10" s="62" t="n"/>
      <c r="Y10" s="62" t="n"/>
      <c r="Z10" s="62" t="n"/>
      <c r="AA10" s="62" t="n"/>
      <c r="AB10" s="62" t="n"/>
      <c r="AC10" s="62" t="n"/>
      <c r="AD10" s="62" t="n"/>
      <c r="AE10" s="62" t="n"/>
      <c r="AF10" s="62" t="n"/>
      <c r="AG10" s="62" t="n"/>
      <c r="AH10" s="62" t="n"/>
      <c r="AI10" s="62" t="n"/>
      <c r="AJ10" s="62" t="n"/>
      <c r="AK10" s="62" t="n"/>
      <c r="AL10" s="62" t="n"/>
      <c r="AM10" s="62" t="n"/>
      <c r="AN10" s="62" t="n"/>
      <c r="AO10" s="62" t="n"/>
      <c r="AP10" s="62" t="n"/>
      <c r="AQ10" s="62" t="n"/>
      <c r="AR10" s="62" t="n"/>
      <c r="AS10" s="62" t="n"/>
      <c r="AT10" s="62" t="n"/>
      <c r="AU10" s="62" t="n"/>
      <c r="AV10" s="62" t="n"/>
      <c r="AW10" s="62" t="n"/>
      <c r="AX10" s="62" t="n"/>
      <c r="AY10" s="62" t="n"/>
    </row>
    <row r="11">
      <c r="A11" s="38">
        <f>IF(D11="","",COUNTA($D$9:D11))</f>
        <v/>
      </c>
      <c r="B11" s="52" t="n"/>
      <c r="C11" s="53" t="inlineStr">
        <is>
          <t>마케팅1팀</t>
        </is>
      </c>
      <c r="D11" s="52" t="n"/>
      <c r="E11" s="54" t="n"/>
      <c r="F11" s="52" t="n"/>
      <c r="G11" s="55" t="n"/>
      <c r="H11" s="54" t="n"/>
      <c r="I11" s="54" t="n"/>
      <c r="J11" s="54" t="n"/>
      <c r="K11" s="56">
        <f>IF(SUM(U11:AY11)=0,"",SUM(U11:AY11))</f>
        <v/>
      </c>
      <c r="L11" s="57">
        <f>IFERROR(INDEX(U$2:AY$2,MATCH(TRUE,U11:AY11&lt;&gt;"",0)),"")</f>
        <v/>
      </c>
      <c r="M11" s="58">
        <f>IFERROR(LOOKUP(2,1/(U11:AY11&lt;&gt;""),U$2:AY$2),"")</f>
        <v/>
      </c>
      <c r="N11" s="59">
        <f>IF(OR(G11="",M11=""),"",G11-M11)</f>
        <v/>
      </c>
      <c r="O11" s="60" t="n"/>
      <c r="P11" s="61" t="n"/>
      <c r="U11" s="62" t="n"/>
      <c r="V11" s="62" t="n"/>
      <c r="W11" s="62" t="n"/>
      <c r="X11" s="62" t="n"/>
      <c r="Y11" s="62" t="n"/>
      <c r="Z11" s="62" t="n"/>
      <c r="AA11" s="62" t="n"/>
      <c r="AB11" s="62" t="n"/>
      <c r="AC11" s="62" t="n"/>
      <c r="AD11" s="62" t="n"/>
      <c r="AE11" s="62" t="n"/>
      <c r="AF11" s="62" t="n"/>
      <c r="AG11" s="62" t="n"/>
      <c r="AH11" s="62" t="n"/>
      <c r="AI11" s="62" t="n"/>
      <c r="AJ11" s="62" t="n"/>
      <c r="AK11" s="62" t="n"/>
      <c r="AL11" s="62" t="n"/>
      <c r="AM11" s="62" t="n"/>
      <c r="AN11" s="62" t="n"/>
      <c r="AO11" s="62" t="n"/>
      <c r="AP11" s="62" t="n"/>
      <c r="AQ11" s="62" t="n"/>
      <c r="AR11" s="62" t="n"/>
      <c r="AS11" s="62" t="n"/>
      <c r="AT11" s="62" t="n"/>
      <c r="AU11" s="62" t="n"/>
      <c r="AV11" s="62" t="n"/>
      <c r="AW11" s="62" t="n"/>
      <c r="AX11" s="62" t="n"/>
      <c r="AY11" s="62" t="n"/>
    </row>
    <row r="12">
      <c r="A12" s="38">
        <f>IF(D12="","",COUNTA($D$9:D12))</f>
        <v/>
      </c>
      <c r="B12" s="52" t="n"/>
      <c r="C12" s="53" t="inlineStr">
        <is>
          <t>마케팅1팀</t>
        </is>
      </c>
      <c r="D12" s="52" t="n"/>
      <c r="E12" s="54" t="n"/>
      <c r="F12" s="52" t="n"/>
      <c r="G12" s="55" t="n"/>
      <c r="H12" s="54" t="n"/>
      <c r="I12" s="54" t="n"/>
      <c r="J12" s="54" t="n"/>
      <c r="K12" s="56">
        <f>IF(SUM(U12:AY12)=0,"",SUM(U12:AY12))</f>
        <v/>
      </c>
      <c r="L12" s="57">
        <f>IFERROR(INDEX(U$2:AY$2,MATCH(TRUE,U12:AY12&lt;&gt;"",0)),"")</f>
        <v/>
      </c>
      <c r="M12" s="58">
        <f>IFERROR(LOOKUP(2,1/(U12:AY12&lt;&gt;""),U$2:AY$2),"")</f>
        <v/>
      </c>
      <c r="N12" s="59">
        <f>IF(OR(G12="",M12=""),"",G12-M12)</f>
        <v/>
      </c>
      <c r="O12" s="60" t="n"/>
      <c r="P12" s="61" t="n"/>
      <c r="U12" s="62" t="n"/>
      <c r="V12" s="62" t="n"/>
      <c r="W12" s="62" t="n"/>
      <c r="X12" s="62" t="n"/>
      <c r="Y12" s="62" t="n"/>
      <c r="Z12" s="62" t="n"/>
      <c r="AA12" s="62" t="n"/>
      <c r="AB12" s="62" t="n"/>
      <c r="AC12" s="62" t="n"/>
      <c r="AD12" s="62" t="n"/>
      <c r="AE12" s="62" t="n"/>
      <c r="AF12" s="62" t="n"/>
      <c r="AG12" s="62" t="n"/>
      <c r="AH12" s="62" t="n"/>
      <c r="AI12" s="62" t="n"/>
      <c r="AJ12" s="62" t="n"/>
      <c r="AK12" s="62" t="n"/>
      <c r="AL12" s="62" t="n"/>
      <c r="AM12" s="62" t="n"/>
      <c r="AN12" s="62" t="n"/>
      <c r="AO12" s="62" t="n"/>
      <c r="AP12" s="62" t="n"/>
      <c r="AQ12" s="62" t="n"/>
      <c r="AR12" s="62" t="n"/>
      <c r="AS12" s="62" t="n"/>
      <c r="AT12" s="62" t="n"/>
      <c r="AU12" s="62" t="n"/>
      <c r="AV12" s="62" t="n"/>
      <c r="AW12" s="62" t="n"/>
      <c r="AX12" s="62" t="n"/>
      <c r="AY12" s="62" t="n"/>
    </row>
    <row r="13">
      <c r="A13" s="38">
        <f>IF(D13="","",COUNTA($D$9:D13))</f>
        <v/>
      </c>
      <c r="B13" s="52" t="n"/>
      <c r="C13" s="53" t="inlineStr">
        <is>
          <t>마케팅1팀</t>
        </is>
      </c>
      <c r="D13" s="52" t="n"/>
      <c r="E13" s="54" t="n"/>
      <c r="F13" s="52" t="n"/>
      <c r="G13" s="55" t="n"/>
      <c r="H13" s="54" t="n"/>
      <c r="I13" s="54" t="n"/>
      <c r="J13" s="54" t="n"/>
      <c r="K13" s="56">
        <f>IF(SUM(U13:AY13)=0,"",SUM(U13:AY13))</f>
        <v/>
      </c>
      <c r="L13" s="57">
        <f>IFERROR(INDEX(U$2:AY$2,MATCH(TRUE,U13:AY13&lt;&gt;"",0)),"")</f>
        <v/>
      </c>
      <c r="M13" s="58">
        <f>IFERROR(LOOKUP(2,1/(U13:AY13&lt;&gt;""),U$2:AY$2),"")</f>
        <v/>
      </c>
      <c r="N13" s="59">
        <f>IF(OR(G13="",M13=""),"",G13-M13)</f>
        <v/>
      </c>
      <c r="O13" s="60" t="n"/>
      <c r="P13" s="61" t="n"/>
      <c r="U13" s="62" t="n"/>
      <c r="V13" s="62" t="n"/>
      <c r="W13" s="62" t="n"/>
      <c r="X13" s="62" t="n"/>
      <c r="Y13" s="62" t="n"/>
      <c r="Z13" s="62" t="n"/>
      <c r="AA13" s="62" t="n"/>
      <c r="AB13" s="62" t="n"/>
      <c r="AC13" s="62" t="n"/>
      <c r="AD13" s="62" t="n"/>
      <c r="AE13" s="62" t="n"/>
      <c r="AF13" s="62" t="n"/>
      <c r="AG13" s="62" t="n"/>
      <c r="AH13" s="62" t="n"/>
      <c r="AI13" s="62" t="n"/>
      <c r="AJ13" s="62" t="n"/>
      <c r="AK13" s="62" t="n"/>
      <c r="AL13" s="62" t="n"/>
      <c r="AM13" s="62" t="n"/>
      <c r="AN13" s="62" t="n"/>
      <c r="AO13" s="62" t="n"/>
      <c r="AP13" s="62" t="n"/>
      <c r="AQ13" s="62" t="n"/>
      <c r="AR13" s="62" t="n"/>
      <c r="AS13" s="62" t="n"/>
      <c r="AT13" s="62" t="n"/>
      <c r="AU13" s="62" t="n"/>
      <c r="AV13" s="62" t="n"/>
      <c r="AW13" s="62" t="n"/>
      <c r="AX13" s="62" t="n"/>
      <c r="AY13" s="62" t="n"/>
    </row>
    <row r="14">
      <c r="A14" s="38">
        <f>IF(D14="","",COUNTA($D$9:D14))</f>
        <v/>
      </c>
      <c r="B14" s="52" t="n"/>
      <c r="C14" s="53" t="inlineStr">
        <is>
          <t>마케팅1팀</t>
        </is>
      </c>
      <c r="D14" s="52" t="n"/>
      <c r="E14" s="54" t="n"/>
      <c r="F14" s="52" t="n"/>
      <c r="G14" s="55" t="n"/>
      <c r="H14" s="54" t="n"/>
      <c r="I14" s="54" t="n"/>
      <c r="J14" s="54" t="n"/>
      <c r="K14" s="56">
        <f>IF(SUM(U14:AY14)=0,"",SUM(U14:AY14))</f>
        <v/>
      </c>
      <c r="L14" s="57">
        <f>IFERROR(INDEX(U$2:AY$2,MATCH(TRUE,U14:AY14&lt;&gt;"",0)),"")</f>
        <v/>
      </c>
      <c r="M14" s="58">
        <f>IFERROR(LOOKUP(2,1/(U14:AY14&lt;&gt;""),U$2:AY$2),"")</f>
        <v/>
      </c>
      <c r="N14" s="59">
        <f>IF(OR(G14="",M14=""),"",G14-M14)</f>
        <v/>
      </c>
      <c r="O14" s="60" t="n"/>
      <c r="P14" s="61" t="n"/>
      <c r="U14" s="62" t="n"/>
      <c r="V14" s="62" t="n"/>
      <c r="W14" s="62" t="n"/>
      <c r="X14" s="62" t="n"/>
      <c r="Y14" s="62" t="n"/>
      <c r="Z14" s="62" t="n"/>
      <c r="AA14" s="62" t="n"/>
      <c r="AB14" s="62" t="n"/>
      <c r="AC14" s="62" t="n"/>
      <c r="AD14" s="62" t="n"/>
      <c r="AE14" s="62" t="n"/>
      <c r="AF14" s="62" t="n"/>
      <c r="AG14" s="62" t="n"/>
      <c r="AH14" s="62" t="n"/>
      <c r="AI14" s="62" t="n"/>
      <c r="AJ14" s="62" t="n"/>
      <c r="AK14" s="62" t="n"/>
      <c r="AL14" s="62" t="n"/>
      <c r="AM14" s="62" t="n"/>
      <c r="AN14" s="62" t="n"/>
      <c r="AO14" s="62" t="n"/>
      <c r="AP14" s="62" t="n"/>
      <c r="AQ14" s="62" t="n"/>
      <c r="AR14" s="62" t="n"/>
      <c r="AS14" s="62" t="n"/>
      <c r="AT14" s="62" t="n"/>
      <c r="AU14" s="62" t="n"/>
      <c r="AV14" s="62" t="n"/>
      <c r="AW14" s="62" t="n"/>
      <c r="AX14" s="62" t="n"/>
      <c r="AY14" s="62" t="n"/>
    </row>
    <row r="15">
      <c r="A15" s="38">
        <f>IF(D15="","",COUNTA($D$9:D15))</f>
        <v/>
      </c>
      <c r="B15" s="52" t="n"/>
      <c r="C15" s="53" t="inlineStr">
        <is>
          <t>마케팅1팀</t>
        </is>
      </c>
      <c r="D15" s="52" t="n"/>
      <c r="E15" s="54" t="n"/>
      <c r="F15" s="52" t="n"/>
      <c r="G15" s="55" t="n"/>
      <c r="H15" s="54" t="n"/>
      <c r="I15" s="54" t="n"/>
      <c r="J15" s="54" t="n"/>
      <c r="K15" s="56">
        <f>IF(SUM(U15:AY15)=0,"",SUM(U15:AY15))</f>
        <v/>
      </c>
      <c r="L15" s="57">
        <f>IFERROR(INDEX(U$2:AY$2,MATCH(TRUE,U15:AY15&lt;&gt;"",0)),"")</f>
        <v/>
      </c>
      <c r="M15" s="58">
        <f>IFERROR(LOOKUP(2,1/(U15:AY15&lt;&gt;""),U$2:AY$2),"")</f>
        <v/>
      </c>
      <c r="N15" s="59">
        <f>IF(OR(G15="",M15=""),"",G15-M15)</f>
        <v/>
      </c>
      <c r="O15" s="60" t="n"/>
      <c r="P15" s="61" t="n"/>
      <c r="U15" s="62" t="n"/>
      <c r="V15" s="62" t="n"/>
      <c r="W15" s="62" t="n"/>
      <c r="X15" s="62" t="n"/>
      <c r="Y15" s="62" t="n"/>
      <c r="Z15" s="62" t="n"/>
      <c r="AA15" s="62" t="n"/>
      <c r="AB15" s="62" t="n"/>
      <c r="AC15" s="62" t="n"/>
      <c r="AD15" s="62" t="n"/>
      <c r="AE15" s="62" t="n"/>
      <c r="AF15" s="62" t="n"/>
      <c r="AG15" s="62" t="n"/>
      <c r="AH15" s="62" t="n"/>
      <c r="AI15" s="62" t="n"/>
      <c r="AJ15" s="62" t="n"/>
      <c r="AK15" s="62" t="n"/>
      <c r="AL15" s="62" t="n"/>
      <c r="AM15" s="62" t="n"/>
      <c r="AN15" s="62" t="n"/>
      <c r="AO15" s="62" t="n"/>
      <c r="AP15" s="62" t="n"/>
      <c r="AQ15" s="62" t="n"/>
      <c r="AR15" s="62" t="n"/>
      <c r="AS15" s="62" t="n"/>
      <c r="AT15" s="62" t="n"/>
      <c r="AU15" s="62" t="n"/>
      <c r="AV15" s="62" t="n"/>
      <c r="AW15" s="62" t="n"/>
      <c r="AX15" s="62" t="n"/>
      <c r="AY15" s="62" t="n"/>
    </row>
    <row r="16">
      <c r="A16" s="38">
        <f>IF(D16="","",COUNTA($D$9:D16))</f>
        <v/>
      </c>
      <c r="B16" s="52" t="n"/>
      <c r="C16" s="53" t="inlineStr">
        <is>
          <t>마케팅1팀</t>
        </is>
      </c>
      <c r="D16" s="52" t="n"/>
      <c r="E16" s="54" t="n"/>
      <c r="F16" s="52" t="n"/>
      <c r="G16" s="55" t="n"/>
      <c r="H16" s="54" t="n"/>
      <c r="I16" s="54" t="n"/>
      <c r="J16" s="54" t="n"/>
      <c r="K16" s="56">
        <f>IF(SUM(U16:AY16)=0,"",SUM(U16:AY16))</f>
        <v/>
      </c>
      <c r="L16" s="57">
        <f>IFERROR(INDEX(U$2:AY$2,MATCH(TRUE,U16:AY16&lt;&gt;"",0)),"")</f>
        <v/>
      </c>
      <c r="M16" s="58">
        <f>IFERROR(LOOKUP(2,1/(U16:AY16&lt;&gt;""),U$2:AY$2),"")</f>
        <v/>
      </c>
      <c r="N16" s="59">
        <f>IF(OR(G16="",M16=""),"",G16-M16)</f>
        <v/>
      </c>
      <c r="O16" s="60" t="n"/>
      <c r="P16" s="61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  <c r="AG16" s="62" t="n"/>
      <c r="AH16" s="62" t="n"/>
      <c r="AI16" s="62" t="n"/>
      <c r="AJ16" s="62" t="n"/>
      <c r="AK16" s="62" t="n"/>
      <c r="AL16" s="62" t="n"/>
      <c r="AM16" s="62" t="n"/>
      <c r="AN16" s="62" t="n"/>
      <c r="AO16" s="62" t="n"/>
      <c r="AP16" s="62" t="n"/>
      <c r="AQ16" s="62" t="n"/>
      <c r="AR16" s="62" t="n"/>
      <c r="AS16" s="62" t="n"/>
      <c r="AT16" s="62" t="n"/>
      <c r="AU16" s="62" t="n"/>
      <c r="AV16" s="62" t="n"/>
      <c r="AW16" s="62" t="n"/>
      <c r="AX16" s="62" t="n"/>
      <c r="AY16" s="62" t="n"/>
    </row>
    <row r="17">
      <c r="A17" s="38">
        <f>IF(D17="","",COUNTA($D$9:D17))</f>
        <v/>
      </c>
      <c r="B17" s="52" t="n"/>
      <c r="C17" s="53" t="inlineStr">
        <is>
          <t>마케팅1팀</t>
        </is>
      </c>
      <c r="D17" s="52" t="n"/>
      <c r="E17" s="54" t="n"/>
      <c r="F17" s="52" t="n"/>
      <c r="G17" s="55" t="n"/>
      <c r="H17" s="54" t="n"/>
      <c r="I17" s="54" t="n"/>
      <c r="J17" s="54" t="n"/>
      <c r="K17" s="56">
        <f>IF(SUM(U17:AY17)=0,"",SUM(U17:AY17))</f>
        <v/>
      </c>
      <c r="L17" s="57">
        <f>IFERROR(INDEX(U$2:AY$2,MATCH(TRUE,U17:AY17&lt;&gt;"",0)),"")</f>
        <v/>
      </c>
      <c r="M17" s="58">
        <f>IFERROR(LOOKUP(2,1/(U17:AY17&lt;&gt;""),U$2:AY$2),"")</f>
        <v/>
      </c>
      <c r="N17" s="59">
        <f>IF(OR(G17="",M17=""),"",G17-M17)</f>
        <v/>
      </c>
      <c r="O17" s="60" t="n"/>
      <c r="P17" s="61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  <c r="AG17" s="62" t="n"/>
      <c r="AH17" s="62" t="n"/>
      <c r="AI17" s="62" t="n"/>
      <c r="AJ17" s="62" t="n"/>
      <c r="AK17" s="62" t="n"/>
      <c r="AL17" s="62" t="n"/>
      <c r="AM17" s="62" t="n"/>
      <c r="AN17" s="62" t="n"/>
      <c r="AO17" s="62" t="n"/>
      <c r="AP17" s="62" t="n"/>
      <c r="AQ17" s="62" t="n"/>
      <c r="AR17" s="62" t="n"/>
      <c r="AS17" s="62" t="n"/>
      <c r="AT17" s="62" t="n"/>
      <c r="AU17" s="62" t="n"/>
      <c r="AV17" s="62" t="n"/>
      <c r="AW17" s="62" t="n"/>
      <c r="AX17" s="62" t="n"/>
      <c r="AY17" s="62" t="n"/>
    </row>
    <row r="18">
      <c r="A18" s="38">
        <f>IF(D18="","",COUNTA($D$9:D18))</f>
        <v/>
      </c>
      <c r="B18" s="52" t="n"/>
      <c r="C18" s="53" t="inlineStr">
        <is>
          <t>마케팅1팀</t>
        </is>
      </c>
      <c r="D18" s="52" t="n"/>
      <c r="E18" s="54" t="n"/>
      <c r="F18" s="52" t="n"/>
      <c r="G18" s="55" t="n"/>
      <c r="H18" s="54" t="n"/>
      <c r="I18" s="54" t="n"/>
      <c r="J18" s="54" t="n"/>
      <c r="K18" s="56">
        <f>IF(SUM(U18:AY18)=0,"",SUM(U18:AY18))</f>
        <v/>
      </c>
      <c r="L18" s="57">
        <f>IFERROR(INDEX(U$2:AY$2,MATCH(TRUE,U18:AY18&lt;&gt;"",0)),"")</f>
        <v/>
      </c>
      <c r="M18" s="58">
        <f>IFERROR(LOOKUP(2,1/(U18:AY18&lt;&gt;""),U$2:AY$2),"")</f>
        <v/>
      </c>
      <c r="N18" s="59">
        <f>IF(OR(G18="",M18=""),"",G18-M18)</f>
        <v/>
      </c>
      <c r="O18" s="60" t="n"/>
      <c r="P18" s="61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  <c r="AG18" s="62" t="n"/>
      <c r="AH18" s="62" t="n"/>
      <c r="AI18" s="62" t="n"/>
      <c r="AJ18" s="62" t="n"/>
      <c r="AK18" s="62" t="n"/>
      <c r="AL18" s="62" t="n"/>
      <c r="AM18" s="62" t="n"/>
      <c r="AN18" s="62" t="n"/>
      <c r="AO18" s="62" t="n"/>
      <c r="AP18" s="62" t="n"/>
      <c r="AQ18" s="62" t="n"/>
      <c r="AR18" s="62" t="n"/>
      <c r="AS18" s="62" t="n"/>
      <c r="AT18" s="62" t="n"/>
      <c r="AU18" s="62" t="n"/>
      <c r="AV18" s="62" t="n"/>
      <c r="AW18" s="62" t="n"/>
      <c r="AX18" s="62" t="n"/>
      <c r="AY18" s="62" t="n"/>
    </row>
    <row r="19">
      <c r="A19" s="38">
        <f>IF(D19="","",COUNTA($D$9:D19))</f>
        <v/>
      </c>
      <c r="B19" s="52" t="n"/>
      <c r="C19" s="53" t="inlineStr">
        <is>
          <t>마케팅1팀</t>
        </is>
      </c>
      <c r="D19" s="52" t="n"/>
      <c r="E19" s="54" t="n"/>
      <c r="F19" s="52" t="n"/>
      <c r="G19" s="55" t="n"/>
      <c r="H19" s="54" t="n"/>
      <c r="I19" s="54" t="n"/>
      <c r="J19" s="54" t="n"/>
      <c r="K19" s="56">
        <f>IF(SUM(U19:AY19)=0,"",SUM(U19:AY19))</f>
        <v/>
      </c>
      <c r="L19" s="57">
        <f>IFERROR(INDEX(U$2:AY$2,MATCH(TRUE,U19:AY19&lt;&gt;"",0)),"")</f>
        <v/>
      </c>
      <c r="M19" s="58">
        <f>IFERROR(LOOKUP(2,1/(U19:AY19&lt;&gt;""),U$2:AY$2),"")</f>
        <v/>
      </c>
      <c r="N19" s="59">
        <f>IF(OR(G19="",M19=""),"",G19-M19)</f>
        <v/>
      </c>
      <c r="O19" s="60" t="n"/>
      <c r="P19" s="61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  <c r="AG19" s="62" t="n"/>
      <c r="AH19" s="62" t="n"/>
      <c r="AI19" s="62" t="n"/>
      <c r="AJ19" s="62" t="n"/>
      <c r="AK19" s="62" t="n"/>
      <c r="AL19" s="62" t="n"/>
      <c r="AM19" s="62" t="n"/>
      <c r="AN19" s="62" t="n"/>
      <c r="AO19" s="62" t="n"/>
      <c r="AP19" s="62" t="n"/>
      <c r="AQ19" s="62" t="n"/>
      <c r="AR19" s="62" t="n"/>
      <c r="AS19" s="62" t="n"/>
      <c r="AT19" s="62" t="n"/>
      <c r="AU19" s="62" t="n"/>
      <c r="AV19" s="62" t="n"/>
      <c r="AW19" s="62" t="n"/>
      <c r="AX19" s="62" t="n"/>
      <c r="AY19" s="62" t="n"/>
    </row>
    <row r="20">
      <c r="A20" s="38">
        <f>IF(D20="","",COUNTA($D$9:D20))</f>
        <v/>
      </c>
      <c r="B20" s="52" t="n"/>
      <c r="C20" s="53" t="inlineStr">
        <is>
          <t>마케팅1팀</t>
        </is>
      </c>
      <c r="D20" s="52" t="n"/>
      <c r="E20" s="54" t="n"/>
      <c r="F20" s="52" t="n"/>
      <c r="G20" s="55" t="n"/>
      <c r="H20" s="54" t="n"/>
      <c r="I20" s="54" t="n"/>
      <c r="J20" s="54" t="n"/>
      <c r="K20" s="56">
        <f>IF(SUM(U20:AY20)=0,"",SUM(U20:AY20))</f>
        <v/>
      </c>
      <c r="L20" s="57">
        <f>IFERROR(INDEX(U$2:AY$2,MATCH(TRUE,U20:AY20&lt;&gt;"",0)),"")</f>
        <v/>
      </c>
      <c r="M20" s="58">
        <f>IFERROR(LOOKUP(2,1/(U20:AY20&lt;&gt;""),U$2:AY$2),"")</f>
        <v/>
      </c>
      <c r="N20" s="59">
        <f>IF(OR(G20="",M20=""),"",G20-M20)</f>
        <v/>
      </c>
      <c r="O20" s="60" t="n"/>
      <c r="P20" s="61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  <c r="AG20" s="62" t="n"/>
      <c r="AH20" s="62" t="n"/>
      <c r="AI20" s="62" t="n"/>
      <c r="AJ20" s="62" t="n"/>
      <c r="AK20" s="62" t="n"/>
      <c r="AL20" s="62" t="n"/>
      <c r="AM20" s="62" t="n"/>
      <c r="AN20" s="62" t="n"/>
      <c r="AO20" s="62" t="n"/>
      <c r="AP20" s="62" t="n"/>
      <c r="AQ20" s="62" t="n"/>
      <c r="AR20" s="62" t="n"/>
      <c r="AS20" s="62" t="n"/>
      <c r="AT20" s="62" t="n"/>
      <c r="AU20" s="62" t="n"/>
      <c r="AV20" s="62" t="n"/>
      <c r="AW20" s="62" t="n"/>
      <c r="AX20" s="62" t="n"/>
      <c r="AY20" s="62" t="n"/>
    </row>
    <row r="21">
      <c r="A21" s="38">
        <f>IF(D21="","",COUNTA($D$9:D21))</f>
        <v/>
      </c>
      <c r="B21" s="52" t="n"/>
      <c r="C21" s="53" t="inlineStr">
        <is>
          <t>마케팅1팀</t>
        </is>
      </c>
      <c r="D21" s="52" t="n"/>
      <c r="E21" s="54" t="n"/>
      <c r="F21" s="52" t="n"/>
      <c r="G21" s="55" t="n"/>
      <c r="H21" s="54" t="n"/>
      <c r="I21" s="54" t="n"/>
      <c r="J21" s="54" t="n"/>
      <c r="K21" s="56">
        <f>IF(SUM(U21:AY21)=0,"",SUM(U21:AY21))</f>
        <v/>
      </c>
      <c r="L21" s="57">
        <f>IFERROR(INDEX(U$2:AY$2,MATCH(TRUE,U21:AY21&lt;&gt;"",0)),"")</f>
        <v/>
      </c>
      <c r="M21" s="58">
        <f>IFERROR(LOOKUP(2,1/(U21:AY21&lt;&gt;""),U$2:AY$2),"")</f>
        <v/>
      </c>
      <c r="N21" s="59">
        <f>IF(OR(G21="",M21=""),"",G21-M21)</f>
        <v/>
      </c>
      <c r="O21" s="60" t="n"/>
      <c r="P21" s="61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  <c r="AG21" s="62" t="n"/>
      <c r="AH21" s="62" t="n"/>
      <c r="AI21" s="62" t="n"/>
      <c r="AJ21" s="62" t="n"/>
      <c r="AK21" s="62" t="n"/>
      <c r="AL21" s="62" t="n"/>
      <c r="AM21" s="62" t="n"/>
      <c r="AN21" s="62" t="n"/>
      <c r="AO21" s="62" t="n"/>
      <c r="AP21" s="62" t="n"/>
      <c r="AQ21" s="62" t="n"/>
      <c r="AR21" s="62" t="n"/>
      <c r="AS21" s="62" t="n"/>
      <c r="AT21" s="62" t="n"/>
      <c r="AU21" s="62" t="n"/>
      <c r="AV21" s="62" t="n"/>
      <c r="AW21" s="62" t="n"/>
      <c r="AX21" s="62" t="n"/>
      <c r="AY21" s="62" t="n"/>
    </row>
    <row r="22">
      <c r="A22" s="38">
        <f>IF(D22="","",COUNTA($D$9:D22))</f>
        <v/>
      </c>
      <c r="B22" s="52" t="n"/>
      <c r="C22" s="53" t="inlineStr">
        <is>
          <t>마케팅1팀</t>
        </is>
      </c>
      <c r="D22" s="52" t="n"/>
      <c r="E22" s="54" t="n"/>
      <c r="F22" s="52" t="n"/>
      <c r="G22" s="55" t="n"/>
      <c r="H22" s="54" t="n"/>
      <c r="I22" s="54" t="n"/>
      <c r="J22" s="54" t="n"/>
      <c r="K22" s="56">
        <f>IF(SUM(U22:AY22)=0,"",SUM(U22:AY22))</f>
        <v/>
      </c>
      <c r="L22" s="57">
        <f>IFERROR(INDEX(U$2:AY$2,MATCH(TRUE,U22:AY22&lt;&gt;"",0)),"")</f>
        <v/>
      </c>
      <c r="M22" s="58">
        <f>IFERROR(LOOKUP(2,1/(U22:AY22&lt;&gt;""),U$2:AY$2),"")</f>
        <v/>
      </c>
      <c r="N22" s="59">
        <f>IF(OR(G22="",M22=""),"",G22-M22)</f>
        <v/>
      </c>
      <c r="O22" s="60" t="n"/>
      <c r="P22" s="61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  <c r="AG22" s="62" t="n"/>
      <c r="AH22" s="62" t="n"/>
      <c r="AI22" s="62" t="n"/>
      <c r="AJ22" s="62" t="n"/>
      <c r="AK22" s="62" t="n"/>
      <c r="AL22" s="62" t="n"/>
      <c r="AM22" s="62" t="n"/>
      <c r="AN22" s="62" t="n"/>
      <c r="AO22" s="62" t="n"/>
      <c r="AP22" s="62" t="n"/>
      <c r="AQ22" s="62" t="n"/>
      <c r="AR22" s="62" t="n"/>
      <c r="AS22" s="62" t="n"/>
      <c r="AT22" s="62" t="n"/>
      <c r="AU22" s="62" t="n"/>
      <c r="AV22" s="62" t="n"/>
      <c r="AW22" s="62" t="n"/>
      <c r="AX22" s="62" t="n"/>
      <c r="AY22" s="62" t="n"/>
    </row>
    <row r="23">
      <c r="A23" s="38">
        <f>IF(D23="","",COUNTA($D$9:D23))</f>
        <v/>
      </c>
      <c r="B23" s="52" t="n"/>
      <c r="C23" s="53" t="inlineStr">
        <is>
          <t>마케팅1팀</t>
        </is>
      </c>
      <c r="D23" s="52" t="n"/>
      <c r="E23" s="54" t="n"/>
      <c r="F23" s="52" t="n"/>
      <c r="G23" s="55" t="n"/>
      <c r="H23" s="54" t="n"/>
      <c r="I23" s="54" t="n"/>
      <c r="J23" s="54" t="n"/>
      <c r="K23" s="56">
        <f>IF(SUM(U23:AY23)=0,"",SUM(U23:AY23))</f>
        <v/>
      </c>
      <c r="L23" s="57">
        <f>IFERROR(INDEX(U$2:AY$2,MATCH(TRUE,U23:AY23&lt;&gt;"",0)),"")</f>
        <v/>
      </c>
      <c r="M23" s="58">
        <f>IFERROR(LOOKUP(2,1/(U23:AY23&lt;&gt;""),U$2:AY$2),"")</f>
        <v/>
      </c>
      <c r="N23" s="59">
        <f>IF(OR(G23="",M23=""),"",G23-M23)</f>
        <v/>
      </c>
      <c r="O23" s="60" t="n"/>
      <c r="P23" s="61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  <c r="AG23" s="62" t="n"/>
      <c r="AH23" s="62" t="n"/>
      <c r="AI23" s="62" t="n"/>
      <c r="AJ23" s="62" t="n"/>
      <c r="AK23" s="62" t="n"/>
      <c r="AL23" s="62" t="n"/>
      <c r="AM23" s="62" t="n"/>
      <c r="AN23" s="62" t="n"/>
      <c r="AO23" s="62" t="n"/>
      <c r="AP23" s="62" t="n"/>
      <c r="AQ23" s="62" t="n"/>
      <c r="AR23" s="62" t="n"/>
      <c r="AS23" s="62" t="n"/>
      <c r="AT23" s="62" t="n"/>
      <c r="AU23" s="62" t="n"/>
      <c r="AV23" s="62" t="n"/>
      <c r="AW23" s="62" t="n"/>
      <c r="AX23" s="62" t="n"/>
      <c r="AY23" s="62" t="n"/>
    </row>
    <row r="24">
      <c r="A24" s="38">
        <f>IF(D24="","",COUNTA($D$9:D24))</f>
        <v/>
      </c>
      <c r="B24" s="52" t="n"/>
      <c r="C24" s="53" t="inlineStr">
        <is>
          <t>마케팅1팀</t>
        </is>
      </c>
      <c r="D24" s="52" t="n"/>
      <c r="E24" s="54" t="n"/>
      <c r="F24" s="52" t="n"/>
      <c r="G24" s="55" t="n"/>
      <c r="H24" s="54" t="n"/>
      <c r="I24" s="54" t="n"/>
      <c r="J24" s="54" t="n"/>
      <c r="K24" s="56">
        <f>IF(SUM(U24:AY24)=0,"",SUM(U24:AY24))</f>
        <v/>
      </c>
      <c r="L24" s="57">
        <f>IFERROR(INDEX(U$2:AY$2,MATCH(TRUE,U24:AY24&lt;&gt;"",0)),"")</f>
        <v/>
      </c>
      <c r="M24" s="58">
        <f>IFERROR(LOOKUP(2,1/(U24:AY24&lt;&gt;""),U$2:AY$2),"")</f>
        <v/>
      </c>
      <c r="N24" s="59">
        <f>IF(OR(G24="",M24=""),"",G24-M24)</f>
        <v/>
      </c>
      <c r="O24" s="60" t="n"/>
      <c r="P24" s="61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  <c r="AG24" s="62" t="n"/>
      <c r="AH24" s="62" t="n"/>
      <c r="AI24" s="62" t="n"/>
      <c r="AJ24" s="62" t="n"/>
      <c r="AK24" s="62" t="n"/>
      <c r="AL24" s="62" t="n"/>
      <c r="AM24" s="62" t="n"/>
      <c r="AN24" s="62" t="n"/>
      <c r="AO24" s="62" t="n"/>
      <c r="AP24" s="62" t="n"/>
      <c r="AQ24" s="62" t="n"/>
      <c r="AR24" s="62" t="n"/>
      <c r="AS24" s="62" t="n"/>
      <c r="AT24" s="62" t="n"/>
      <c r="AU24" s="62" t="n"/>
      <c r="AV24" s="62" t="n"/>
      <c r="AW24" s="62" t="n"/>
      <c r="AX24" s="62" t="n"/>
      <c r="AY24" s="62" t="n"/>
    </row>
    <row r="25">
      <c r="A25" s="38">
        <f>IF(D25="","",COUNTA($D$9:D25))</f>
        <v/>
      </c>
      <c r="B25" s="52" t="n"/>
      <c r="C25" s="53" t="inlineStr">
        <is>
          <t>마케팅1팀</t>
        </is>
      </c>
      <c r="D25" s="52" t="n"/>
      <c r="E25" s="54" t="n"/>
      <c r="F25" s="52" t="n"/>
      <c r="G25" s="55" t="n"/>
      <c r="H25" s="54" t="n"/>
      <c r="I25" s="54" t="n"/>
      <c r="J25" s="54" t="n"/>
      <c r="K25" s="56">
        <f>IF(SUM(U25:AY25)=0,"",SUM(U25:AY25))</f>
        <v/>
      </c>
      <c r="L25" s="57">
        <f>IFERROR(INDEX(U$2:AY$2,MATCH(TRUE,U25:AY25&lt;&gt;"",0)),"")</f>
        <v/>
      </c>
      <c r="M25" s="58">
        <f>IFERROR(LOOKUP(2,1/(U25:AY25&lt;&gt;""),U$2:AY$2),"")</f>
        <v/>
      </c>
      <c r="N25" s="59">
        <f>IF(OR(G25="",M25=""),"",G25-M25)</f>
        <v/>
      </c>
      <c r="O25" s="60" t="n"/>
      <c r="P25" s="61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  <c r="AG25" s="62" t="n"/>
      <c r="AH25" s="62" t="n"/>
      <c r="AI25" s="62" t="n"/>
      <c r="AJ25" s="62" t="n"/>
      <c r="AK25" s="62" t="n"/>
      <c r="AL25" s="62" t="n"/>
      <c r="AM25" s="62" t="n"/>
      <c r="AN25" s="62" t="n"/>
      <c r="AO25" s="62" t="n"/>
      <c r="AP25" s="62" t="n"/>
      <c r="AQ25" s="62" t="n"/>
      <c r="AR25" s="62" t="n"/>
      <c r="AS25" s="62" t="n"/>
      <c r="AT25" s="62" t="n"/>
      <c r="AU25" s="62" t="n"/>
      <c r="AV25" s="62" t="n"/>
      <c r="AW25" s="62" t="n"/>
      <c r="AX25" s="62" t="n"/>
      <c r="AY25" s="62" t="n"/>
    </row>
    <row r="26">
      <c r="A26" s="38">
        <f>IF(D26="","",COUNTA($D$9:D26))</f>
        <v/>
      </c>
      <c r="B26" s="52" t="n"/>
      <c r="C26" s="53" t="inlineStr">
        <is>
          <t>마케팅1팀</t>
        </is>
      </c>
      <c r="D26" s="52" t="n"/>
      <c r="E26" s="54" t="n"/>
      <c r="F26" s="52" t="n"/>
      <c r="G26" s="55" t="n"/>
      <c r="H26" s="54" t="n"/>
      <c r="I26" s="54" t="n"/>
      <c r="J26" s="54" t="n"/>
      <c r="K26" s="56">
        <f>IF(SUM(U26:AY26)=0,"",SUM(U26:AY26))</f>
        <v/>
      </c>
      <c r="L26" s="57">
        <f>IFERROR(INDEX(U$2:AY$2,MATCH(TRUE,U26:AY26&lt;&gt;"",0)),"")</f>
        <v/>
      </c>
      <c r="M26" s="58">
        <f>IFERROR(LOOKUP(2,1/(U26:AY26&lt;&gt;""),U$2:AY$2),"")</f>
        <v/>
      </c>
      <c r="N26" s="59">
        <f>IF(OR(G26="",M26=""),"",G26-M26)</f>
        <v/>
      </c>
      <c r="O26" s="60" t="n"/>
      <c r="P26" s="61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  <c r="AG26" s="62" t="n"/>
      <c r="AH26" s="62" t="n"/>
      <c r="AI26" s="62" t="n"/>
      <c r="AJ26" s="62" t="n"/>
      <c r="AK26" s="62" t="n"/>
      <c r="AL26" s="62" t="n"/>
      <c r="AM26" s="62" t="n"/>
      <c r="AN26" s="62" t="n"/>
      <c r="AO26" s="62" t="n"/>
      <c r="AP26" s="62" t="n"/>
      <c r="AQ26" s="62" t="n"/>
      <c r="AR26" s="62" t="n"/>
      <c r="AS26" s="62" t="n"/>
      <c r="AT26" s="62" t="n"/>
      <c r="AU26" s="62" t="n"/>
      <c r="AV26" s="62" t="n"/>
      <c r="AW26" s="62" t="n"/>
      <c r="AX26" s="62" t="n"/>
      <c r="AY26" s="62" t="n"/>
    </row>
    <row r="27">
      <c r="A27" s="38">
        <f>IF(D27="","",COUNTA($D$9:D27))</f>
        <v/>
      </c>
      <c r="B27" s="52" t="n"/>
      <c r="C27" s="53" t="inlineStr">
        <is>
          <t>마케팅1팀</t>
        </is>
      </c>
      <c r="D27" s="52" t="n"/>
      <c r="E27" s="54" t="n"/>
      <c r="F27" s="52" t="n"/>
      <c r="G27" s="55" t="n"/>
      <c r="H27" s="54" t="n"/>
      <c r="I27" s="54" t="n"/>
      <c r="J27" s="54" t="n"/>
      <c r="K27" s="56">
        <f>IF(SUM(U27:AY27)=0,"",SUM(U27:AY27))</f>
        <v/>
      </c>
      <c r="L27" s="57">
        <f>IFERROR(INDEX(U$2:AY$2,MATCH(TRUE,U27:AY27&lt;&gt;"",0)),"")</f>
        <v/>
      </c>
      <c r="M27" s="58">
        <f>IFERROR(LOOKUP(2,1/(U27:AY27&lt;&gt;""),U$2:AY$2),"")</f>
        <v/>
      </c>
      <c r="N27" s="59">
        <f>IF(OR(G27="",M27=""),"",G27-M27)</f>
        <v/>
      </c>
      <c r="O27" s="60" t="n"/>
      <c r="P27" s="61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  <c r="AG27" s="62" t="n"/>
      <c r="AH27" s="62" t="n"/>
      <c r="AI27" s="62" t="n"/>
      <c r="AJ27" s="62" t="n"/>
      <c r="AK27" s="62" t="n"/>
      <c r="AL27" s="62" t="n"/>
      <c r="AM27" s="62" t="n"/>
      <c r="AN27" s="62" t="n"/>
      <c r="AO27" s="62" t="n"/>
      <c r="AP27" s="62" t="n"/>
      <c r="AQ27" s="62" t="n"/>
      <c r="AR27" s="62" t="n"/>
      <c r="AS27" s="62" t="n"/>
      <c r="AT27" s="62" t="n"/>
      <c r="AU27" s="62" t="n"/>
      <c r="AV27" s="62" t="n"/>
      <c r="AW27" s="62" t="n"/>
      <c r="AX27" s="62" t="n"/>
      <c r="AY27" s="62" t="n"/>
    </row>
    <row r="28">
      <c r="A28" s="38">
        <f>IF(D28="","",COUNTA($D$9:D28))</f>
        <v/>
      </c>
      <c r="B28" s="52" t="n"/>
      <c r="C28" s="53" t="inlineStr">
        <is>
          <t>마케팅1팀</t>
        </is>
      </c>
      <c r="D28" s="52" t="n"/>
      <c r="E28" s="54" t="n"/>
      <c r="F28" s="52" t="n"/>
      <c r="G28" s="55" t="n"/>
      <c r="H28" s="54" t="n"/>
      <c r="I28" s="54" t="n"/>
      <c r="J28" s="54" t="n"/>
      <c r="K28" s="56">
        <f>IF(SUM(U28:AY28)=0,"",SUM(U28:AY28))</f>
        <v/>
      </c>
      <c r="L28" s="57">
        <f>IFERROR(INDEX(U$2:AY$2,MATCH(TRUE,U28:AY28&lt;&gt;"",0)),"")</f>
        <v/>
      </c>
      <c r="M28" s="58">
        <f>IFERROR(LOOKUP(2,1/(U28:AY28&lt;&gt;""),U$2:AY$2),"")</f>
        <v/>
      </c>
      <c r="N28" s="59">
        <f>IF(OR(G28="",M28=""),"",G28-M28)</f>
        <v/>
      </c>
      <c r="O28" s="60" t="n"/>
      <c r="P28" s="61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  <c r="AG28" s="62" t="n"/>
      <c r="AH28" s="62" t="n"/>
      <c r="AI28" s="62" t="n"/>
      <c r="AJ28" s="62" t="n"/>
      <c r="AK28" s="62" t="n"/>
      <c r="AL28" s="62" t="n"/>
      <c r="AM28" s="62" t="n"/>
      <c r="AN28" s="62" t="n"/>
      <c r="AO28" s="62" t="n"/>
      <c r="AP28" s="62" t="n"/>
      <c r="AQ28" s="62" t="n"/>
      <c r="AR28" s="62" t="n"/>
      <c r="AS28" s="62" t="n"/>
      <c r="AT28" s="62" t="n"/>
      <c r="AU28" s="62" t="n"/>
      <c r="AV28" s="62" t="n"/>
      <c r="AW28" s="62" t="n"/>
      <c r="AX28" s="62" t="n"/>
      <c r="AY28" s="62" t="n"/>
    </row>
    <row r="29">
      <c r="A29" s="38">
        <f>IF(D29="","",COUNTA($D$9:D29))</f>
        <v/>
      </c>
      <c r="B29" s="52" t="n"/>
      <c r="C29" s="53" t="inlineStr">
        <is>
          <t>마케팅1팀</t>
        </is>
      </c>
      <c r="D29" s="52" t="n"/>
      <c r="E29" s="54" t="n"/>
      <c r="F29" s="52" t="n"/>
      <c r="G29" s="55" t="n"/>
      <c r="H29" s="54" t="n"/>
      <c r="I29" s="54" t="n"/>
      <c r="J29" s="54" t="n"/>
      <c r="K29" s="56">
        <f>IF(SUM(U29:AY29)=0,"",SUM(U29:AY29))</f>
        <v/>
      </c>
      <c r="L29" s="57">
        <f>IFERROR(INDEX(U$2:AY$2,MATCH(TRUE,U29:AY29&lt;&gt;"",0)),"")</f>
        <v/>
      </c>
      <c r="M29" s="58">
        <f>IFERROR(LOOKUP(2,1/(U29:AY29&lt;&gt;""),U$2:AY$2),"")</f>
        <v/>
      </c>
      <c r="N29" s="59">
        <f>IF(OR(G29="",M29=""),"",G29-M29)</f>
        <v/>
      </c>
      <c r="O29" s="60" t="n"/>
      <c r="P29" s="61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  <c r="AG29" s="62" t="n"/>
      <c r="AH29" s="62" t="n"/>
      <c r="AI29" s="62" t="n"/>
      <c r="AJ29" s="62" t="n"/>
      <c r="AK29" s="62" t="n"/>
      <c r="AL29" s="62" t="n"/>
      <c r="AM29" s="62" t="n"/>
      <c r="AN29" s="62" t="n"/>
      <c r="AO29" s="62" t="n"/>
      <c r="AP29" s="62" t="n"/>
      <c r="AQ29" s="62" t="n"/>
      <c r="AR29" s="62" t="n"/>
      <c r="AS29" s="62" t="n"/>
      <c r="AT29" s="62" t="n"/>
      <c r="AU29" s="62" t="n"/>
      <c r="AV29" s="62" t="n"/>
      <c r="AW29" s="62" t="n"/>
      <c r="AX29" s="62" t="n"/>
      <c r="AY29" s="62" t="n"/>
    </row>
    <row r="30">
      <c r="A30" s="38">
        <f>IF(D30="","",COUNTA($D$9:D30))</f>
        <v/>
      </c>
      <c r="B30" s="52" t="n"/>
      <c r="C30" s="53" t="inlineStr">
        <is>
          <t>마케팅1팀</t>
        </is>
      </c>
      <c r="D30" s="52" t="n"/>
      <c r="E30" s="54" t="n"/>
      <c r="F30" s="52" t="n"/>
      <c r="G30" s="55" t="n"/>
      <c r="H30" s="54" t="n"/>
      <c r="I30" s="54" t="n"/>
      <c r="J30" s="54" t="n"/>
      <c r="K30" s="56">
        <f>IF(SUM(U30:AY30)=0,"",SUM(U30:AY30))</f>
        <v/>
      </c>
      <c r="L30" s="57">
        <f>IFERROR(INDEX(U$2:AY$2,MATCH(TRUE,U30:AY30&lt;&gt;"",0)),"")</f>
        <v/>
      </c>
      <c r="M30" s="58">
        <f>IFERROR(LOOKUP(2,1/(U30:AY30&lt;&gt;""),U$2:AY$2),"")</f>
        <v/>
      </c>
      <c r="N30" s="59">
        <f>IF(OR(G30="",M30=""),"",G30-M30)</f>
        <v/>
      </c>
      <c r="O30" s="60" t="n"/>
      <c r="P30" s="61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  <c r="AG30" s="62" t="n"/>
      <c r="AH30" s="62" t="n"/>
      <c r="AI30" s="62" t="n"/>
      <c r="AJ30" s="62" t="n"/>
      <c r="AK30" s="62" t="n"/>
      <c r="AL30" s="62" t="n"/>
      <c r="AM30" s="62" t="n"/>
      <c r="AN30" s="62" t="n"/>
      <c r="AO30" s="62" t="n"/>
      <c r="AP30" s="62" t="n"/>
      <c r="AQ30" s="62" t="n"/>
      <c r="AR30" s="62" t="n"/>
      <c r="AS30" s="62" t="n"/>
      <c r="AT30" s="62" t="n"/>
      <c r="AU30" s="62" t="n"/>
      <c r="AV30" s="62" t="n"/>
      <c r="AW30" s="62" t="n"/>
      <c r="AX30" s="62" t="n"/>
      <c r="AY30" s="62" t="n"/>
    </row>
    <row r="31">
      <c r="A31" s="38">
        <f>IF(D31="","",COUNTA($D$9:D31))</f>
        <v/>
      </c>
      <c r="B31" s="52" t="n"/>
      <c r="C31" s="53" t="inlineStr">
        <is>
          <t>마케팅1팀</t>
        </is>
      </c>
      <c r="D31" s="52" t="n"/>
      <c r="E31" s="54" t="n"/>
      <c r="F31" s="52" t="n"/>
      <c r="G31" s="55" t="n"/>
      <c r="H31" s="54" t="n"/>
      <c r="I31" s="54" t="n"/>
      <c r="J31" s="54" t="n"/>
      <c r="K31" s="56">
        <f>IF(SUM(U31:AY31)=0,"",SUM(U31:AY31))</f>
        <v/>
      </c>
      <c r="L31" s="57">
        <f>IFERROR(INDEX(U$2:AY$2,MATCH(TRUE,U31:AY31&lt;&gt;"",0)),"")</f>
        <v/>
      </c>
      <c r="M31" s="58">
        <f>IFERROR(LOOKUP(2,1/(U31:AY31&lt;&gt;""),U$2:AY$2),"")</f>
        <v/>
      </c>
      <c r="N31" s="59">
        <f>IF(OR(G31="",M31=""),"",G31-M31)</f>
        <v/>
      </c>
      <c r="O31" s="60" t="n"/>
      <c r="P31" s="61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  <c r="AG31" s="62" t="n"/>
      <c r="AH31" s="62" t="n"/>
      <c r="AI31" s="62" t="n"/>
      <c r="AJ31" s="62" t="n"/>
      <c r="AK31" s="62" t="n"/>
      <c r="AL31" s="62" t="n"/>
      <c r="AM31" s="62" t="n"/>
      <c r="AN31" s="62" t="n"/>
      <c r="AO31" s="62" t="n"/>
      <c r="AP31" s="62" t="n"/>
      <c r="AQ31" s="62" t="n"/>
      <c r="AR31" s="62" t="n"/>
      <c r="AS31" s="62" t="n"/>
      <c r="AT31" s="62" t="n"/>
      <c r="AU31" s="62" t="n"/>
      <c r="AV31" s="62" t="n"/>
      <c r="AW31" s="62" t="n"/>
      <c r="AX31" s="62" t="n"/>
      <c r="AY31" s="62" t="n"/>
    </row>
    <row r="32">
      <c r="A32" s="38">
        <f>IF(D32="","",COUNTA($D$9:D32))</f>
        <v/>
      </c>
      <c r="B32" s="52" t="n"/>
      <c r="C32" s="53" t="inlineStr">
        <is>
          <t>마케팅1팀</t>
        </is>
      </c>
      <c r="D32" s="52" t="n"/>
      <c r="E32" s="54" t="n"/>
      <c r="F32" s="52" t="n"/>
      <c r="G32" s="55" t="n"/>
      <c r="H32" s="54" t="n"/>
      <c r="I32" s="54" t="n"/>
      <c r="J32" s="54" t="n"/>
      <c r="K32" s="56">
        <f>IF(SUM(U32:AY32)=0,"",SUM(U32:AY32))</f>
        <v/>
      </c>
      <c r="L32" s="57">
        <f>IFERROR(INDEX(U$2:AY$2,MATCH(TRUE,U32:AY32&lt;&gt;"",0)),"")</f>
        <v/>
      </c>
      <c r="M32" s="58">
        <f>IFERROR(LOOKUP(2,1/(U32:AY32&lt;&gt;""),U$2:AY$2),"")</f>
        <v/>
      </c>
      <c r="N32" s="59">
        <f>IF(OR(G32="",M32=""),"",G32-M32)</f>
        <v/>
      </c>
      <c r="O32" s="60" t="n"/>
      <c r="P32" s="61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  <c r="AG32" s="62" t="n"/>
      <c r="AH32" s="62" t="n"/>
      <c r="AI32" s="62" t="n"/>
      <c r="AJ32" s="62" t="n"/>
      <c r="AK32" s="62" t="n"/>
      <c r="AL32" s="62" t="n"/>
      <c r="AM32" s="62" t="n"/>
      <c r="AN32" s="62" t="n"/>
      <c r="AO32" s="62" t="n"/>
      <c r="AP32" s="62" t="n"/>
      <c r="AQ32" s="62" t="n"/>
      <c r="AR32" s="62" t="n"/>
      <c r="AS32" s="62" t="n"/>
      <c r="AT32" s="62" t="n"/>
      <c r="AU32" s="62" t="n"/>
      <c r="AV32" s="62" t="n"/>
      <c r="AW32" s="62" t="n"/>
      <c r="AX32" s="62" t="n"/>
      <c r="AY32" s="62" t="n"/>
    </row>
    <row r="33">
      <c r="A33" s="38">
        <f>IF(D33="","",COUNTA($D$9:D33))</f>
        <v/>
      </c>
      <c r="B33" s="52" t="n"/>
      <c r="C33" s="53" t="inlineStr">
        <is>
          <t>마케팅1팀</t>
        </is>
      </c>
      <c r="D33" s="52" t="n"/>
      <c r="E33" s="54" t="n"/>
      <c r="F33" s="52" t="n"/>
      <c r="G33" s="55" t="n"/>
      <c r="H33" s="54" t="n"/>
      <c r="I33" s="54" t="n"/>
      <c r="J33" s="54" t="n"/>
      <c r="K33" s="56">
        <f>IF(SUM(U33:AY33)=0,"",SUM(U33:AY33))</f>
        <v/>
      </c>
      <c r="L33" s="57">
        <f>IFERROR(INDEX(U$2:AY$2,MATCH(TRUE,U33:AY33&lt;&gt;"",0)),"")</f>
        <v/>
      </c>
      <c r="M33" s="58">
        <f>IFERROR(LOOKUP(2,1/(U33:AY33&lt;&gt;""),U$2:AY$2),"")</f>
        <v/>
      </c>
      <c r="N33" s="59">
        <f>IF(OR(G33="",M33=""),"",G33-M33)</f>
        <v/>
      </c>
      <c r="O33" s="60" t="n"/>
      <c r="P33" s="61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  <c r="AG33" s="62" t="n"/>
      <c r="AH33" s="62" t="n"/>
      <c r="AI33" s="62" t="n"/>
      <c r="AJ33" s="62" t="n"/>
      <c r="AK33" s="62" t="n"/>
      <c r="AL33" s="62" t="n"/>
      <c r="AM33" s="62" t="n"/>
      <c r="AN33" s="62" t="n"/>
      <c r="AO33" s="62" t="n"/>
      <c r="AP33" s="62" t="n"/>
      <c r="AQ33" s="62" t="n"/>
      <c r="AR33" s="62" t="n"/>
      <c r="AS33" s="62" t="n"/>
      <c r="AT33" s="62" t="n"/>
      <c r="AU33" s="62" t="n"/>
      <c r="AV33" s="62" t="n"/>
      <c r="AW33" s="62" t="n"/>
      <c r="AX33" s="62" t="n"/>
      <c r="AY33" s="62" t="n"/>
    </row>
    <row r="34">
      <c r="A34" s="38">
        <f>IF(D34="","",COUNTA($D$9:D34))</f>
        <v/>
      </c>
      <c r="B34" s="52" t="n"/>
      <c r="C34" s="53" t="inlineStr">
        <is>
          <t>마케팅1팀</t>
        </is>
      </c>
      <c r="D34" s="52" t="n"/>
      <c r="E34" s="54" t="n"/>
      <c r="F34" s="52" t="n"/>
      <c r="G34" s="55" t="n"/>
      <c r="H34" s="54" t="n"/>
      <c r="I34" s="54" t="n"/>
      <c r="J34" s="54" t="n"/>
      <c r="K34" s="56">
        <f>IF(SUM(U34:AY34)=0,"",SUM(U34:AY34))</f>
        <v/>
      </c>
      <c r="L34" s="57">
        <f>IFERROR(INDEX(U$2:AY$2,MATCH(TRUE,U34:AY34&lt;&gt;"",0)),"")</f>
        <v/>
      </c>
      <c r="M34" s="58">
        <f>IFERROR(LOOKUP(2,1/(U34:AY34&lt;&gt;""),U$2:AY$2),"")</f>
        <v/>
      </c>
      <c r="N34" s="59">
        <f>IF(OR(G34="",M34=""),"",G34-M34)</f>
        <v/>
      </c>
      <c r="O34" s="60" t="n"/>
      <c r="P34" s="61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  <c r="AG34" s="62" t="n"/>
      <c r="AH34" s="62" t="n"/>
      <c r="AI34" s="62" t="n"/>
      <c r="AJ34" s="62" t="n"/>
      <c r="AK34" s="62" t="n"/>
      <c r="AL34" s="62" t="n"/>
      <c r="AM34" s="62" t="n"/>
      <c r="AN34" s="62" t="n"/>
      <c r="AO34" s="62" t="n"/>
      <c r="AP34" s="62" t="n"/>
      <c r="AQ34" s="62" t="n"/>
      <c r="AR34" s="62" t="n"/>
      <c r="AS34" s="62" t="n"/>
      <c r="AT34" s="62" t="n"/>
      <c r="AU34" s="62" t="n"/>
      <c r="AV34" s="62" t="n"/>
      <c r="AW34" s="62" t="n"/>
      <c r="AX34" s="62" t="n"/>
      <c r="AY34" s="62" t="n"/>
    </row>
    <row r="35">
      <c r="A35" s="38">
        <f>IF(D35="","",COUNTA($D$9:D35))</f>
        <v/>
      </c>
      <c r="B35" s="52" t="n"/>
      <c r="C35" s="53" t="inlineStr">
        <is>
          <t>마케팅1팀</t>
        </is>
      </c>
      <c r="D35" s="52" t="n"/>
      <c r="E35" s="54" t="n"/>
      <c r="F35" s="52" t="n"/>
      <c r="G35" s="55" t="n"/>
      <c r="H35" s="54" t="n"/>
      <c r="I35" s="54" t="n"/>
      <c r="J35" s="54" t="n"/>
      <c r="K35" s="56">
        <f>IF(SUM(U35:AY35)=0,"",SUM(U35:AY35))</f>
        <v/>
      </c>
      <c r="L35" s="57">
        <f>IFERROR(INDEX(U$2:AY$2,MATCH(TRUE,U35:AY35&lt;&gt;"",0)),"")</f>
        <v/>
      </c>
      <c r="M35" s="58">
        <f>IFERROR(LOOKUP(2,1/(U35:AY35&lt;&gt;""),U$2:AY$2),"")</f>
        <v/>
      </c>
      <c r="N35" s="59">
        <f>IF(OR(G35="",M35=""),"",G35-M35)</f>
        <v/>
      </c>
      <c r="O35" s="60" t="n"/>
      <c r="P35" s="61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  <c r="AG35" s="62" t="n"/>
      <c r="AH35" s="62" t="n"/>
      <c r="AI35" s="62" t="n"/>
      <c r="AJ35" s="62" t="n"/>
      <c r="AK35" s="62" t="n"/>
      <c r="AL35" s="62" t="n"/>
      <c r="AM35" s="62" t="n"/>
      <c r="AN35" s="62" t="n"/>
      <c r="AO35" s="62" t="n"/>
      <c r="AP35" s="62" t="n"/>
      <c r="AQ35" s="62" t="n"/>
      <c r="AR35" s="62" t="n"/>
      <c r="AS35" s="62" t="n"/>
      <c r="AT35" s="62" t="n"/>
      <c r="AU35" s="62" t="n"/>
      <c r="AV35" s="62" t="n"/>
      <c r="AW35" s="62" t="n"/>
      <c r="AX35" s="62" t="n"/>
      <c r="AY35" s="62" t="n"/>
    </row>
    <row r="36">
      <c r="A36" s="38">
        <f>IF(D36="","",COUNTA($D$9:D36))</f>
        <v/>
      </c>
      <c r="B36" s="52" t="n"/>
      <c r="C36" s="53" t="inlineStr">
        <is>
          <t>마케팅1팀</t>
        </is>
      </c>
      <c r="D36" s="52" t="n"/>
      <c r="E36" s="54" t="n"/>
      <c r="F36" s="52" t="n"/>
      <c r="G36" s="55" t="n"/>
      <c r="H36" s="54" t="n"/>
      <c r="I36" s="54" t="n"/>
      <c r="J36" s="54" t="n"/>
      <c r="K36" s="56">
        <f>IF(SUM(U36:AY36)=0,"",SUM(U36:AY36))</f>
        <v/>
      </c>
      <c r="L36" s="57">
        <f>IFERROR(INDEX(U$2:AY$2,MATCH(TRUE,U36:AY36&lt;&gt;"",0)),"")</f>
        <v/>
      </c>
      <c r="M36" s="58">
        <f>IFERROR(LOOKUP(2,1/(U36:AY36&lt;&gt;""),U$2:AY$2),"")</f>
        <v/>
      </c>
      <c r="N36" s="59">
        <f>IF(OR(G36="",M36=""),"",G36-M36)</f>
        <v/>
      </c>
      <c r="O36" s="60" t="n"/>
      <c r="P36" s="61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  <c r="AG36" s="62" t="n"/>
      <c r="AH36" s="62" t="n"/>
      <c r="AI36" s="62" t="n"/>
      <c r="AJ36" s="62" t="n"/>
      <c r="AK36" s="62" t="n"/>
      <c r="AL36" s="62" t="n"/>
      <c r="AM36" s="62" t="n"/>
      <c r="AN36" s="62" t="n"/>
      <c r="AO36" s="62" t="n"/>
      <c r="AP36" s="62" t="n"/>
      <c r="AQ36" s="62" t="n"/>
      <c r="AR36" s="62" t="n"/>
      <c r="AS36" s="62" t="n"/>
      <c r="AT36" s="62" t="n"/>
      <c r="AU36" s="62" t="n"/>
      <c r="AV36" s="62" t="n"/>
      <c r="AW36" s="62" t="n"/>
      <c r="AX36" s="62" t="n"/>
      <c r="AY36" s="62" t="n"/>
    </row>
    <row r="37">
      <c r="A37" s="38">
        <f>IF(D37="","",COUNTA($D$9:D37))</f>
        <v/>
      </c>
      <c r="B37" s="52" t="n"/>
      <c r="C37" s="53" t="inlineStr">
        <is>
          <t>마케팅1팀</t>
        </is>
      </c>
      <c r="D37" s="52" t="n"/>
      <c r="E37" s="54" t="n"/>
      <c r="F37" s="52" t="n"/>
      <c r="G37" s="55" t="n"/>
      <c r="H37" s="54" t="n"/>
      <c r="I37" s="54" t="n"/>
      <c r="J37" s="54" t="n"/>
      <c r="K37" s="56">
        <f>IF(SUM(U37:AY37)=0,"",SUM(U37:AY37))</f>
        <v/>
      </c>
      <c r="L37" s="57">
        <f>IFERROR(INDEX(U$2:AY$2,MATCH(TRUE,U37:AY37&lt;&gt;"",0)),"")</f>
        <v/>
      </c>
      <c r="M37" s="58">
        <f>IFERROR(LOOKUP(2,1/(U37:AY37&lt;&gt;""),U$2:AY$2),"")</f>
        <v/>
      </c>
      <c r="N37" s="59">
        <f>IF(OR(G37="",M37=""),"",G37-M37)</f>
        <v/>
      </c>
      <c r="O37" s="60" t="n"/>
      <c r="P37" s="61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  <c r="AG37" s="62" t="n"/>
      <c r="AH37" s="62" t="n"/>
      <c r="AI37" s="62" t="n"/>
      <c r="AJ37" s="62" t="n"/>
      <c r="AK37" s="62" t="n"/>
      <c r="AL37" s="62" t="n"/>
      <c r="AM37" s="62" t="n"/>
      <c r="AN37" s="62" t="n"/>
      <c r="AO37" s="62" t="n"/>
      <c r="AP37" s="62" t="n"/>
      <c r="AQ37" s="62" t="n"/>
      <c r="AR37" s="62" t="n"/>
      <c r="AS37" s="62" t="n"/>
      <c r="AT37" s="62" t="n"/>
      <c r="AU37" s="62" t="n"/>
      <c r="AV37" s="62" t="n"/>
      <c r="AW37" s="62" t="n"/>
      <c r="AX37" s="62" t="n"/>
      <c r="AY37" s="62" t="n"/>
    </row>
    <row r="38">
      <c r="A38" s="38">
        <f>IF(D38="","",COUNTA($D$9:D38))</f>
        <v/>
      </c>
      <c r="B38" s="52" t="n"/>
      <c r="C38" s="53" t="inlineStr">
        <is>
          <t>마케팅1팀</t>
        </is>
      </c>
      <c r="D38" s="52" t="n"/>
      <c r="E38" s="54" t="n"/>
      <c r="F38" s="52" t="n"/>
      <c r="G38" s="55" t="n"/>
      <c r="H38" s="54" t="n"/>
      <c r="I38" s="54" t="n"/>
      <c r="J38" s="54" t="n"/>
      <c r="K38" s="56">
        <f>IF(SUM(U38:AY38)=0,"",SUM(U38:AY38))</f>
        <v/>
      </c>
      <c r="L38" s="57">
        <f>IFERROR(INDEX(U$2:AY$2,MATCH(TRUE,U38:AY38&lt;&gt;"",0)),"")</f>
        <v/>
      </c>
      <c r="M38" s="58">
        <f>IFERROR(LOOKUP(2,1/(U38:AY38&lt;&gt;""),U$2:AY$2),"")</f>
        <v/>
      </c>
      <c r="N38" s="59">
        <f>IF(OR(G38="",M38=""),"",G38-M38)</f>
        <v/>
      </c>
      <c r="O38" s="60" t="n"/>
      <c r="P38" s="61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  <c r="AG38" s="62" t="n"/>
      <c r="AH38" s="62" t="n"/>
      <c r="AI38" s="62" t="n"/>
      <c r="AJ38" s="62" t="n"/>
      <c r="AK38" s="62" t="n"/>
      <c r="AL38" s="62" t="n"/>
      <c r="AM38" s="62" t="n"/>
      <c r="AN38" s="62" t="n"/>
      <c r="AO38" s="62" t="n"/>
      <c r="AP38" s="62" t="n"/>
      <c r="AQ38" s="62" t="n"/>
      <c r="AR38" s="62" t="n"/>
      <c r="AS38" s="62" t="n"/>
      <c r="AT38" s="62" t="n"/>
      <c r="AU38" s="62" t="n"/>
      <c r="AV38" s="62" t="n"/>
      <c r="AW38" s="62" t="n"/>
      <c r="AX38" s="62" t="n"/>
      <c r="AY38" s="62" t="n"/>
    </row>
    <row r="39">
      <c r="A39" s="63" t="inlineStr">
        <is>
          <t>마케팅2팀  (40~69행)</t>
        </is>
      </c>
      <c r="U39" s="64" t="n"/>
      <c r="V39" s="64" t="n"/>
      <c r="W39" s="64" t="n"/>
      <c r="X39" s="64" t="n"/>
      <c r="Y39" s="64" t="n"/>
      <c r="Z39" s="64" t="n"/>
      <c r="AA39" s="64" t="n"/>
      <c r="AB39" s="64" t="n"/>
      <c r="AC39" s="64" t="n"/>
      <c r="AD39" s="64" t="n"/>
      <c r="AE39" s="64" t="n"/>
      <c r="AF39" s="64" t="n"/>
      <c r="AG39" s="64" t="n"/>
      <c r="AH39" s="64" t="n"/>
      <c r="AI39" s="64" t="n"/>
      <c r="AJ39" s="64" t="n"/>
      <c r="AK39" s="64" t="n"/>
      <c r="AL39" s="64" t="n"/>
      <c r="AM39" s="64" t="n"/>
      <c r="AN39" s="64" t="n"/>
      <c r="AO39" s="64" t="n"/>
      <c r="AP39" s="64" t="n"/>
      <c r="AQ39" s="64" t="n"/>
      <c r="AR39" s="64" t="n"/>
      <c r="AS39" s="64" t="n"/>
      <c r="AT39" s="64" t="n"/>
      <c r="AU39" s="64" t="n"/>
      <c r="AV39" s="64" t="n"/>
      <c r="AW39" s="64" t="n"/>
      <c r="AX39" s="64" t="n"/>
      <c r="AY39" s="64" t="n"/>
    </row>
    <row r="40">
      <c r="A40" s="38">
        <f>IF(D40="","",COUNTA($D$40:D40))</f>
        <v/>
      </c>
      <c r="B40" s="52" t="n"/>
      <c r="C40" s="65" t="inlineStr">
        <is>
          <t>마케팅2팀</t>
        </is>
      </c>
      <c r="D40" s="52" t="n"/>
      <c r="E40" s="54" t="n"/>
      <c r="F40" s="52" t="n"/>
      <c r="G40" s="55" t="n"/>
      <c r="H40" s="54" t="n"/>
      <c r="I40" s="54" t="n"/>
      <c r="J40" s="54" t="n"/>
      <c r="K40" s="56">
        <f>IF(SUM(U40:AY40)=0,"",SUM(U40:AY40))</f>
        <v/>
      </c>
      <c r="L40" s="57">
        <f>IFERROR(INDEX(U$2:AY$2,MATCH(TRUE,U40:AY40&lt;&gt;"",0)),"")</f>
        <v/>
      </c>
      <c r="M40" s="58">
        <f>IFERROR(LOOKUP(2,1/(U40:AY40&lt;&gt;""),U$2:AY$2),"")</f>
        <v/>
      </c>
      <c r="N40" s="59">
        <f>IF(OR(G40="",M40=""),"",G40-M40)</f>
        <v/>
      </c>
      <c r="O40" s="60" t="n"/>
      <c r="P40" s="61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  <c r="AG40" s="62" t="n"/>
      <c r="AH40" s="62" t="n"/>
      <c r="AI40" s="62" t="n"/>
      <c r="AJ40" s="62" t="n"/>
      <c r="AK40" s="62" t="n"/>
      <c r="AL40" s="62" t="n"/>
      <c r="AM40" s="62" t="n"/>
      <c r="AN40" s="62" t="n"/>
      <c r="AO40" s="62" t="n"/>
      <c r="AP40" s="62" t="n"/>
      <c r="AQ40" s="62" t="n"/>
      <c r="AR40" s="62" t="n"/>
      <c r="AS40" s="62" t="n"/>
      <c r="AT40" s="62" t="n"/>
      <c r="AU40" s="62" t="n"/>
      <c r="AV40" s="62" t="n"/>
      <c r="AW40" s="62" t="n"/>
      <c r="AX40" s="62" t="n"/>
      <c r="AY40" s="62" t="n"/>
    </row>
    <row r="41">
      <c r="A41" s="38">
        <f>IF(D41="","",COUNTA($D$40:D41))</f>
        <v/>
      </c>
      <c r="B41" s="52" t="n"/>
      <c r="C41" s="65" t="inlineStr">
        <is>
          <t>마케팅2팀</t>
        </is>
      </c>
      <c r="D41" s="52" t="n"/>
      <c r="E41" s="54" t="n"/>
      <c r="F41" s="52" t="n"/>
      <c r="G41" s="55" t="n"/>
      <c r="H41" s="54" t="n"/>
      <c r="I41" s="54" t="n"/>
      <c r="J41" s="54" t="n"/>
      <c r="K41" s="56">
        <f>IF(SUM(U41:AY41)=0,"",SUM(U41:AY41))</f>
        <v/>
      </c>
      <c r="L41" s="57">
        <f>IFERROR(INDEX(U$2:AY$2,MATCH(TRUE,U41:AY41&lt;&gt;"",0)),"")</f>
        <v/>
      </c>
      <c r="M41" s="58">
        <f>IFERROR(LOOKUP(2,1/(U41:AY41&lt;&gt;""),U$2:AY$2),"")</f>
        <v/>
      </c>
      <c r="N41" s="59">
        <f>IF(OR(G41="",M41=""),"",G41-M41)</f>
        <v/>
      </c>
      <c r="O41" s="60" t="n"/>
      <c r="P41" s="61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  <c r="AG41" s="62" t="n"/>
      <c r="AH41" s="62" t="n"/>
      <c r="AI41" s="62" t="n"/>
      <c r="AJ41" s="62" t="n"/>
      <c r="AK41" s="62" t="n"/>
      <c r="AL41" s="62" t="n"/>
      <c r="AM41" s="62" t="n"/>
      <c r="AN41" s="62" t="n"/>
      <c r="AO41" s="62" t="n"/>
      <c r="AP41" s="62" t="n"/>
      <c r="AQ41" s="62" t="n"/>
      <c r="AR41" s="62" t="n"/>
      <c r="AS41" s="62" t="n"/>
      <c r="AT41" s="62" t="n"/>
      <c r="AU41" s="62" t="n"/>
      <c r="AV41" s="62" t="n"/>
      <c r="AW41" s="62" t="n"/>
      <c r="AX41" s="62" t="n"/>
      <c r="AY41" s="62" t="n"/>
    </row>
    <row r="42">
      <c r="A42" s="38">
        <f>IF(D42="","",COUNTA($D$40:D42))</f>
        <v/>
      </c>
      <c r="B42" s="52" t="n"/>
      <c r="C42" s="65" t="inlineStr">
        <is>
          <t>마케팅2팀</t>
        </is>
      </c>
      <c r="D42" s="52" t="n"/>
      <c r="E42" s="54" t="n"/>
      <c r="F42" s="52" t="n"/>
      <c r="G42" s="55" t="n"/>
      <c r="H42" s="54" t="n"/>
      <c r="I42" s="54" t="n"/>
      <c r="J42" s="54" t="n"/>
      <c r="K42" s="56">
        <f>IF(SUM(U42:AY42)=0,"",SUM(U42:AY42))</f>
        <v/>
      </c>
      <c r="L42" s="57">
        <f>IFERROR(INDEX(U$2:AY$2,MATCH(TRUE,U42:AY42&lt;&gt;"",0)),"")</f>
        <v/>
      </c>
      <c r="M42" s="58">
        <f>IFERROR(LOOKUP(2,1/(U42:AY42&lt;&gt;""),U$2:AY$2),"")</f>
        <v/>
      </c>
      <c r="N42" s="59">
        <f>IF(OR(G42="",M42=""),"",G42-M42)</f>
        <v/>
      </c>
      <c r="O42" s="60" t="n"/>
      <c r="P42" s="61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  <c r="AG42" s="62" t="n"/>
      <c r="AH42" s="62" t="n"/>
      <c r="AI42" s="62" t="n"/>
      <c r="AJ42" s="62" t="n"/>
      <c r="AK42" s="62" t="n"/>
      <c r="AL42" s="62" t="n"/>
      <c r="AM42" s="62" t="n"/>
      <c r="AN42" s="62" t="n"/>
      <c r="AO42" s="62" t="n"/>
      <c r="AP42" s="62" t="n"/>
      <c r="AQ42" s="62" t="n"/>
      <c r="AR42" s="62" t="n"/>
      <c r="AS42" s="62" t="n"/>
      <c r="AT42" s="62" t="n"/>
      <c r="AU42" s="62" t="n"/>
      <c r="AV42" s="62" t="n"/>
      <c r="AW42" s="62" t="n"/>
      <c r="AX42" s="62" t="n"/>
      <c r="AY42" s="62" t="n"/>
    </row>
    <row r="43">
      <c r="A43" s="38">
        <f>IF(D43="","",COUNTA($D$40:D43))</f>
        <v/>
      </c>
      <c r="B43" s="52" t="n"/>
      <c r="C43" s="65" t="inlineStr">
        <is>
          <t>마케팅2팀</t>
        </is>
      </c>
      <c r="D43" s="52" t="n"/>
      <c r="E43" s="54" t="n"/>
      <c r="F43" s="52" t="n"/>
      <c r="G43" s="55" t="n"/>
      <c r="H43" s="54" t="n"/>
      <c r="I43" s="54" t="n"/>
      <c r="J43" s="54" t="n"/>
      <c r="K43" s="56">
        <f>IF(SUM(U43:AY43)=0,"",SUM(U43:AY43))</f>
        <v/>
      </c>
      <c r="L43" s="57">
        <f>IFERROR(INDEX(U$2:AY$2,MATCH(TRUE,U43:AY43&lt;&gt;"",0)),"")</f>
        <v/>
      </c>
      <c r="M43" s="58">
        <f>IFERROR(LOOKUP(2,1/(U43:AY43&lt;&gt;""),U$2:AY$2),"")</f>
        <v/>
      </c>
      <c r="N43" s="59">
        <f>IF(OR(G43="",M43=""),"",G43-M43)</f>
        <v/>
      </c>
      <c r="O43" s="60" t="n"/>
      <c r="P43" s="61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  <c r="AG43" s="62" t="n"/>
      <c r="AH43" s="62" t="n"/>
      <c r="AI43" s="62" t="n"/>
      <c r="AJ43" s="62" t="n"/>
      <c r="AK43" s="62" t="n"/>
      <c r="AL43" s="62" t="n"/>
      <c r="AM43" s="62" t="n"/>
      <c r="AN43" s="62" t="n"/>
      <c r="AO43" s="62" t="n"/>
      <c r="AP43" s="62" t="n"/>
      <c r="AQ43" s="62" t="n"/>
      <c r="AR43" s="62" t="n"/>
      <c r="AS43" s="62" t="n"/>
      <c r="AT43" s="62" t="n"/>
      <c r="AU43" s="62" t="n"/>
      <c r="AV43" s="62" t="n"/>
      <c r="AW43" s="62" t="n"/>
      <c r="AX43" s="62" t="n"/>
      <c r="AY43" s="62" t="n"/>
    </row>
    <row r="44">
      <c r="A44" s="38">
        <f>IF(D44="","",COUNTA($D$40:D44))</f>
        <v/>
      </c>
      <c r="B44" s="52" t="n"/>
      <c r="C44" s="65" t="inlineStr">
        <is>
          <t>마케팅2팀</t>
        </is>
      </c>
      <c r="D44" s="52" t="n"/>
      <c r="E44" s="54" t="n"/>
      <c r="F44" s="52" t="n"/>
      <c r="G44" s="55" t="n"/>
      <c r="H44" s="54" t="n"/>
      <c r="I44" s="54" t="n"/>
      <c r="J44" s="54" t="n"/>
      <c r="K44" s="56">
        <f>IF(SUM(U44:AY44)=0,"",SUM(U44:AY44))</f>
        <v/>
      </c>
      <c r="L44" s="57">
        <f>IFERROR(INDEX(U$2:AY$2,MATCH(TRUE,U44:AY44&lt;&gt;"",0)),"")</f>
        <v/>
      </c>
      <c r="M44" s="58">
        <f>IFERROR(LOOKUP(2,1/(U44:AY44&lt;&gt;""),U$2:AY$2),"")</f>
        <v/>
      </c>
      <c r="N44" s="59">
        <f>IF(OR(G44="",M44=""),"",G44-M44)</f>
        <v/>
      </c>
      <c r="O44" s="60" t="n"/>
      <c r="P44" s="61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  <c r="AG44" s="62" t="n"/>
      <c r="AH44" s="62" t="n"/>
      <c r="AI44" s="62" t="n"/>
      <c r="AJ44" s="62" t="n"/>
      <c r="AK44" s="62" t="n"/>
      <c r="AL44" s="62" t="n"/>
      <c r="AM44" s="62" t="n"/>
      <c r="AN44" s="62" t="n"/>
      <c r="AO44" s="62" t="n"/>
      <c r="AP44" s="62" t="n"/>
      <c r="AQ44" s="62" t="n"/>
      <c r="AR44" s="62" t="n"/>
      <c r="AS44" s="62" t="n"/>
      <c r="AT44" s="62" t="n"/>
      <c r="AU44" s="62" t="n"/>
      <c r="AV44" s="62" t="n"/>
      <c r="AW44" s="62" t="n"/>
      <c r="AX44" s="62" t="n"/>
      <c r="AY44" s="62" t="n"/>
    </row>
    <row r="45">
      <c r="A45" s="38">
        <f>IF(D45="","",COUNTA($D$40:D45))</f>
        <v/>
      </c>
      <c r="B45" s="52" t="n"/>
      <c r="C45" s="65" t="inlineStr">
        <is>
          <t>마케팅2팀</t>
        </is>
      </c>
      <c r="D45" s="52" t="n"/>
      <c r="E45" s="54" t="n"/>
      <c r="F45" s="52" t="n"/>
      <c r="G45" s="55" t="n"/>
      <c r="H45" s="54" t="n"/>
      <c r="I45" s="54" t="n"/>
      <c r="J45" s="54" t="n"/>
      <c r="K45" s="56">
        <f>IF(SUM(U45:AY45)=0,"",SUM(U45:AY45))</f>
        <v/>
      </c>
      <c r="L45" s="57">
        <f>IFERROR(INDEX(U$2:AY$2,MATCH(TRUE,U45:AY45&lt;&gt;"",0)),"")</f>
        <v/>
      </c>
      <c r="M45" s="58">
        <f>IFERROR(LOOKUP(2,1/(U45:AY45&lt;&gt;""),U$2:AY$2),"")</f>
        <v/>
      </c>
      <c r="N45" s="59">
        <f>IF(OR(G45="",M45=""),"",G45-M45)</f>
        <v/>
      </c>
      <c r="O45" s="60" t="n"/>
      <c r="P45" s="61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  <c r="AG45" s="62" t="n"/>
      <c r="AH45" s="62" t="n"/>
      <c r="AI45" s="62" t="n"/>
      <c r="AJ45" s="62" t="n"/>
      <c r="AK45" s="62" t="n"/>
      <c r="AL45" s="62" t="n"/>
      <c r="AM45" s="62" t="n"/>
      <c r="AN45" s="62" t="n"/>
      <c r="AO45" s="62" t="n"/>
      <c r="AP45" s="62" t="n"/>
      <c r="AQ45" s="62" t="n"/>
      <c r="AR45" s="62" t="n"/>
      <c r="AS45" s="62" t="n"/>
      <c r="AT45" s="62" t="n"/>
      <c r="AU45" s="62" t="n"/>
      <c r="AV45" s="62" t="n"/>
      <c r="AW45" s="62" t="n"/>
      <c r="AX45" s="62" t="n"/>
      <c r="AY45" s="62" t="n"/>
    </row>
    <row r="46">
      <c r="A46" s="38">
        <f>IF(D46="","",COUNTA($D$40:D46))</f>
        <v/>
      </c>
      <c r="B46" s="52" t="n"/>
      <c r="C46" s="65" t="inlineStr">
        <is>
          <t>마케팅2팀</t>
        </is>
      </c>
      <c r="D46" s="52" t="n"/>
      <c r="E46" s="54" t="n"/>
      <c r="F46" s="52" t="n"/>
      <c r="G46" s="55" t="n"/>
      <c r="H46" s="54" t="n"/>
      <c r="I46" s="54" t="n"/>
      <c r="J46" s="54" t="n"/>
      <c r="K46" s="56">
        <f>IF(SUM(U46:AY46)=0,"",SUM(U46:AY46))</f>
        <v/>
      </c>
      <c r="L46" s="57">
        <f>IFERROR(INDEX(U$2:AY$2,MATCH(TRUE,U46:AY46&lt;&gt;"",0)),"")</f>
        <v/>
      </c>
      <c r="M46" s="58">
        <f>IFERROR(LOOKUP(2,1/(U46:AY46&lt;&gt;""),U$2:AY$2),"")</f>
        <v/>
      </c>
      <c r="N46" s="59">
        <f>IF(OR(G46="",M46=""),"",G46-M46)</f>
        <v/>
      </c>
      <c r="O46" s="60" t="n"/>
      <c r="P46" s="61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  <c r="AG46" s="62" t="n"/>
      <c r="AH46" s="62" t="n"/>
      <c r="AI46" s="62" t="n"/>
      <c r="AJ46" s="62" t="n"/>
      <c r="AK46" s="62" t="n"/>
      <c r="AL46" s="62" t="n"/>
      <c r="AM46" s="62" t="n"/>
      <c r="AN46" s="62" t="n"/>
      <c r="AO46" s="62" t="n"/>
      <c r="AP46" s="62" t="n"/>
      <c r="AQ46" s="62" t="n"/>
      <c r="AR46" s="62" t="n"/>
      <c r="AS46" s="62" t="n"/>
      <c r="AT46" s="62" t="n"/>
      <c r="AU46" s="62" t="n"/>
      <c r="AV46" s="62" t="n"/>
      <c r="AW46" s="62" t="n"/>
      <c r="AX46" s="62" t="n"/>
      <c r="AY46" s="62" t="n"/>
    </row>
    <row r="47">
      <c r="A47" s="38">
        <f>IF(D47="","",COUNTA($D$40:D47))</f>
        <v/>
      </c>
      <c r="B47" s="52" t="n"/>
      <c r="C47" s="65" t="inlineStr">
        <is>
          <t>마케팅2팀</t>
        </is>
      </c>
      <c r="D47" s="52" t="n"/>
      <c r="E47" s="54" t="n"/>
      <c r="F47" s="52" t="n"/>
      <c r="G47" s="55" t="n"/>
      <c r="H47" s="54" t="n"/>
      <c r="I47" s="54" t="n"/>
      <c r="J47" s="54" t="n"/>
      <c r="K47" s="56">
        <f>IF(SUM(U47:AY47)=0,"",SUM(U47:AY47))</f>
        <v/>
      </c>
      <c r="L47" s="57">
        <f>IFERROR(INDEX(U$2:AY$2,MATCH(TRUE,U47:AY47&lt;&gt;"",0)),"")</f>
        <v/>
      </c>
      <c r="M47" s="58">
        <f>IFERROR(LOOKUP(2,1/(U47:AY47&lt;&gt;""),U$2:AY$2),"")</f>
        <v/>
      </c>
      <c r="N47" s="59">
        <f>IF(OR(G47="",M47=""),"",G47-M47)</f>
        <v/>
      </c>
      <c r="O47" s="60" t="n"/>
      <c r="P47" s="61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  <c r="AG47" s="62" t="n"/>
      <c r="AH47" s="62" t="n"/>
      <c r="AI47" s="62" t="n"/>
      <c r="AJ47" s="62" t="n"/>
      <c r="AK47" s="62" t="n"/>
      <c r="AL47" s="62" t="n"/>
      <c r="AM47" s="62" t="n"/>
      <c r="AN47" s="62" t="n"/>
      <c r="AO47" s="62" t="n"/>
      <c r="AP47" s="62" t="n"/>
      <c r="AQ47" s="62" t="n"/>
      <c r="AR47" s="62" t="n"/>
      <c r="AS47" s="62" t="n"/>
      <c r="AT47" s="62" t="n"/>
      <c r="AU47" s="62" t="n"/>
      <c r="AV47" s="62" t="n"/>
      <c r="AW47" s="62" t="n"/>
      <c r="AX47" s="62" t="n"/>
      <c r="AY47" s="62" t="n"/>
    </row>
    <row r="48">
      <c r="A48" s="38">
        <f>IF(D48="","",COUNTA($D$40:D48))</f>
        <v/>
      </c>
      <c r="B48" s="52" t="n"/>
      <c r="C48" s="65" t="inlineStr">
        <is>
          <t>마케팅2팀</t>
        </is>
      </c>
      <c r="D48" s="52" t="n"/>
      <c r="E48" s="54" t="n"/>
      <c r="F48" s="52" t="n"/>
      <c r="G48" s="55" t="n"/>
      <c r="H48" s="54" t="n"/>
      <c r="I48" s="54" t="n"/>
      <c r="J48" s="54" t="n"/>
      <c r="K48" s="56">
        <f>IF(SUM(U48:AY48)=0,"",SUM(U48:AY48))</f>
        <v/>
      </c>
      <c r="L48" s="57">
        <f>IFERROR(INDEX(U$2:AY$2,MATCH(TRUE,U48:AY48&lt;&gt;"",0)),"")</f>
        <v/>
      </c>
      <c r="M48" s="58">
        <f>IFERROR(LOOKUP(2,1/(U48:AY48&lt;&gt;""),U$2:AY$2),"")</f>
        <v/>
      </c>
      <c r="N48" s="59">
        <f>IF(OR(G48="",M48=""),"",G48-M48)</f>
        <v/>
      </c>
      <c r="O48" s="60" t="n"/>
      <c r="P48" s="61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  <c r="AG48" s="62" t="n"/>
      <c r="AH48" s="62" t="n"/>
      <c r="AI48" s="62" t="n"/>
      <c r="AJ48" s="62" t="n"/>
      <c r="AK48" s="62" t="n"/>
      <c r="AL48" s="62" t="n"/>
      <c r="AM48" s="62" t="n"/>
      <c r="AN48" s="62" t="n"/>
      <c r="AO48" s="62" t="n"/>
      <c r="AP48" s="62" t="n"/>
      <c r="AQ48" s="62" t="n"/>
      <c r="AR48" s="62" t="n"/>
      <c r="AS48" s="62" t="n"/>
      <c r="AT48" s="62" t="n"/>
      <c r="AU48" s="62" t="n"/>
      <c r="AV48" s="62" t="n"/>
      <c r="AW48" s="62" t="n"/>
      <c r="AX48" s="62" t="n"/>
      <c r="AY48" s="62" t="n"/>
    </row>
    <row r="49">
      <c r="A49" s="38">
        <f>IF(D49="","",COUNTA($D$40:D49))</f>
        <v/>
      </c>
      <c r="B49" s="52" t="n"/>
      <c r="C49" s="65" t="inlineStr">
        <is>
          <t>마케팅2팀</t>
        </is>
      </c>
      <c r="D49" s="52" t="n"/>
      <c r="E49" s="54" t="n"/>
      <c r="F49" s="52" t="n"/>
      <c r="G49" s="55" t="n"/>
      <c r="H49" s="54" t="n"/>
      <c r="I49" s="54" t="n"/>
      <c r="J49" s="54" t="n"/>
      <c r="K49" s="56">
        <f>IF(SUM(U49:AY49)=0,"",SUM(U49:AY49))</f>
        <v/>
      </c>
      <c r="L49" s="57">
        <f>IFERROR(INDEX(U$2:AY$2,MATCH(TRUE,U49:AY49&lt;&gt;"",0)),"")</f>
        <v/>
      </c>
      <c r="M49" s="58">
        <f>IFERROR(LOOKUP(2,1/(U49:AY49&lt;&gt;""),U$2:AY$2),"")</f>
        <v/>
      </c>
      <c r="N49" s="59">
        <f>IF(OR(G49="",M49=""),"",G49-M49)</f>
        <v/>
      </c>
      <c r="O49" s="60" t="n"/>
      <c r="P49" s="61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  <c r="AG49" s="62" t="n"/>
      <c r="AH49" s="62" t="n"/>
      <c r="AI49" s="62" t="n"/>
      <c r="AJ49" s="62" t="n"/>
      <c r="AK49" s="62" t="n"/>
      <c r="AL49" s="62" t="n"/>
      <c r="AM49" s="62" t="n"/>
      <c r="AN49" s="62" t="n"/>
      <c r="AO49" s="62" t="n"/>
      <c r="AP49" s="62" t="n"/>
      <c r="AQ49" s="62" t="n"/>
      <c r="AR49" s="62" t="n"/>
      <c r="AS49" s="62" t="n"/>
      <c r="AT49" s="62" t="n"/>
      <c r="AU49" s="62" t="n"/>
      <c r="AV49" s="62" t="n"/>
      <c r="AW49" s="62" t="n"/>
      <c r="AX49" s="62" t="n"/>
      <c r="AY49" s="62" t="n"/>
    </row>
    <row r="50">
      <c r="A50" s="38">
        <f>IF(D50="","",COUNTA($D$40:D50))</f>
        <v/>
      </c>
      <c r="B50" s="52" t="n"/>
      <c r="C50" s="65" t="inlineStr">
        <is>
          <t>마케팅2팀</t>
        </is>
      </c>
      <c r="D50" s="52" t="n"/>
      <c r="E50" s="54" t="n"/>
      <c r="F50" s="52" t="n"/>
      <c r="G50" s="55" t="n"/>
      <c r="H50" s="54" t="n"/>
      <c r="I50" s="54" t="n"/>
      <c r="J50" s="54" t="n"/>
      <c r="K50" s="56">
        <f>IF(SUM(U50:AY50)=0,"",SUM(U50:AY50))</f>
        <v/>
      </c>
      <c r="L50" s="57">
        <f>IFERROR(INDEX(U$2:AY$2,MATCH(TRUE,U50:AY50&lt;&gt;"",0)),"")</f>
        <v/>
      </c>
      <c r="M50" s="58">
        <f>IFERROR(LOOKUP(2,1/(U50:AY50&lt;&gt;""),U$2:AY$2),"")</f>
        <v/>
      </c>
      <c r="N50" s="59">
        <f>IF(OR(G50="",M50=""),"",G50-M50)</f>
        <v/>
      </c>
      <c r="O50" s="60" t="n"/>
      <c r="P50" s="61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  <c r="AG50" s="62" t="n"/>
      <c r="AH50" s="62" t="n"/>
      <c r="AI50" s="62" t="n"/>
      <c r="AJ50" s="62" t="n"/>
      <c r="AK50" s="62" t="n"/>
      <c r="AL50" s="62" t="n"/>
      <c r="AM50" s="62" t="n"/>
      <c r="AN50" s="62" t="n"/>
      <c r="AO50" s="62" t="n"/>
      <c r="AP50" s="62" t="n"/>
      <c r="AQ50" s="62" t="n"/>
      <c r="AR50" s="62" t="n"/>
      <c r="AS50" s="62" t="n"/>
      <c r="AT50" s="62" t="n"/>
      <c r="AU50" s="62" t="n"/>
      <c r="AV50" s="62" t="n"/>
      <c r="AW50" s="62" t="n"/>
      <c r="AX50" s="62" t="n"/>
      <c r="AY50" s="62" t="n"/>
    </row>
    <row r="51">
      <c r="A51" s="38">
        <f>IF(D51="","",COUNTA($D$40:D51))</f>
        <v/>
      </c>
      <c r="B51" s="52" t="n"/>
      <c r="C51" s="65" t="inlineStr">
        <is>
          <t>마케팅2팀</t>
        </is>
      </c>
      <c r="D51" s="52" t="n"/>
      <c r="E51" s="54" t="n"/>
      <c r="F51" s="52" t="n"/>
      <c r="G51" s="55" t="n"/>
      <c r="H51" s="54" t="n"/>
      <c r="I51" s="54" t="n"/>
      <c r="J51" s="54" t="n"/>
      <c r="K51" s="56">
        <f>IF(SUM(U51:AY51)=0,"",SUM(U51:AY51))</f>
        <v/>
      </c>
      <c r="L51" s="57">
        <f>IFERROR(INDEX(U$2:AY$2,MATCH(TRUE,U51:AY51&lt;&gt;"",0)),"")</f>
        <v/>
      </c>
      <c r="M51" s="58">
        <f>IFERROR(LOOKUP(2,1/(U51:AY51&lt;&gt;""),U$2:AY$2),"")</f>
        <v/>
      </c>
      <c r="N51" s="59">
        <f>IF(OR(G51="",M51=""),"",G51-M51)</f>
        <v/>
      </c>
      <c r="O51" s="60" t="n"/>
      <c r="P51" s="61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  <c r="AG51" s="62" t="n"/>
      <c r="AH51" s="62" t="n"/>
      <c r="AI51" s="62" t="n"/>
      <c r="AJ51" s="62" t="n"/>
      <c r="AK51" s="62" t="n"/>
      <c r="AL51" s="62" t="n"/>
      <c r="AM51" s="62" t="n"/>
      <c r="AN51" s="62" t="n"/>
      <c r="AO51" s="62" t="n"/>
      <c r="AP51" s="62" t="n"/>
      <c r="AQ51" s="62" t="n"/>
      <c r="AR51" s="62" t="n"/>
      <c r="AS51" s="62" t="n"/>
      <c r="AT51" s="62" t="n"/>
      <c r="AU51" s="62" t="n"/>
      <c r="AV51" s="62" t="n"/>
      <c r="AW51" s="62" t="n"/>
      <c r="AX51" s="62" t="n"/>
      <c r="AY51" s="62" t="n"/>
    </row>
    <row r="52">
      <c r="A52" s="38">
        <f>IF(D52="","",COUNTA($D$40:D52))</f>
        <v/>
      </c>
      <c r="B52" s="52" t="n"/>
      <c r="C52" s="65" t="inlineStr">
        <is>
          <t>마케팅2팀</t>
        </is>
      </c>
      <c r="D52" s="52" t="n"/>
      <c r="E52" s="54" t="n"/>
      <c r="F52" s="52" t="n"/>
      <c r="G52" s="55" t="n"/>
      <c r="H52" s="54" t="n"/>
      <c r="I52" s="54" t="n"/>
      <c r="J52" s="54" t="n"/>
      <c r="K52" s="56">
        <f>IF(SUM(U52:AY52)=0,"",SUM(U52:AY52))</f>
        <v/>
      </c>
      <c r="L52" s="57">
        <f>IFERROR(INDEX(U$2:AY$2,MATCH(TRUE,U52:AY52&lt;&gt;"",0)),"")</f>
        <v/>
      </c>
      <c r="M52" s="58">
        <f>IFERROR(LOOKUP(2,1/(U52:AY52&lt;&gt;""),U$2:AY$2),"")</f>
        <v/>
      </c>
      <c r="N52" s="59">
        <f>IF(OR(G52="",M52=""),"",G52-M52)</f>
        <v/>
      </c>
      <c r="O52" s="60" t="n"/>
      <c r="P52" s="61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  <c r="AG52" s="62" t="n"/>
      <c r="AH52" s="62" t="n"/>
      <c r="AI52" s="62" t="n"/>
      <c r="AJ52" s="62" t="n"/>
      <c r="AK52" s="62" t="n"/>
      <c r="AL52" s="62" t="n"/>
      <c r="AM52" s="62" t="n"/>
      <c r="AN52" s="62" t="n"/>
      <c r="AO52" s="62" t="n"/>
      <c r="AP52" s="62" t="n"/>
      <c r="AQ52" s="62" t="n"/>
      <c r="AR52" s="62" t="n"/>
      <c r="AS52" s="62" t="n"/>
      <c r="AT52" s="62" t="n"/>
      <c r="AU52" s="62" t="n"/>
      <c r="AV52" s="62" t="n"/>
      <c r="AW52" s="62" t="n"/>
      <c r="AX52" s="62" t="n"/>
      <c r="AY52" s="62" t="n"/>
    </row>
    <row r="53">
      <c r="A53" s="38">
        <f>IF(D53="","",COUNTA($D$40:D53))</f>
        <v/>
      </c>
      <c r="B53" s="52" t="n"/>
      <c r="C53" s="65" t="inlineStr">
        <is>
          <t>마케팅2팀</t>
        </is>
      </c>
      <c r="D53" s="52" t="n"/>
      <c r="E53" s="54" t="n"/>
      <c r="F53" s="52" t="n"/>
      <c r="G53" s="55" t="n"/>
      <c r="H53" s="54" t="n"/>
      <c r="I53" s="54" t="n"/>
      <c r="J53" s="54" t="n"/>
      <c r="K53" s="56">
        <f>IF(SUM(U53:AY53)=0,"",SUM(U53:AY53))</f>
        <v/>
      </c>
      <c r="L53" s="57">
        <f>IFERROR(INDEX(U$2:AY$2,MATCH(TRUE,U53:AY53&lt;&gt;"",0)),"")</f>
        <v/>
      </c>
      <c r="M53" s="58">
        <f>IFERROR(LOOKUP(2,1/(U53:AY53&lt;&gt;""),U$2:AY$2),"")</f>
        <v/>
      </c>
      <c r="N53" s="59">
        <f>IF(OR(G53="",M53=""),"",G53-M53)</f>
        <v/>
      </c>
      <c r="O53" s="60" t="n"/>
      <c r="P53" s="61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  <c r="AG53" s="62" t="n"/>
      <c r="AH53" s="62" t="n"/>
      <c r="AI53" s="62" t="n"/>
      <c r="AJ53" s="62" t="n"/>
      <c r="AK53" s="62" t="n"/>
      <c r="AL53" s="62" t="n"/>
      <c r="AM53" s="62" t="n"/>
      <c r="AN53" s="62" t="n"/>
      <c r="AO53" s="62" t="n"/>
      <c r="AP53" s="62" t="n"/>
      <c r="AQ53" s="62" t="n"/>
      <c r="AR53" s="62" t="n"/>
      <c r="AS53" s="62" t="n"/>
      <c r="AT53" s="62" t="n"/>
      <c r="AU53" s="62" t="n"/>
      <c r="AV53" s="62" t="n"/>
      <c r="AW53" s="62" t="n"/>
      <c r="AX53" s="62" t="n"/>
      <c r="AY53" s="62" t="n"/>
    </row>
    <row r="54">
      <c r="A54" s="38">
        <f>IF(D54="","",COUNTA($D$40:D54))</f>
        <v/>
      </c>
      <c r="B54" s="52" t="n"/>
      <c r="C54" s="65" t="inlineStr">
        <is>
          <t>마케팅2팀</t>
        </is>
      </c>
      <c r="D54" s="52" t="n"/>
      <c r="E54" s="54" t="n"/>
      <c r="F54" s="52" t="n"/>
      <c r="G54" s="55" t="n"/>
      <c r="H54" s="54" t="n"/>
      <c r="I54" s="54" t="n"/>
      <c r="J54" s="54" t="n"/>
      <c r="K54" s="56">
        <f>IF(SUM(U54:AY54)=0,"",SUM(U54:AY54))</f>
        <v/>
      </c>
      <c r="L54" s="57">
        <f>IFERROR(INDEX(U$2:AY$2,MATCH(TRUE,U54:AY54&lt;&gt;"",0)),"")</f>
        <v/>
      </c>
      <c r="M54" s="58">
        <f>IFERROR(LOOKUP(2,1/(U54:AY54&lt;&gt;""),U$2:AY$2),"")</f>
        <v/>
      </c>
      <c r="N54" s="59">
        <f>IF(OR(G54="",M54=""),"",G54-M54)</f>
        <v/>
      </c>
      <c r="O54" s="60" t="n"/>
      <c r="P54" s="61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  <c r="AG54" s="62" t="n"/>
      <c r="AH54" s="62" t="n"/>
      <c r="AI54" s="62" t="n"/>
      <c r="AJ54" s="62" t="n"/>
      <c r="AK54" s="62" t="n"/>
      <c r="AL54" s="62" t="n"/>
      <c r="AM54" s="62" t="n"/>
      <c r="AN54" s="62" t="n"/>
      <c r="AO54" s="62" t="n"/>
      <c r="AP54" s="62" t="n"/>
      <c r="AQ54" s="62" t="n"/>
      <c r="AR54" s="62" t="n"/>
      <c r="AS54" s="62" t="n"/>
      <c r="AT54" s="62" t="n"/>
      <c r="AU54" s="62" t="n"/>
      <c r="AV54" s="62" t="n"/>
      <c r="AW54" s="62" t="n"/>
      <c r="AX54" s="62" t="n"/>
      <c r="AY54" s="62" t="n"/>
    </row>
    <row r="55">
      <c r="A55" s="38">
        <f>IF(D55="","",COUNTA($D$40:D55))</f>
        <v/>
      </c>
      <c r="B55" s="52" t="n"/>
      <c r="C55" s="65" t="inlineStr">
        <is>
          <t>마케팅2팀</t>
        </is>
      </c>
      <c r="D55" s="52" t="n"/>
      <c r="E55" s="54" t="n"/>
      <c r="F55" s="52" t="n"/>
      <c r="G55" s="55" t="n"/>
      <c r="H55" s="54" t="n"/>
      <c r="I55" s="54" t="n"/>
      <c r="J55" s="54" t="n"/>
      <c r="K55" s="56">
        <f>IF(SUM(U55:AY55)=0,"",SUM(U55:AY55))</f>
        <v/>
      </c>
      <c r="L55" s="57">
        <f>IFERROR(INDEX(U$2:AY$2,MATCH(TRUE,U55:AY55&lt;&gt;"",0)),"")</f>
        <v/>
      </c>
      <c r="M55" s="58">
        <f>IFERROR(LOOKUP(2,1/(U55:AY55&lt;&gt;""),U$2:AY$2),"")</f>
        <v/>
      </c>
      <c r="N55" s="59">
        <f>IF(OR(G55="",M55=""),"",G55-M55)</f>
        <v/>
      </c>
      <c r="O55" s="60" t="n"/>
      <c r="P55" s="61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  <c r="AG55" s="62" t="n"/>
      <c r="AH55" s="62" t="n"/>
      <c r="AI55" s="62" t="n"/>
      <c r="AJ55" s="62" t="n"/>
      <c r="AK55" s="62" t="n"/>
      <c r="AL55" s="62" t="n"/>
      <c r="AM55" s="62" t="n"/>
      <c r="AN55" s="62" t="n"/>
      <c r="AO55" s="62" t="n"/>
      <c r="AP55" s="62" t="n"/>
      <c r="AQ55" s="62" t="n"/>
      <c r="AR55" s="62" t="n"/>
      <c r="AS55" s="62" t="n"/>
      <c r="AT55" s="62" t="n"/>
      <c r="AU55" s="62" t="n"/>
      <c r="AV55" s="62" t="n"/>
      <c r="AW55" s="62" t="n"/>
      <c r="AX55" s="62" t="n"/>
      <c r="AY55" s="62" t="n"/>
    </row>
    <row r="56">
      <c r="A56" s="38">
        <f>IF(D56="","",COUNTA($D$40:D56))</f>
        <v/>
      </c>
      <c r="B56" s="52" t="n"/>
      <c r="C56" s="65" t="inlineStr">
        <is>
          <t>마케팅2팀</t>
        </is>
      </c>
      <c r="D56" s="52" t="n"/>
      <c r="E56" s="54" t="n"/>
      <c r="F56" s="52" t="n"/>
      <c r="G56" s="55" t="n"/>
      <c r="H56" s="54" t="n"/>
      <c r="I56" s="54" t="n"/>
      <c r="J56" s="54" t="n"/>
      <c r="K56" s="56">
        <f>IF(SUM(U56:AY56)=0,"",SUM(U56:AY56))</f>
        <v/>
      </c>
      <c r="L56" s="57">
        <f>IFERROR(INDEX(U$2:AY$2,MATCH(TRUE,U56:AY56&lt;&gt;"",0)),"")</f>
        <v/>
      </c>
      <c r="M56" s="58">
        <f>IFERROR(LOOKUP(2,1/(U56:AY56&lt;&gt;""),U$2:AY$2),"")</f>
        <v/>
      </c>
      <c r="N56" s="59">
        <f>IF(OR(G56="",M56=""),"",G56-M56)</f>
        <v/>
      </c>
      <c r="O56" s="60" t="n"/>
      <c r="P56" s="61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  <c r="AG56" s="62" t="n"/>
      <c r="AH56" s="62" t="n"/>
      <c r="AI56" s="62" t="n"/>
      <c r="AJ56" s="62" t="n"/>
      <c r="AK56" s="62" t="n"/>
      <c r="AL56" s="62" t="n"/>
      <c r="AM56" s="62" t="n"/>
      <c r="AN56" s="62" t="n"/>
      <c r="AO56" s="62" t="n"/>
      <c r="AP56" s="62" t="n"/>
      <c r="AQ56" s="62" t="n"/>
      <c r="AR56" s="62" t="n"/>
      <c r="AS56" s="62" t="n"/>
      <c r="AT56" s="62" t="n"/>
      <c r="AU56" s="62" t="n"/>
      <c r="AV56" s="62" t="n"/>
      <c r="AW56" s="62" t="n"/>
      <c r="AX56" s="62" t="n"/>
      <c r="AY56" s="62" t="n"/>
    </row>
    <row r="57">
      <c r="A57" s="38">
        <f>IF(D57="","",COUNTA($D$40:D57))</f>
        <v/>
      </c>
      <c r="B57" s="52" t="n"/>
      <c r="C57" s="65" t="inlineStr">
        <is>
          <t>마케팅2팀</t>
        </is>
      </c>
      <c r="D57" s="52" t="n"/>
      <c r="E57" s="54" t="n"/>
      <c r="F57" s="52" t="n"/>
      <c r="G57" s="55" t="n"/>
      <c r="H57" s="54" t="n"/>
      <c r="I57" s="54" t="n"/>
      <c r="J57" s="54" t="n"/>
      <c r="K57" s="56">
        <f>IF(SUM(U57:AY57)=0,"",SUM(U57:AY57))</f>
        <v/>
      </c>
      <c r="L57" s="57">
        <f>IFERROR(INDEX(U$2:AY$2,MATCH(TRUE,U57:AY57&lt;&gt;"",0)),"")</f>
        <v/>
      </c>
      <c r="M57" s="58">
        <f>IFERROR(LOOKUP(2,1/(U57:AY57&lt;&gt;""),U$2:AY$2),"")</f>
        <v/>
      </c>
      <c r="N57" s="59">
        <f>IF(OR(G57="",M57=""),"",G57-M57)</f>
        <v/>
      </c>
      <c r="O57" s="60" t="n"/>
      <c r="P57" s="61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  <c r="AG57" s="62" t="n"/>
      <c r="AH57" s="62" t="n"/>
      <c r="AI57" s="62" t="n"/>
      <c r="AJ57" s="62" t="n"/>
      <c r="AK57" s="62" t="n"/>
      <c r="AL57" s="62" t="n"/>
      <c r="AM57" s="62" t="n"/>
      <c r="AN57" s="62" t="n"/>
      <c r="AO57" s="62" t="n"/>
      <c r="AP57" s="62" t="n"/>
      <c r="AQ57" s="62" t="n"/>
      <c r="AR57" s="62" t="n"/>
      <c r="AS57" s="62" t="n"/>
      <c r="AT57" s="62" t="n"/>
      <c r="AU57" s="62" t="n"/>
      <c r="AV57" s="62" t="n"/>
      <c r="AW57" s="62" t="n"/>
      <c r="AX57" s="62" t="n"/>
      <c r="AY57" s="62" t="n"/>
    </row>
    <row r="58">
      <c r="A58" s="38">
        <f>IF(D58="","",COUNTA($D$40:D58))</f>
        <v/>
      </c>
      <c r="B58" s="52" t="n"/>
      <c r="C58" s="65" t="inlineStr">
        <is>
          <t>마케팅2팀</t>
        </is>
      </c>
      <c r="D58" s="52" t="n"/>
      <c r="E58" s="54" t="n"/>
      <c r="F58" s="52" t="n"/>
      <c r="G58" s="55" t="n"/>
      <c r="H58" s="54" t="n"/>
      <c r="I58" s="54" t="n"/>
      <c r="J58" s="54" t="n"/>
      <c r="K58" s="56">
        <f>IF(SUM(U58:AY58)=0,"",SUM(U58:AY58))</f>
        <v/>
      </c>
      <c r="L58" s="57">
        <f>IFERROR(INDEX(U$2:AY$2,MATCH(TRUE,U58:AY58&lt;&gt;"",0)),"")</f>
        <v/>
      </c>
      <c r="M58" s="58">
        <f>IFERROR(LOOKUP(2,1/(U58:AY58&lt;&gt;""),U$2:AY$2),"")</f>
        <v/>
      </c>
      <c r="N58" s="59">
        <f>IF(OR(G58="",M58=""),"",G58-M58)</f>
        <v/>
      </c>
      <c r="O58" s="60" t="n"/>
      <c r="P58" s="61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  <c r="AG58" s="62" t="n"/>
      <c r="AH58" s="62" t="n"/>
      <c r="AI58" s="62" t="n"/>
      <c r="AJ58" s="62" t="n"/>
      <c r="AK58" s="62" t="n"/>
      <c r="AL58" s="62" t="n"/>
      <c r="AM58" s="62" t="n"/>
      <c r="AN58" s="62" t="n"/>
      <c r="AO58" s="62" t="n"/>
      <c r="AP58" s="62" t="n"/>
      <c r="AQ58" s="62" t="n"/>
      <c r="AR58" s="62" t="n"/>
      <c r="AS58" s="62" t="n"/>
      <c r="AT58" s="62" t="n"/>
      <c r="AU58" s="62" t="n"/>
      <c r="AV58" s="62" t="n"/>
      <c r="AW58" s="62" t="n"/>
      <c r="AX58" s="62" t="n"/>
      <c r="AY58" s="62" t="n"/>
    </row>
    <row r="59">
      <c r="A59" s="38">
        <f>IF(D59="","",COUNTA($D$40:D59))</f>
        <v/>
      </c>
      <c r="B59" s="52" t="n"/>
      <c r="C59" s="65" t="inlineStr">
        <is>
          <t>마케팅2팀</t>
        </is>
      </c>
      <c r="D59" s="52" t="n"/>
      <c r="E59" s="54" t="n"/>
      <c r="F59" s="52" t="n"/>
      <c r="G59" s="55" t="n"/>
      <c r="H59" s="54" t="n"/>
      <c r="I59" s="54" t="n"/>
      <c r="J59" s="54" t="n"/>
      <c r="K59" s="56">
        <f>IF(SUM(U59:AY59)=0,"",SUM(U59:AY59))</f>
        <v/>
      </c>
      <c r="L59" s="57">
        <f>IFERROR(INDEX(U$2:AY$2,MATCH(TRUE,U59:AY59&lt;&gt;"",0)),"")</f>
        <v/>
      </c>
      <c r="M59" s="58">
        <f>IFERROR(LOOKUP(2,1/(U59:AY59&lt;&gt;""),U$2:AY$2),"")</f>
        <v/>
      </c>
      <c r="N59" s="59">
        <f>IF(OR(G59="",M59=""),"",G59-M59)</f>
        <v/>
      </c>
      <c r="O59" s="60" t="n"/>
      <c r="P59" s="61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  <c r="AG59" s="62" t="n"/>
      <c r="AH59" s="62" t="n"/>
      <c r="AI59" s="62" t="n"/>
      <c r="AJ59" s="62" t="n"/>
      <c r="AK59" s="62" t="n"/>
      <c r="AL59" s="62" t="n"/>
      <c r="AM59" s="62" t="n"/>
      <c r="AN59" s="62" t="n"/>
      <c r="AO59" s="62" t="n"/>
      <c r="AP59" s="62" t="n"/>
      <c r="AQ59" s="62" t="n"/>
      <c r="AR59" s="62" t="n"/>
      <c r="AS59" s="62" t="n"/>
      <c r="AT59" s="62" t="n"/>
      <c r="AU59" s="62" t="n"/>
      <c r="AV59" s="62" t="n"/>
      <c r="AW59" s="62" t="n"/>
      <c r="AX59" s="62" t="n"/>
      <c r="AY59" s="62" t="n"/>
    </row>
    <row r="60">
      <c r="A60" s="38">
        <f>IF(D60="","",COUNTA($D$40:D60))</f>
        <v/>
      </c>
      <c r="B60" s="52" t="n"/>
      <c r="C60" s="65" t="inlineStr">
        <is>
          <t>마케팅2팀</t>
        </is>
      </c>
      <c r="D60" s="52" t="n"/>
      <c r="E60" s="54" t="n"/>
      <c r="F60" s="52" t="n"/>
      <c r="G60" s="55" t="n"/>
      <c r="H60" s="54" t="n"/>
      <c r="I60" s="54" t="n"/>
      <c r="J60" s="54" t="n"/>
      <c r="K60" s="56">
        <f>IF(SUM(U60:AY60)=0,"",SUM(U60:AY60))</f>
        <v/>
      </c>
      <c r="L60" s="57">
        <f>IFERROR(INDEX(U$2:AY$2,MATCH(TRUE,U60:AY60&lt;&gt;"",0)),"")</f>
        <v/>
      </c>
      <c r="M60" s="58">
        <f>IFERROR(LOOKUP(2,1/(U60:AY60&lt;&gt;""),U$2:AY$2),"")</f>
        <v/>
      </c>
      <c r="N60" s="59">
        <f>IF(OR(G60="",M60=""),"",G60-M60)</f>
        <v/>
      </c>
      <c r="O60" s="60" t="n"/>
      <c r="P60" s="61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  <c r="AG60" s="62" t="n"/>
      <c r="AH60" s="62" t="n"/>
      <c r="AI60" s="62" t="n"/>
      <c r="AJ60" s="62" t="n"/>
      <c r="AK60" s="62" t="n"/>
      <c r="AL60" s="62" t="n"/>
      <c r="AM60" s="62" t="n"/>
      <c r="AN60" s="62" t="n"/>
      <c r="AO60" s="62" t="n"/>
      <c r="AP60" s="62" t="n"/>
      <c r="AQ60" s="62" t="n"/>
      <c r="AR60" s="62" t="n"/>
      <c r="AS60" s="62" t="n"/>
      <c r="AT60" s="62" t="n"/>
      <c r="AU60" s="62" t="n"/>
      <c r="AV60" s="62" t="n"/>
      <c r="AW60" s="62" t="n"/>
      <c r="AX60" s="62" t="n"/>
      <c r="AY60" s="62" t="n"/>
    </row>
    <row r="61">
      <c r="A61" s="38">
        <f>IF(D61="","",COUNTA($D$40:D61))</f>
        <v/>
      </c>
      <c r="B61" s="52" t="n"/>
      <c r="C61" s="65" t="inlineStr">
        <is>
          <t>마케팅2팀</t>
        </is>
      </c>
      <c r="D61" s="52" t="n"/>
      <c r="E61" s="54" t="n"/>
      <c r="F61" s="52" t="n"/>
      <c r="G61" s="55" t="n"/>
      <c r="H61" s="54" t="n"/>
      <c r="I61" s="54" t="n"/>
      <c r="J61" s="54" t="n"/>
      <c r="K61" s="56">
        <f>IF(SUM(U61:AY61)=0,"",SUM(U61:AY61))</f>
        <v/>
      </c>
      <c r="L61" s="57">
        <f>IFERROR(INDEX(U$2:AY$2,MATCH(TRUE,U61:AY61&lt;&gt;"",0)),"")</f>
        <v/>
      </c>
      <c r="M61" s="58">
        <f>IFERROR(LOOKUP(2,1/(U61:AY61&lt;&gt;""),U$2:AY$2),"")</f>
        <v/>
      </c>
      <c r="N61" s="59">
        <f>IF(OR(G61="",M61=""),"",G61-M61)</f>
        <v/>
      </c>
      <c r="O61" s="60" t="n"/>
      <c r="P61" s="61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  <c r="AG61" s="62" t="n"/>
      <c r="AH61" s="62" t="n"/>
      <c r="AI61" s="62" t="n"/>
      <c r="AJ61" s="62" t="n"/>
      <c r="AK61" s="62" t="n"/>
      <c r="AL61" s="62" t="n"/>
      <c r="AM61" s="62" t="n"/>
      <c r="AN61" s="62" t="n"/>
      <c r="AO61" s="62" t="n"/>
      <c r="AP61" s="62" t="n"/>
      <c r="AQ61" s="62" t="n"/>
      <c r="AR61" s="62" t="n"/>
      <c r="AS61" s="62" t="n"/>
      <c r="AT61" s="62" t="n"/>
      <c r="AU61" s="62" t="n"/>
      <c r="AV61" s="62" t="n"/>
      <c r="AW61" s="62" t="n"/>
      <c r="AX61" s="62" t="n"/>
      <c r="AY61" s="62" t="n"/>
    </row>
    <row r="62">
      <c r="A62" s="38">
        <f>IF(D62="","",COUNTA($D$40:D62))</f>
        <v/>
      </c>
      <c r="B62" s="52" t="n"/>
      <c r="C62" s="65" t="inlineStr">
        <is>
          <t>마케팅2팀</t>
        </is>
      </c>
      <c r="D62" s="52" t="n"/>
      <c r="E62" s="54" t="n"/>
      <c r="F62" s="52" t="n"/>
      <c r="G62" s="55" t="n"/>
      <c r="H62" s="54" t="n"/>
      <c r="I62" s="54" t="n"/>
      <c r="J62" s="54" t="n"/>
      <c r="K62" s="56">
        <f>IF(SUM(U62:AY62)=0,"",SUM(U62:AY62))</f>
        <v/>
      </c>
      <c r="L62" s="57">
        <f>IFERROR(INDEX(U$2:AY$2,MATCH(TRUE,U62:AY62&lt;&gt;"",0)),"")</f>
        <v/>
      </c>
      <c r="M62" s="58">
        <f>IFERROR(LOOKUP(2,1/(U62:AY62&lt;&gt;""),U$2:AY$2),"")</f>
        <v/>
      </c>
      <c r="N62" s="59">
        <f>IF(OR(G62="",M62=""),"",G62-M62)</f>
        <v/>
      </c>
      <c r="O62" s="60" t="n"/>
      <c r="P62" s="61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  <c r="AG62" s="62" t="n"/>
      <c r="AH62" s="62" t="n"/>
      <c r="AI62" s="62" t="n"/>
      <c r="AJ62" s="62" t="n"/>
      <c r="AK62" s="62" t="n"/>
      <c r="AL62" s="62" t="n"/>
      <c r="AM62" s="62" t="n"/>
      <c r="AN62" s="62" t="n"/>
      <c r="AO62" s="62" t="n"/>
      <c r="AP62" s="62" t="n"/>
      <c r="AQ62" s="62" t="n"/>
      <c r="AR62" s="62" t="n"/>
      <c r="AS62" s="62" t="n"/>
      <c r="AT62" s="62" t="n"/>
      <c r="AU62" s="62" t="n"/>
      <c r="AV62" s="62" t="n"/>
      <c r="AW62" s="62" t="n"/>
      <c r="AX62" s="62" t="n"/>
      <c r="AY62" s="62" t="n"/>
    </row>
    <row r="63">
      <c r="A63" s="38">
        <f>IF(D63="","",COUNTA($D$40:D63))</f>
        <v/>
      </c>
      <c r="B63" s="52" t="n"/>
      <c r="C63" s="65" t="inlineStr">
        <is>
          <t>마케팅2팀</t>
        </is>
      </c>
      <c r="D63" s="52" t="n"/>
      <c r="E63" s="54" t="n"/>
      <c r="F63" s="52" t="n"/>
      <c r="G63" s="55" t="n"/>
      <c r="H63" s="54" t="n"/>
      <c r="I63" s="54" t="n"/>
      <c r="J63" s="54" t="n"/>
      <c r="K63" s="56">
        <f>IF(SUM(U63:AY63)=0,"",SUM(U63:AY63))</f>
        <v/>
      </c>
      <c r="L63" s="57">
        <f>IFERROR(INDEX(U$2:AY$2,MATCH(TRUE,U63:AY63&lt;&gt;"",0)),"")</f>
        <v/>
      </c>
      <c r="M63" s="58">
        <f>IFERROR(LOOKUP(2,1/(U63:AY63&lt;&gt;""),U$2:AY$2),"")</f>
        <v/>
      </c>
      <c r="N63" s="59">
        <f>IF(OR(G63="",M63=""),"",G63-M63)</f>
        <v/>
      </c>
      <c r="O63" s="60" t="n"/>
      <c r="P63" s="61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  <c r="AG63" s="62" t="n"/>
      <c r="AH63" s="62" t="n"/>
      <c r="AI63" s="62" t="n"/>
      <c r="AJ63" s="62" t="n"/>
      <c r="AK63" s="62" t="n"/>
      <c r="AL63" s="62" t="n"/>
      <c r="AM63" s="62" t="n"/>
      <c r="AN63" s="62" t="n"/>
      <c r="AO63" s="62" t="n"/>
      <c r="AP63" s="62" t="n"/>
      <c r="AQ63" s="62" t="n"/>
      <c r="AR63" s="62" t="n"/>
      <c r="AS63" s="62" t="n"/>
      <c r="AT63" s="62" t="n"/>
      <c r="AU63" s="62" t="n"/>
      <c r="AV63" s="62" t="n"/>
      <c r="AW63" s="62" t="n"/>
      <c r="AX63" s="62" t="n"/>
      <c r="AY63" s="62" t="n"/>
    </row>
    <row r="64">
      <c r="A64" s="38">
        <f>IF(D64="","",COUNTA($D$40:D64))</f>
        <v/>
      </c>
      <c r="B64" s="52" t="n"/>
      <c r="C64" s="65" t="inlineStr">
        <is>
          <t>마케팅2팀</t>
        </is>
      </c>
      <c r="D64" s="52" t="n"/>
      <c r="E64" s="54" t="n"/>
      <c r="F64" s="52" t="n"/>
      <c r="G64" s="55" t="n"/>
      <c r="H64" s="54" t="n"/>
      <c r="I64" s="54" t="n"/>
      <c r="J64" s="54" t="n"/>
      <c r="K64" s="56">
        <f>IF(SUM(U64:AY64)=0,"",SUM(U64:AY64))</f>
        <v/>
      </c>
      <c r="L64" s="57">
        <f>IFERROR(INDEX(U$2:AY$2,MATCH(TRUE,U64:AY64&lt;&gt;"",0)),"")</f>
        <v/>
      </c>
      <c r="M64" s="58">
        <f>IFERROR(LOOKUP(2,1/(U64:AY64&lt;&gt;""),U$2:AY$2),"")</f>
        <v/>
      </c>
      <c r="N64" s="59">
        <f>IF(OR(G64="",M64=""),"",G64-M64)</f>
        <v/>
      </c>
      <c r="O64" s="60" t="n"/>
      <c r="P64" s="61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  <c r="AG64" s="62" t="n"/>
      <c r="AH64" s="62" t="n"/>
      <c r="AI64" s="62" t="n"/>
      <c r="AJ64" s="62" t="n"/>
      <c r="AK64" s="62" t="n"/>
      <c r="AL64" s="62" t="n"/>
      <c r="AM64" s="62" t="n"/>
      <c r="AN64" s="62" t="n"/>
      <c r="AO64" s="62" t="n"/>
      <c r="AP64" s="62" t="n"/>
      <c r="AQ64" s="62" t="n"/>
      <c r="AR64" s="62" t="n"/>
      <c r="AS64" s="62" t="n"/>
      <c r="AT64" s="62" t="n"/>
      <c r="AU64" s="62" t="n"/>
      <c r="AV64" s="62" t="n"/>
      <c r="AW64" s="62" t="n"/>
      <c r="AX64" s="62" t="n"/>
      <c r="AY64" s="62" t="n"/>
    </row>
    <row r="65">
      <c r="A65" s="38">
        <f>IF(D65="","",COUNTA($D$40:D65))</f>
        <v/>
      </c>
      <c r="B65" s="52" t="n"/>
      <c r="C65" s="65" t="inlineStr">
        <is>
          <t>마케팅2팀</t>
        </is>
      </c>
      <c r="D65" s="52" t="n"/>
      <c r="E65" s="54" t="n"/>
      <c r="F65" s="52" t="n"/>
      <c r="G65" s="55" t="n"/>
      <c r="H65" s="54" t="n"/>
      <c r="I65" s="54" t="n"/>
      <c r="J65" s="54" t="n"/>
      <c r="K65" s="56">
        <f>IF(SUM(U65:AY65)=0,"",SUM(U65:AY65))</f>
        <v/>
      </c>
      <c r="L65" s="57">
        <f>IFERROR(INDEX(U$2:AY$2,MATCH(TRUE,U65:AY65&lt;&gt;"",0)),"")</f>
        <v/>
      </c>
      <c r="M65" s="58">
        <f>IFERROR(LOOKUP(2,1/(U65:AY65&lt;&gt;""),U$2:AY$2),"")</f>
        <v/>
      </c>
      <c r="N65" s="59">
        <f>IF(OR(G65="",M65=""),"",G65-M65)</f>
        <v/>
      </c>
      <c r="O65" s="60" t="n"/>
      <c r="P65" s="61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  <c r="AG65" s="62" t="n"/>
      <c r="AH65" s="62" t="n"/>
      <c r="AI65" s="62" t="n"/>
      <c r="AJ65" s="62" t="n"/>
      <c r="AK65" s="62" t="n"/>
      <c r="AL65" s="62" t="n"/>
      <c r="AM65" s="62" t="n"/>
      <c r="AN65" s="62" t="n"/>
      <c r="AO65" s="62" t="n"/>
      <c r="AP65" s="62" t="n"/>
      <c r="AQ65" s="62" t="n"/>
      <c r="AR65" s="62" t="n"/>
      <c r="AS65" s="62" t="n"/>
      <c r="AT65" s="62" t="n"/>
      <c r="AU65" s="62" t="n"/>
      <c r="AV65" s="62" t="n"/>
      <c r="AW65" s="62" t="n"/>
      <c r="AX65" s="62" t="n"/>
      <c r="AY65" s="62" t="n"/>
    </row>
    <row r="66">
      <c r="A66" s="38">
        <f>IF(D66="","",COUNTA($D$40:D66))</f>
        <v/>
      </c>
      <c r="B66" s="52" t="n"/>
      <c r="C66" s="65" t="inlineStr">
        <is>
          <t>마케팅2팀</t>
        </is>
      </c>
      <c r="D66" s="52" t="n"/>
      <c r="E66" s="54" t="n"/>
      <c r="F66" s="52" t="n"/>
      <c r="G66" s="55" t="n"/>
      <c r="H66" s="54" t="n"/>
      <c r="I66" s="54" t="n"/>
      <c r="J66" s="54" t="n"/>
      <c r="K66" s="56">
        <f>IF(SUM(U66:AY66)=0,"",SUM(U66:AY66))</f>
        <v/>
      </c>
      <c r="L66" s="57">
        <f>IFERROR(INDEX(U$2:AY$2,MATCH(TRUE,U66:AY66&lt;&gt;"",0)),"")</f>
        <v/>
      </c>
      <c r="M66" s="58">
        <f>IFERROR(LOOKUP(2,1/(U66:AY66&lt;&gt;""),U$2:AY$2),"")</f>
        <v/>
      </c>
      <c r="N66" s="59">
        <f>IF(OR(G66="",M66=""),"",G66-M66)</f>
        <v/>
      </c>
      <c r="O66" s="60" t="n"/>
      <c r="P66" s="61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  <c r="AG66" s="62" t="n"/>
      <c r="AH66" s="62" t="n"/>
      <c r="AI66" s="62" t="n"/>
      <c r="AJ66" s="62" t="n"/>
      <c r="AK66" s="62" t="n"/>
      <c r="AL66" s="62" t="n"/>
      <c r="AM66" s="62" t="n"/>
      <c r="AN66" s="62" t="n"/>
      <c r="AO66" s="62" t="n"/>
      <c r="AP66" s="62" t="n"/>
      <c r="AQ66" s="62" t="n"/>
      <c r="AR66" s="62" t="n"/>
      <c r="AS66" s="62" t="n"/>
      <c r="AT66" s="62" t="n"/>
      <c r="AU66" s="62" t="n"/>
      <c r="AV66" s="62" t="n"/>
      <c r="AW66" s="62" t="n"/>
      <c r="AX66" s="62" t="n"/>
      <c r="AY66" s="62" t="n"/>
    </row>
    <row r="67">
      <c r="A67" s="38">
        <f>IF(D67="","",COUNTA($D$40:D67))</f>
        <v/>
      </c>
      <c r="B67" s="52" t="n"/>
      <c r="C67" s="65" t="inlineStr">
        <is>
          <t>마케팅2팀</t>
        </is>
      </c>
      <c r="D67" s="52" t="n"/>
      <c r="E67" s="54" t="n"/>
      <c r="F67" s="52" t="n"/>
      <c r="G67" s="55" t="n"/>
      <c r="H67" s="54" t="n"/>
      <c r="I67" s="54" t="n"/>
      <c r="J67" s="54" t="n"/>
      <c r="K67" s="56">
        <f>IF(SUM(U67:AY67)=0,"",SUM(U67:AY67))</f>
        <v/>
      </c>
      <c r="L67" s="57">
        <f>IFERROR(INDEX(U$2:AY$2,MATCH(TRUE,U67:AY67&lt;&gt;"",0)),"")</f>
        <v/>
      </c>
      <c r="M67" s="58">
        <f>IFERROR(LOOKUP(2,1/(U67:AY67&lt;&gt;""),U$2:AY$2),"")</f>
        <v/>
      </c>
      <c r="N67" s="59">
        <f>IF(OR(G67="",M67=""),"",G67-M67)</f>
        <v/>
      </c>
      <c r="O67" s="60" t="n"/>
      <c r="P67" s="61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  <c r="AG67" s="62" t="n"/>
      <c r="AH67" s="62" t="n"/>
      <c r="AI67" s="62" t="n"/>
      <c r="AJ67" s="62" t="n"/>
      <c r="AK67" s="62" t="n"/>
      <c r="AL67" s="62" t="n"/>
      <c r="AM67" s="62" t="n"/>
      <c r="AN67" s="62" t="n"/>
      <c r="AO67" s="62" t="n"/>
      <c r="AP67" s="62" t="n"/>
      <c r="AQ67" s="62" t="n"/>
      <c r="AR67" s="62" t="n"/>
      <c r="AS67" s="62" t="n"/>
      <c r="AT67" s="62" t="n"/>
      <c r="AU67" s="62" t="n"/>
      <c r="AV67" s="62" t="n"/>
      <c r="AW67" s="62" t="n"/>
      <c r="AX67" s="62" t="n"/>
      <c r="AY67" s="62" t="n"/>
    </row>
    <row r="68">
      <c r="A68" s="38">
        <f>IF(D68="","",COUNTA($D$40:D68))</f>
        <v/>
      </c>
      <c r="B68" s="52" t="n"/>
      <c r="C68" s="65" t="inlineStr">
        <is>
          <t>마케팅2팀</t>
        </is>
      </c>
      <c r="D68" s="52" t="n"/>
      <c r="E68" s="54" t="n"/>
      <c r="F68" s="52" t="n"/>
      <c r="G68" s="55" t="n"/>
      <c r="H68" s="54" t="n"/>
      <c r="I68" s="54" t="n"/>
      <c r="J68" s="54" t="n"/>
      <c r="K68" s="56">
        <f>IF(SUM(U68:AY68)=0,"",SUM(U68:AY68))</f>
        <v/>
      </c>
      <c r="L68" s="57">
        <f>IFERROR(INDEX(U$2:AY$2,MATCH(TRUE,U68:AY68&lt;&gt;"",0)),"")</f>
        <v/>
      </c>
      <c r="M68" s="58">
        <f>IFERROR(LOOKUP(2,1/(U68:AY68&lt;&gt;""),U$2:AY$2),"")</f>
        <v/>
      </c>
      <c r="N68" s="59">
        <f>IF(OR(G68="",M68=""),"",G68-M68)</f>
        <v/>
      </c>
      <c r="O68" s="60" t="n"/>
      <c r="P68" s="61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  <c r="AG68" s="62" t="n"/>
      <c r="AH68" s="62" t="n"/>
      <c r="AI68" s="62" t="n"/>
      <c r="AJ68" s="62" t="n"/>
      <c r="AK68" s="62" t="n"/>
      <c r="AL68" s="62" t="n"/>
      <c r="AM68" s="62" t="n"/>
      <c r="AN68" s="62" t="n"/>
      <c r="AO68" s="62" t="n"/>
      <c r="AP68" s="62" t="n"/>
      <c r="AQ68" s="62" t="n"/>
      <c r="AR68" s="62" t="n"/>
      <c r="AS68" s="62" t="n"/>
      <c r="AT68" s="62" t="n"/>
      <c r="AU68" s="62" t="n"/>
      <c r="AV68" s="62" t="n"/>
      <c r="AW68" s="62" t="n"/>
      <c r="AX68" s="62" t="n"/>
      <c r="AY68" s="62" t="n"/>
    </row>
    <row r="69">
      <c r="A69" s="38">
        <f>IF(D69="","",COUNTA($D$40:D69))</f>
        <v/>
      </c>
      <c r="B69" s="52" t="n"/>
      <c r="C69" s="65" t="inlineStr">
        <is>
          <t>마케팅2팀</t>
        </is>
      </c>
      <c r="D69" s="52" t="n"/>
      <c r="E69" s="54" t="n"/>
      <c r="F69" s="52" t="n"/>
      <c r="G69" s="55" t="n"/>
      <c r="H69" s="54" t="n"/>
      <c r="I69" s="54" t="n"/>
      <c r="J69" s="54" t="n"/>
      <c r="K69" s="56">
        <f>IF(SUM(U69:AY69)=0,"",SUM(U69:AY69))</f>
        <v/>
      </c>
      <c r="L69" s="57">
        <f>IFERROR(INDEX(U$2:AY$2,MATCH(TRUE,U69:AY69&lt;&gt;"",0)),"")</f>
        <v/>
      </c>
      <c r="M69" s="58">
        <f>IFERROR(LOOKUP(2,1/(U69:AY69&lt;&gt;""),U$2:AY$2),"")</f>
        <v/>
      </c>
      <c r="N69" s="59">
        <f>IF(OR(G69="",M69=""),"",G69-M69)</f>
        <v/>
      </c>
      <c r="O69" s="60" t="n"/>
      <c r="P69" s="61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  <c r="AG69" s="62" t="n"/>
      <c r="AH69" s="62" t="n"/>
      <c r="AI69" s="62" t="n"/>
      <c r="AJ69" s="62" t="n"/>
      <c r="AK69" s="62" t="n"/>
      <c r="AL69" s="62" t="n"/>
      <c r="AM69" s="62" t="n"/>
      <c r="AN69" s="62" t="n"/>
      <c r="AO69" s="62" t="n"/>
      <c r="AP69" s="62" t="n"/>
      <c r="AQ69" s="62" t="n"/>
      <c r="AR69" s="62" t="n"/>
      <c r="AS69" s="62" t="n"/>
      <c r="AT69" s="62" t="n"/>
      <c r="AU69" s="62" t="n"/>
      <c r="AV69" s="62" t="n"/>
      <c r="AW69" s="62" t="n"/>
      <c r="AX69" s="62" t="n"/>
      <c r="AY69" s="62" t="n"/>
    </row>
    <row r="70">
      <c r="A70" s="66" t="inlineStr">
        <is>
          <t>마케팅3팀  (71~100행)</t>
        </is>
      </c>
      <c r="U70" s="67" t="n"/>
      <c r="V70" s="67" t="n"/>
      <c r="W70" s="67" t="n"/>
      <c r="X70" s="67" t="n"/>
      <c r="Y70" s="67" t="n"/>
      <c r="Z70" s="67" t="n"/>
      <c r="AA70" s="67" t="n"/>
      <c r="AB70" s="67" t="n"/>
      <c r="AC70" s="67" t="n"/>
      <c r="AD70" s="67" t="n"/>
      <c r="AE70" s="67" t="n"/>
      <c r="AF70" s="67" t="n"/>
      <c r="AG70" s="67" t="n"/>
      <c r="AH70" s="67" t="n"/>
      <c r="AI70" s="67" t="n"/>
      <c r="AJ70" s="67" t="n"/>
      <c r="AK70" s="67" t="n"/>
      <c r="AL70" s="67" t="n"/>
      <c r="AM70" s="67" t="n"/>
      <c r="AN70" s="67" t="n"/>
      <c r="AO70" s="67" t="n"/>
      <c r="AP70" s="67" t="n"/>
      <c r="AQ70" s="67" t="n"/>
      <c r="AR70" s="67" t="n"/>
      <c r="AS70" s="67" t="n"/>
      <c r="AT70" s="67" t="n"/>
      <c r="AU70" s="67" t="n"/>
      <c r="AV70" s="67" t="n"/>
      <c r="AW70" s="67" t="n"/>
      <c r="AX70" s="67" t="n"/>
      <c r="AY70" s="67" t="n"/>
    </row>
    <row r="71">
      <c r="A71" s="38">
        <f>IF(D71="","",COUNTA($D$71:D71))</f>
        <v/>
      </c>
      <c r="B71" s="52" t="n"/>
      <c r="C71" s="68" t="inlineStr">
        <is>
          <t>마케팅3팀</t>
        </is>
      </c>
      <c r="D71" s="52" t="n"/>
      <c r="E71" s="54" t="n"/>
      <c r="F71" s="52" t="n"/>
      <c r="G71" s="55" t="n"/>
      <c r="H71" s="54" t="n"/>
      <c r="I71" s="54" t="n"/>
      <c r="J71" s="54" t="n"/>
      <c r="K71" s="56">
        <f>IF(SUM(U71:AY71)=0,"",SUM(U71:AY71))</f>
        <v/>
      </c>
      <c r="L71" s="57">
        <f>IFERROR(INDEX(U$2:AY$2,MATCH(TRUE,U71:AY71&lt;&gt;"",0)),"")</f>
        <v/>
      </c>
      <c r="M71" s="58">
        <f>IFERROR(LOOKUP(2,1/(U71:AY71&lt;&gt;""),U$2:AY$2),"")</f>
        <v/>
      </c>
      <c r="N71" s="59">
        <f>IF(OR(G71="",M71=""),"",G71-M71)</f>
        <v/>
      </c>
      <c r="O71" s="60" t="n"/>
      <c r="P71" s="61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  <c r="AG71" s="62" t="n"/>
      <c r="AH71" s="62" t="n"/>
      <c r="AI71" s="62" t="n"/>
      <c r="AJ71" s="62" t="n"/>
      <c r="AK71" s="62" t="n"/>
      <c r="AL71" s="62" t="n"/>
      <c r="AM71" s="62" t="n"/>
      <c r="AN71" s="62" t="n"/>
      <c r="AO71" s="62" t="n"/>
      <c r="AP71" s="62" t="n"/>
      <c r="AQ71" s="62" t="n"/>
      <c r="AR71" s="62" t="n"/>
      <c r="AS71" s="62" t="n"/>
      <c r="AT71" s="62" t="n"/>
      <c r="AU71" s="62" t="n"/>
      <c r="AV71" s="62" t="n"/>
      <c r="AW71" s="62" t="n"/>
      <c r="AX71" s="62" t="n"/>
      <c r="AY71" s="62" t="n"/>
    </row>
    <row r="72">
      <c r="A72" s="38">
        <f>IF(D72="","",COUNTA($D$71:D72))</f>
        <v/>
      </c>
      <c r="B72" s="52" t="n"/>
      <c r="C72" s="68" t="inlineStr">
        <is>
          <t>마케팅3팀</t>
        </is>
      </c>
      <c r="D72" s="52" t="n"/>
      <c r="E72" s="54" t="n"/>
      <c r="F72" s="52" t="n"/>
      <c r="G72" s="55" t="n"/>
      <c r="H72" s="54" t="n"/>
      <c r="I72" s="54" t="n"/>
      <c r="J72" s="54" t="n"/>
      <c r="K72" s="56">
        <f>IF(SUM(U72:AY72)=0,"",SUM(U72:AY72))</f>
        <v/>
      </c>
      <c r="L72" s="57">
        <f>IFERROR(INDEX(U$2:AY$2,MATCH(TRUE,U72:AY72&lt;&gt;"",0)),"")</f>
        <v/>
      </c>
      <c r="M72" s="58">
        <f>IFERROR(LOOKUP(2,1/(U72:AY72&lt;&gt;""),U$2:AY$2),"")</f>
        <v/>
      </c>
      <c r="N72" s="59">
        <f>IF(OR(G72="",M72=""),"",G72-M72)</f>
        <v/>
      </c>
      <c r="O72" s="60" t="n"/>
      <c r="P72" s="61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  <c r="AG72" s="62" t="n"/>
      <c r="AH72" s="62" t="n"/>
      <c r="AI72" s="62" t="n"/>
      <c r="AJ72" s="62" t="n"/>
      <c r="AK72" s="62" t="n"/>
      <c r="AL72" s="62" t="n"/>
      <c r="AM72" s="62" t="n"/>
      <c r="AN72" s="62" t="n"/>
      <c r="AO72" s="62" t="n"/>
      <c r="AP72" s="62" t="n"/>
      <c r="AQ72" s="62" t="n"/>
      <c r="AR72" s="62" t="n"/>
      <c r="AS72" s="62" t="n"/>
      <c r="AT72" s="62" t="n"/>
      <c r="AU72" s="62" t="n"/>
      <c r="AV72" s="62" t="n"/>
      <c r="AW72" s="62" t="n"/>
      <c r="AX72" s="62" t="n"/>
      <c r="AY72" s="62" t="n"/>
    </row>
    <row r="73">
      <c r="A73" s="38">
        <f>IF(D73="","",COUNTA($D$71:D73))</f>
        <v/>
      </c>
      <c r="B73" s="52" t="n"/>
      <c r="C73" s="68" t="inlineStr">
        <is>
          <t>마케팅3팀</t>
        </is>
      </c>
      <c r="D73" s="52" t="n"/>
      <c r="E73" s="54" t="n"/>
      <c r="F73" s="52" t="n"/>
      <c r="G73" s="55" t="n"/>
      <c r="H73" s="54" t="n"/>
      <c r="I73" s="54" t="n"/>
      <c r="J73" s="54" t="n"/>
      <c r="K73" s="56">
        <f>IF(SUM(U73:AY73)=0,"",SUM(U73:AY73))</f>
        <v/>
      </c>
      <c r="L73" s="57">
        <f>IFERROR(INDEX(U$2:AY$2,MATCH(TRUE,U73:AY73&lt;&gt;"",0)),"")</f>
        <v/>
      </c>
      <c r="M73" s="58">
        <f>IFERROR(LOOKUP(2,1/(U73:AY73&lt;&gt;""),U$2:AY$2),"")</f>
        <v/>
      </c>
      <c r="N73" s="59">
        <f>IF(OR(G73="",M73=""),"",G73-M73)</f>
        <v/>
      </c>
      <c r="O73" s="60" t="n"/>
      <c r="P73" s="61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  <c r="AG73" s="62" t="n"/>
      <c r="AH73" s="62" t="n"/>
      <c r="AI73" s="62" t="n"/>
      <c r="AJ73" s="62" t="n"/>
      <c r="AK73" s="62" t="n"/>
      <c r="AL73" s="62" t="n"/>
      <c r="AM73" s="62" t="n"/>
      <c r="AN73" s="62" t="n"/>
      <c r="AO73" s="62" t="n"/>
      <c r="AP73" s="62" t="n"/>
      <c r="AQ73" s="62" t="n"/>
      <c r="AR73" s="62" t="n"/>
      <c r="AS73" s="62" t="n"/>
      <c r="AT73" s="62" t="n"/>
      <c r="AU73" s="62" t="n"/>
      <c r="AV73" s="62" t="n"/>
      <c r="AW73" s="62" t="n"/>
      <c r="AX73" s="62" t="n"/>
      <c r="AY73" s="62" t="n"/>
    </row>
    <row r="74">
      <c r="A74" s="38">
        <f>IF(D74="","",COUNTA($D$71:D74))</f>
        <v/>
      </c>
      <c r="B74" s="52" t="n"/>
      <c r="C74" s="68" t="inlineStr">
        <is>
          <t>마케팅3팀</t>
        </is>
      </c>
      <c r="D74" s="52" t="n"/>
      <c r="E74" s="54" t="n"/>
      <c r="F74" s="52" t="n"/>
      <c r="G74" s="55" t="n"/>
      <c r="H74" s="54" t="n"/>
      <c r="I74" s="54" t="n"/>
      <c r="J74" s="54" t="n"/>
      <c r="K74" s="56">
        <f>IF(SUM(U74:AY74)=0,"",SUM(U74:AY74))</f>
        <v/>
      </c>
      <c r="L74" s="57">
        <f>IFERROR(INDEX(U$2:AY$2,MATCH(TRUE,U74:AY74&lt;&gt;"",0)),"")</f>
        <v/>
      </c>
      <c r="M74" s="58">
        <f>IFERROR(LOOKUP(2,1/(U74:AY74&lt;&gt;""),U$2:AY$2),"")</f>
        <v/>
      </c>
      <c r="N74" s="59">
        <f>IF(OR(G74="",M74=""),"",G74-M74)</f>
        <v/>
      </c>
      <c r="O74" s="60" t="n"/>
      <c r="P74" s="61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  <c r="AG74" s="62" t="n"/>
      <c r="AH74" s="62" t="n"/>
      <c r="AI74" s="62" t="n"/>
      <c r="AJ74" s="62" t="n"/>
      <c r="AK74" s="62" t="n"/>
      <c r="AL74" s="62" t="n"/>
      <c r="AM74" s="62" t="n"/>
      <c r="AN74" s="62" t="n"/>
      <c r="AO74" s="62" t="n"/>
      <c r="AP74" s="62" t="n"/>
      <c r="AQ74" s="62" t="n"/>
      <c r="AR74" s="62" t="n"/>
      <c r="AS74" s="62" t="n"/>
      <c r="AT74" s="62" t="n"/>
      <c r="AU74" s="62" t="n"/>
      <c r="AV74" s="62" t="n"/>
      <c r="AW74" s="62" t="n"/>
      <c r="AX74" s="62" t="n"/>
      <c r="AY74" s="62" t="n"/>
    </row>
    <row r="75">
      <c r="A75" s="38">
        <f>IF(D75="","",COUNTA($D$71:D75))</f>
        <v/>
      </c>
      <c r="B75" s="52" t="n"/>
      <c r="C75" s="68" t="inlineStr">
        <is>
          <t>마케팅3팀</t>
        </is>
      </c>
      <c r="D75" s="52" t="n"/>
      <c r="E75" s="54" t="n"/>
      <c r="F75" s="52" t="n"/>
      <c r="G75" s="55" t="n"/>
      <c r="H75" s="54" t="n"/>
      <c r="I75" s="54" t="n"/>
      <c r="J75" s="54" t="n"/>
      <c r="K75" s="56">
        <f>IF(SUM(U75:AY75)=0,"",SUM(U75:AY75))</f>
        <v/>
      </c>
      <c r="L75" s="57">
        <f>IFERROR(INDEX(U$2:AY$2,MATCH(TRUE,U75:AY75&lt;&gt;"",0)),"")</f>
        <v/>
      </c>
      <c r="M75" s="58">
        <f>IFERROR(LOOKUP(2,1/(U75:AY75&lt;&gt;""),U$2:AY$2),"")</f>
        <v/>
      </c>
      <c r="N75" s="59">
        <f>IF(OR(G75="",M75=""),"",G75-M75)</f>
        <v/>
      </c>
      <c r="O75" s="60" t="n"/>
      <c r="P75" s="61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  <c r="AG75" s="62" t="n"/>
      <c r="AH75" s="62" t="n"/>
      <c r="AI75" s="62" t="n"/>
      <c r="AJ75" s="62" t="n"/>
      <c r="AK75" s="62" t="n"/>
      <c r="AL75" s="62" t="n"/>
      <c r="AM75" s="62" t="n"/>
      <c r="AN75" s="62" t="n"/>
      <c r="AO75" s="62" t="n"/>
      <c r="AP75" s="62" t="n"/>
      <c r="AQ75" s="62" t="n"/>
      <c r="AR75" s="62" t="n"/>
      <c r="AS75" s="62" t="n"/>
      <c r="AT75" s="62" t="n"/>
      <c r="AU75" s="62" t="n"/>
      <c r="AV75" s="62" t="n"/>
      <c r="AW75" s="62" t="n"/>
      <c r="AX75" s="62" t="n"/>
      <c r="AY75" s="62" t="n"/>
    </row>
    <row r="76">
      <c r="A76" s="38">
        <f>IF(D76="","",COUNTA($D$71:D76))</f>
        <v/>
      </c>
      <c r="B76" s="52" t="n"/>
      <c r="C76" s="68" t="inlineStr">
        <is>
          <t>마케팅3팀</t>
        </is>
      </c>
      <c r="D76" s="52" t="n"/>
      <c r="E76" s="54" t="n"/>
      <c r="F76" s="52" t="n"/>
      <c r="G76" s="55" t="n"/>
      <c r="H76" s="54" t="n"/>
      <c r="I76" s="54" t="n"/>
      <c r="J76" s="54" t="n"/>
      <c r="K76" s="56">
        <f>IF(SUM(U76:AY76)=0,"",SUM(U76:AY76))</f>
        <v/>
      </c>
      <c r="L76" s="57">
        <f>IFERROR(INDEX(U$2:AY$2,MATCH(TRUE,U76:AY76&lt;&gt;"",0)),"")</f>
        <v/>
      </c>
      <c r="M76" s="58">
        <f>IFERROR(LOOKUP(2,1/(U76:AY76&lt;&gt;""),U$2:AY$2),"")</f>
        <v/>
      </c>
      <c r="N76" s="59">
        <f>IF(OR(G76="",M76=""),"",G76-M76)</f>
        <v/>
      </c>
      <c r="O76" s="60" t="n"/>
      <c r="P76" s="61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  <c r="AG76" s="62" t="n"/>
      <c r="AH76" s="62" t="n"/>
      <c r="AI76" s="62" t="n"/>
      <c r="AJ76" s="62" t="n"/>
      <c r="AK76" s="62" t="n"/>
      <c r="AL76" s="62" t="n"/>
      <c r="AM76" s="62" t="n"/>
      <c r="AN76" s="62" t="n"/>
      <c r="AO76" s="62" t="n"/>
      <c r="AP76" s="62" t="n"/>
      <c r="AQ76" s="62" t="n"/>
      <c r="AR76" s="62" t="n"/>
      <c r="AS76" s="62" t="n"/>
      <c r="AT76" s="62" t="n"/>
      <c r="AU76" s="62" t="n"/>
      <c r="AV76" s="62" t="n"/>
      <c r="AW76" s="62" t="n"/>
      <c r="AX76" s="62" t="n"/>
      <c r="AY76" s="62" t="n"/>
    </row>
    <row r="77">
      <c r="A77" s="38">
        <f>IF(D77="","",COUNTA($D$71:D77))</f>
        <v/>
      </c>
      <c r="B77" s="52" t="n"/>
      <c r="C77" s="68" t="inlineStr">
        <is>
          <t>마케팅3팀</t>
        </is>
      </c>
      <c r="D77" s="52" t="n"/>
      <c r="E77" s="54" t="n"/>
      <c r="F77" s="52" t="n"/>
      <c r="G77" s="55" t="n"/>
      <c r="H77" s="54" t="n"/>
      <c r="I77" s="54" t="n"/>
      <c r="J77" s="54" t="n"/>
      <c r="K77" s="56">
        <f>IF(SUM(U77:AY77)=0,"",SUM(U77:AY77))</f>
        <v/>
      </c>
      <c r="L77" s="57">
        <f>IFERROR(INDEX(U$2:AY$2,MATCH(TRUE,U77:AY77&lt;&gt;"",0)),"")</f>
        <v/>
      </c>
      <c r="M77" s="58">
        <f>IFERROR(LOOKUP(2,1/(U77:AY77&lt;&gt;""),U$2:AY$2),"")</f>
        <v/>
      </c>
      <c r="N77" s="59">
        <f>IF(OR(G77="",M77=""),"",G77-M77)</f>
        <v/>
      </c>
      <c r="O77" s="60" t="n"/>
      <c r="P77" s="61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  <c r="AG77" s="62" t="n"/>
      <c r="AH77" s="62" t="n"/>
      <c r="AI77" s="62" t="n"/>
      <c r="AJ77" s="62" t="n"/>
      <c r="AK77" s="62" t="n"/>
      <c r="AL77" s="62" t="n"/>
      <c r="AM77" s="62" t="n"/>
      <c r="AN77" s="62" t="n"/>
      <c r="AO77" s="62" t="n"/>
      <c r="AP77" s="62" t="n"/>
      <c r="AQ77" s="62" t="n"/>
      <c r="AR77" s="62" t="n"/>
      <c r="AS77" s="62" t="n"/>
      <c r="AT77" s="62" t="n"/>
      <c r="AU77" s="62" t="n"/>
      <c r="AV77" s="62" t="n"/>
      <c r="AW77" s="62" t="n"/>
      <c r="AX77" s="62" t="n"/>
      <c r="AY77" s="62" t="n"/>
    </row>
    <row r="78">
      <c r="A78" s="38">
        <f>IF(D78="","",COUNTA($D$71:D78))</f>
        <v/>
      </c>
      <c r="B78" s="52" t="n"/>
      <c r="C78" s="68" t="inlineStr">
        <is>
          <t>마케팅3팀</t>
        </is>
      </c>
      <c r="D78" s="52" t="n"/>
      <c r="E78" s="54" t="n"/>
      <c r="F78" s="52" t="n"/>
      <c r="G78" s="55" t="n"/>
      <c r="H78" s="54" t="n"/>
      <c r="I78" s="54" t="n"/>
      <c r="J78" s="54" t="n"/>
      <c r="K78" s="56">
        <f>IF(SUM(U78:AY78)=0,"",SUM(U78:AY78))</f>
        <v/>
      </c>
      <c r="L78" s="57">
        <f>IFERROR(INDEX(U$2:AY$2,MATCH(TRUE,U78:AY78&lt;&gt;"",0)),"")</f>
        <v/>
      </c>
      <c r="M78" s="58">
        <f>IFERROR(LOOKUP(2,1/(U78:AY78&lt;&gt;""),U$2:AY$2),"")</f>
        <v/>
      </c>
      <c r="N78" s="59">
        <f>IF(OR(G78="",M78=""),"",G78-M78)</f>
        <v/>
      </c>
      <c r="O78" s="60" t="n"/>
      <c r="P78" s="61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  <c r="AG78" s="62" t="n"/>
      <c r="AH78" s="62" t="n"/>
      <c r="AI78" s="62" t="n"/>
      <c r="AJ78" s="62" t="n"/>
      <c r="AK78" s="62" t="n"/>
      <c r="AL78" s="62" t="n"/>
      <c r="AM78" s="62" t="n"/>
      <c r="AN78" s="62" t="n"/>
      <c r="AO78" s="62" t="n"/>
      <c r="AP78" s="62" t="n"/>
      <c r="AQ78" s="62" t="n"/>
      <c r="AR78" s="62" t="n"/>
      <c r="AS78" s="62" t="n"/>
      <c r="AT78" s="62" t="n"/>
      <c r="AU78" s="62" t="n"/>
      <c r="AV78" s="62" t="n"/>
      <c r="AW78" s="62" t="n"/>
      <c r="AX78" s="62" t="n"/>
      <c r="AY78" s="62" t="n"/>
    </row>
    <row r="79">
      <c r="A79" s="38">
        <f>IF(D79="","",COUNTA($D$71:D79))</f>
        <v/>
      </c>
      <c r="B79" s="52" t="n"/>
      <c r="C79" s="68" t="inlineStr">
        <is>
          <t>마케팅3팀</t>
        </is>
      </c>
      <c r="D79" s="52" t="n"/>
      <c r="E79" s="54" t="n"/>
      <c r="F79" s="52" t="n"/>
      <c r="G79" s="55" t="n"/>
      <c r="H79" s="54" t="n"/>
      <c r="I79" s="54" t="n"/>
      <c r="J79" s="54" t="n"/>
      <c r="K79" s="56">
        <f>IF(SUM(U79:AY79)=0,"",SUM(U79:AY79))</f>
        <v/>
      </c>
      <c r="L79" s="57">
        <f>IFERROR(INDEX(U$2:AY$2,MATCH(TRUE,U79:AY79&lt;&gt;"",0)),"")</f>
        <v/>
      </c>
      <c r="M79" s="58">
        <f>IFERROR(LOOKUP(2,1/(U79:AY79&lt;&gt;""),U$2:AY$2),"")</f>
        <v/>
      </c>
      <c r="N79" s="59">
        <f>IF(OR(G79="",M79=""),"",G79-M79)</f>
        <v/>
      </c>
      <c r="O79" s="60" t="n"/>
      <c r="P79" s="61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  <c r="AG79" s="62" t="n"/>
      <c r="AH79" s="62" t="n"/>
      <c r="AI79" s="62" t="n"/>
      <c r="AJ79" s="62" t="n"/>
      <c r="AK79" s="62" t="n"/>
      <c r="AL79" s="62" t="n"/>
      <c r="AM79" s="62" t="n"/>
      <c r="AN79" s="62" t="n"/>
      <c r="AO79" s="62" t="n"/>
      <c r="AP79" s="62" t="n"/>
      <c r="AQ79" s="62" t="n"/>
      <c r="AR79" s="62" t="n"/>
      <c r="AS79" s="62" t="n"/>
      <c r="AT79" s="62" t="n"/>
      <c r="AU79" s="62" t="n"/>
      <c r="AV79" s="62" t="n"/>
      <c r="AW79" s="62" t="n"/>
      <c r="AX79" s="62" t="n"/>
      <c r="AY79" s="62" t="n"/>
    </row>
    <row r="80">
      <c r="A80" s="38">
        <f>IF(D80="","",COUNTA($D$71:D80))</f>
        <v/>
      </c>
      <c r="B80" s="52" t="n"/>
      <c r="C80" s="68" t="inlineStr">
        <is>
          <t>마케팅3팀</t>
        </is>
      </c>
      <c r="D80" s="52" t="n"/>
      <c r="E80" s="54" t="n"/>
      <c r="F80" s="52" t="n"/>
      <c r="G80" s="55" t="n"/>
      <c r="H80" s="54" t="n"/>
      <c r="I80" s="54" t="n"/>
      <c r="J80" s="54" t="n"/>
      <c r="K80" s="56">
        <f>IF(SUM(U80:AY80)=0,"",SUM(U80:AY80))</f>
        <v/>
      </c>
      <c r="L80" s="57">
        <f>IFERROR(INDEX(U$2:AY$2,MATCH(TRUE,U80:AY80&lt;&gt;"",0)),"")</f>
        <v/>
      </c>
      <c r="M80" s="58">
        <f>IFERROR(LOOKUP(2,1/(U80:AY80&lt;&gt;""),U$2:AY$2),"")</f>
        <v/>
      </c>
      <c r="N80" s="59">
        <f>IF(OR(G80="",M80=""),"",G80-M80)</f>
        <v/>
      </c>
      <c r="O80" s="60" t="n"/>
      <c r="P80" s="61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  <c r="AG80" s="62" t="n"/>
      <c r="AH80" s="62" t="n"/>
      <c r="AI80" s="62" t="n"/>
      <c r="AJ80" s="62" t="n"/>
      <c r="AK80" s="62" t="n"/>
      <c r="AL80" s="62" t="n"/>
      <c r="AM80" s="62" t="n"/>
      <c r="AN80" s="62" t="n"/>
      <c r="AO80" s="62" t="n"/>
      <c r="AP80" s="62" t="n"/>
      <c r="AQ80" s="62" t="n"/>
      <c r="AR80" s="62" t="n"/>
      <c r="AS80" s="62" t="n"/>
      <c r="AT80" s="62" t="n"/>
      <c r="AU80" s="62" t="n"/>
      <c r="AV80" s="62" t="n"/>
      <c r="AW80" s="62" t="n"/>
      <c r="AX80" s="62" t="n"/>
      <c r="AY80" s="62" t="n"/>
    </row>
    <row r="81">
      <c r="A81" s="38">
        <f>IF(D81="","",COUNTA($D$71:D81))</f>
        <v/>
      </c>
      <c r="B81" s="52" t="n"/>
      <c r="C81" s="68" t="inlineStr">
        <is>
          <t>마케팅3팀</t>
        </is>
      </c>
      <c r="D81" s="52" t="n"/>
      <c r="E81" s="54" t="n"/>
      <c r="F81" s="52" t="n"/>
      <c r="G81" s="55" t="n"/>
      <c r="H81" s="54" t="n"/>
      <c r="I81" s="54" t="n"/>
      <c r="J81" s="54" t="n"/>
      <c r="K81" s="56">
        <f>IF(SUM(U81:AY81)=0,"",SUM(U81:AY81))</f>
        <v/>
      </c>
      <c r="L81" s="57">
        <f>IFERROR(INDEX(U$2:AY$2,MATCH(TRUE,U81:AY81&lt;&gt;"",0)),"")</f>
        <v/>
      </c>
      <c r="M81" s="58">
        <f>IFERROR(LOOKUP(2,1/(U81:AY81&lt;&gt;""),U$2:AY$2),"")</f>
        <v/>
      </c>
      <c r="N81" s="59">
        <f>IF(OR(G81="",M81=""),"",G81-M81)</f>
        <v/>
      </c>
      <c r="O81" s="60" t="n"/>
      <c r="P81" s="61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  <c r="AG81" s="62" t="n"/>
      <c r="AH81" s="62" t="n"/>
      <c r="AI81" s="62" t="n"/>
      <c r="AJ81" s="62" t="n"/>
      <c r="AK81" s="62" t="n"/>
      <c r="AL81" s="62" t="n"/>
      <c r="AM81" s="62" t="n"/>
      <c r="AN81" s="62" t="n"/>
      <c r="AO81" s="62" t="n"/>
      <c r="AP81" s="62" t="n"/>
      <c r="AQ81" s="62" t="n"/>
      <c r="AR81" s="62" t="n"/>
      <c r="AS81" s="62" t="n"/>
      <c r="AT81" s="62" t="n"/>
      <c r="AU81" s="62" t="n"/>
      <c r="AV81" s="62" t="n"/>
      <c r="AW81" s="62" t="n"/>
      <c r="AX81" s="62" t="n"/>
      <c r="AY81" s="62" t="n"/>
    </row>
    <row r="82">
      <c r="A82" s="38">
        <f>IF(D82="","",COUNTA($D$71:D82))</f>
        <v/>
      </c>
      <c r="B82" s="52" t="n"/>
      <c r="C82" s="68" t="inlineStr">
        <is>
          <t>마케팅3팀</t>
        </is>
      </c>
      <c r="D82" s="52" t="n"/>
      <c r="E82" s="54" t="n"/>
      <c r="F82" s="52" t="n"/>
      <c r="G82" s="55" t="n"/>
      <c r="H82" s="54" t="n"/>
      <c r="I82" s="54" t="n"/>
      <c r="J82" s="54" t="n"/>
      <c r="K82" s="56">
        <f>IF(SUM(U82:AY82)=0,"",SUM(U82:AY82))</f>
        <v/>
      </c>
      <c r="L82" s="57">
        <f>IFERROR(INDEX(U$2:AY$2,MATCH(TRUE,U82:AY82&lt;&gt;"",0)),"")</f>
        <v/>
      </c>
      <c r="M82" s="58">
        <f>IFERROR(LOOKUP(2,1/(U82:AY82&lt;&gt;""),U$2:AY$2),"")</f>
        <v/>
      </c>
      <c r="N82" s="59">
        <f>IF(OR(G82="",M82=""),"",G82-M82)</f>
        <v/>
      </c>
      <c r="O82" s="60" t="n"/>
      <c r="P82" s="61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  <c r="AG82" s="62" t="n"/>
      <c r="AH82" s="62" t="n"/>
      <c r="AI82" s="62" t="n"/>
      <c r="AJ82" s="62" t="n"/>
      <c r="AK82" s="62" t="n"/>
      <c r="AL82" s="62" t="n"/>
      <c r="AM82" s="62" t="n"/>
      <c r="AN82" s="62" t="n"/>
      <c r="AO82" s="62" t="n"/>
      <c r="AP82" s="62" t="n"/>
      <c r="AQ82" s="62" t="n"/>
      <c r="AR82" s="62" t="n"/>
      <c r="AS82" s="62" t="n"/>
      <c r="AT82" s="62" t="n"/>
      <c r="AU82" s="62" t="n"/>
      <c r="AV82" s="62" t="n"/>
      <c r="AW82" s="62" t="n"/>
      <c r="AX82" s="62" t="n"/>
      <c r="AY82" s="62" t="n"/>
    </row>
    <row r="83">
      <c r="A83" s="38">
        <f>IF(D83="","",COUNTA($D$71:D83))</f>
        <v/>
      </c>
      <c r="B83" s="52" t="n"/>
      <c r="C83" s="68" t="inlineStr">
        <is>
          <t>마케팅3팀</t>
        </is>
      </c>
      <c r="D83" s="52" t="n"/>
      <c r="E83" s="54" t="n"/>
      <c r="F83" s="52" t="n"/>
      <c r="G83" s="55" t="n"/>
      <c r="H83" s="54" t="n"/>
      <c r="I83" s="54" t="n"/>
      <c r="J83" s="54" t="n"/>
      <c r="K83" s="56">
        <f>IF(SUM(U83:AY83)=0,"",SUM(U83:AY83))</f>
        <v/>
      </c>
      <c r="L83" s="57">
        <f>IFERROR(INDEX(U$2:AY$2,MATCH(TRUE,U83:AY83&lt;&gt;"",0)),"")</f>
        <v/>
      </c>
      <c r="M83" s="58">
        <f>IFERROR(LOOKUP(2,1/(U83:AY83&lt;&gt;""),U$2:AY$2),"")</f>
        <v/>
      </c>
      <c r="N83" s="59">
        <f>IF(OR(G83="",M83=""),"",G83-M83)</f>
        <v/>
      </c>
      <c r="O83" s="60" t="n"/>
      <c r="P83" s="61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  <c r="AG83" s="62" t="n"/>
      <c r="AH83" s="62" t="n"/>
      <c r="AI83" s="62" t="n"/>
      <c r="AJ83" s="62" t="n"/>
      <c r="AK83" s="62" t="n"/>
      <c r="AL83" s="62" t="n"/>
      <c r="AM83" s="62" t="n"/>
      <c r="AN83" s="62" t="n"/>
      <c r="AO83" s="62" t="n"/>
      <c r="AP83" s="62" t="n"/>
      <c r="AQ83" s="62" t="n"/>
      <c r="AR83" s="62" t="n"/>
      <c r="AS83" s="62" t="n"/>
      <c r="AT83" s="62" t="n"/>
      <c r="AU83" s="62" t="n"/>
      <c r="AV83" s="62" t="n"/>
      <c r="AW83" s="62" t="n"/>
      <c r="AX83" s="62" t="n"/>
      <c r="AY83" s="62" t="n"/>
    </row>
    <row r="84">
      <c r="A84" s="38">
        <f>IF(D84="","",COUNTA($D$71:D84))</f>
        <v/>
      </c>
      <c r="B84" s="52" t="n"/>
      <c r="C84" s="68" t="inlineStr">
        <is>
          <t>마케팅3팀</t>
        </is>
      </c>
      <c r="D84" s="52" t="n"/>
      <c r="E84" s="54" t="n"/>
      <c r="F84" s="52" t="n"/>
      <c r="G84" s="55" t="n"/>
      <c r="H84" s="54" t="n"/>
      <c r="I84" s="54" t="n"/>
      <c r="J84" s="54" t="n"/>
      <c r="K84" s="56">
        <f>IF(SUM(U84:AY84)=0,"",SUM(U84:AY84))</f>
        <v/>
      </c>
      <c r="L84" s="57">
        <f>IFERROR(INDEX(U$2:AY$2,MATCH(TRUE,U84:AY84&lt;&gt;"",0)),"")</f>
        <v/>
      </c>
      <c r="M84" s="58">
        <f>IFERROR(LOOKUP(2,1/(U84:AY84&lt;&gt;""),U$2:AY$2),"")</f>
        <v/>
      </c>
      <c r="N84" s="59">
        <f>IF(OR(G84="",M84=""),"",G84-M84)</f>
        <v/>
      </c>
      <c r="O84" s="60" t="n"/>
      <c r="P84" s="61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  <c r="AG84" s="62" t="n"/>
      <c r="AH84" s="62" t="n"/>
      <c r="AI84" s="62" t="n"/>
      <c r="AJ84" s="62" t="n"/>
      <c r="AK84" s="62" t="n"/>
      <c r="AL84" s="62" t="n"/>
      <c r="AM84" s="62" t="n"/>
      <c r="AN84" s="62" t="n"/>
      <c r="AO84" s="62" t="n"/>
      <c r="AP84" s="62" t="n"/>
      <c r="AQ84" s="62" t="n"/>
      <c r="AR84" s="62" t="n"/>
      <c r="AS84" s="62" t="n"/>
      <c r="AT84" s="62" t="n"/>
      <c r="AU84" s="62" t="n"/>
      <c r="AV84" s="62" t="n"/>
      <c r="AW84" s="62" t="n"/>
      <c r="AX84" s="62" t="n"/>
      <c r="AY84" s="62" t="n"/>
    </row>
    <row r="85">
      <c r="A85" s="38">
        <f>IF(D85="","",COUNTA($D$71:D85))</f>
        <v/>
      </c>
      <c r="B85" s="52" t="n"/>
      <c r="C85" s="68" t="inlineStr">
        <is>
          <t>마케팅3팀</t>
        </is>
      </c>
      <c r="D85" s="52" t="n"/>
      <c r="E85" s="54" t="n"/>
      <c r="F85" s="52" t="n"/>
      <c r="G85" s="55" t="n"/>
      <c r="H85" s="54" t="n"/>
      <c r="I85" s="54" t="n"/>
      <c r="J85" s="54" t="n"/>
      <c r="K85" s="56">
        <f>IF(SUM(U85:AY85)=0,"",SUM(U85:AY85))</f>
        <v/>
      </c>
      <c r="L85" s="57">
        <f>IFERROR(INDEX(U$2:AY$2,MATCH(TRUE,U85:AY85&lt;&gt;"",0)),"")</f>
        <v/>
      </c>
      <c r="M85" s="58">
        <f>IFERROR(LOOKUP(2,1/(U85:AY85&lt;&gt;""),U$2:AY$2),"")</f>
        <v/>
      </c>
      <c r="N85" s="59">
        <f>IF(OR(G85="",M85=""),"",G85-M85)</f>
        <v/>
      </c>
      <c r="O85" s="60" t="n"/>
      <c r="P85" s="61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  <c r="AG85" s="62" t="n"/>
      <c r="AH85" s="62" t="n"/>
      <c r="AI85" s="62" t="n"/>
      <c r="AJ85" s="62" t="n"/>
      <c r="AK85" s="62" t="n"/>
      <c r="AL85" s="62" t="n"/>
      <c r="AM85" s="62" t="n"/>
      <c r="AN85" s="62" t="n"/>
      <c r="AO85" s="62" t="n"/>
      <c r="AP85" s="62" t="n"/>
      <c r="AQ85" s="62" t="n"/>
      <c r="AR85" s="62" t="n"/>
      <c r="AS85" s="62" t="n"/>
      <c r="AT85" s="62" t="n"/>
      <c r="AU85" s="62" t="n"/>
      <c r="AV85" s="62" t="n"/>
      <c r="AW85" s="62" t="n"/>
      <c r="AX85" s="62" t="n"/>
      <c r="AY85" s="62" t="n"/>
    </row>
    <row r="86">
      <c r="A86" s="38">
        <f>IF(D86="","",COUNTA($D$71:D86))</f>
        <v/>
      </c>
      <c r="B86" s="52" t="n"/>
      <c r="C86" s="68" t="inlineStr">
        <is>
          <t>마케팅3팀</t>
        </is>
      </c>
      <c r="D86" s="52" t="n"/>
      <c r="E86" s="54" t="n"/>
      <c r="F86" s="52" t="n"/>
      <c r="G86" s="55" t="n"/>
      <c r="H86" s="54" t="n"/>
      <c r="I86" s="54" t="n"/>
      <c r="J86" s="54" t="n"/>
      <c r="K86" s="56">
        <f>IF(SUM(U86:AY86)=0,"",SUM(U86:AY86))</f>
        <v/>
      </c>
      <c r="L86" s="57">
        <f>IFERROR(INDEX(U$2:AY$2,MATCH(TRUE,U86:AY86&lt;&gt;"",0)),"")</f>
        <v/>
      </c>
      <c r="M86" s="58">
        <f>IFERROR(LOOKUP(2,1/(U86:AY86&lt;&gt;""),U$2:AY$2),"")</f>
        <v/>
      </c>
      <c r="N86" s="59">
        <f>IF(OR(G86="",M86=""),"",G86-M86)</f>
        <v/>
      </c>
      <c r="O86" s="60" t="n"/>
      <c r="P86" s="61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  <c r="AG86" s="62" t="n"/>
      <c r="AH86" s="62" t="n"/>
      <c r="AI86" s="62" t="n"/>
      <c r="AJ86" s="62" t="n"/>
      <c r="AK86" s="62" t="n"/>
      <c r="AL86" s="62" t="n"/>
      <c r="AM86" s="62" t="n"/>
      <c r="AN86" s="62" t="n"/>
      <c r="AO86" s="62" t="n"/>
      <c r="AP86" s="62" t="n"/>
      <c r="AQ86" s="62" t="n"/>
      <c r="AR86" s="62" t="n"/>
      <c r="AS86" s="62" t="n"/>
      <c r="AT86" s="62" t="n"/>
      <c r="AU86" s="62" t="n"/>
      <c r="AV86" s="62" t="n"/>
      <c r="AW86" s="62" t="n"/>
      <c r="AX86" s="62" t="n"/>
      <c r="AY86" s="62" t="n"/>
    </row>
    <row r="87">
      <c r="A87" s="38">
        <f>IF(D87="","",COUNTA($D$71:D87))</f>
        <v/>
      </c>
      <c r="B87" s="52" t="n"/>
      <c r="C87" s="68" t="inlineStr">
        <is>
          <t>마케팅3팀</t>
        </is>
      </c>
      <c r="D87" s="52" t="n"/>
      <c r="E87" s="54" t="n"/>
      <c r="F87" s="52" t="n"/>
      <c r="G87" s="55" t="n"/>
      <c r="H87" s="54" t="n"/>
      <c r="I87" s="54" t="n"/>
      <c r="J87" s="54" t="n"/>
      <c r="K87" s="56">
        <f>IF(SUM(U87:AY87)=0,"",SUM(U87:AY87))</f>
        <v/>
      </c>
      <c r="L87" s="57">
        <f>IFERROR(INDEX(U$2:AY$2,MATCH(TRUE,U87:AY87&lt;&gt;"",0)),"")</f>
        <v/>
      </c>
      <c r="M87" s="58">
        <f>IFERROR(LOOKUP(2,1/(U87:AY87&lt;&gt;""),U$2:AY$2),"")</f>
        <v/>
      </c>
      <c r="N87" s="59">
        <f>IF(OR(G87="",M87=""),"",G87-M87)</f>
        <v/>
      </c>
      <c r="O87" s="60" t="n"/>
      <c r="P87" s="61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  <c r="AG87" s="62" t="n"/>
      <c r="AH87" s="62" t="n"/>
      <c r="AI87" s="62" t="n"/>
      <c r="AJ87" s="62" t="n"/>
      <c r="AK87" s="62" t="n"/>
      <c r="AL87" s="62" t="n"/>
      <c r="AM87" s="62" t="n"/>
      <c r="AN87" s="62" t="n"/>
      <c r="AO87" s="62" t="n"/>
      <c r="AP87" s="62" t="n"/>
      <c r="AQ87" s="62" t="n"/>
      <c r="AR87" s="62" t="n"/>
      <c r="AS87" s="62" t="n"/>
      <c r="AT87" s="62" t="n"/>
      <c r="AU87" s="62" t="n"/>
      <c r="AV87" s="62" t="n"/>
      <c r="AW87" s="62" t="n"/>
      <c r="AX87" s="62" t="n"/>
      <c r="AY87" s="62" t="n"/>
    </row>
    <row r="88">
      <c r="A88" s="38">
        <f>IF(D88="","",COUNTA($D$71:D88))</f>
        <v/>
      </c>
      <c r="B88" s="52" t="n"/>
      <c r="C88" s="68" t="inlineStr">
        <is>
          <t>마케팅3팀</t>
        </is>
      </c>
      <c r="D88" s="52" t="n"/>
      <c r="E88" s="54" t="n"/>
      <c r="F88" s="52" t="n"/>
      <c r="G88" s="55" t="n"/>
      <c r="H88" s="54" t="n"/>
      <c r="I88" s="54" t="n"/>
      <c r="J88" s="54" t="n"/>
      <c r="K88" s="56">
        <f>IF(SUM(U88:AY88)=0,"",SUM(U88:AY88))</f>
        <v/>
      </c>
      <c r="L88" s="57">
        <f>IFERROR(INDEX(U$2:AY$2,MATCH(TRUE,U88:AY88&lt;&gt;"",0)),"")</f>
        <v/>
      </c>
      <c r="M88" s="58">
        <f>IFERROR(LOOKUP(2,1/(U88:AY88&lt;&gt;""),U$2:AY$2),"")</f>
        <v/>
      </c>
      <c r="N88" s="59">
        <f>IF(OR(G88="",M88=""),"",G88-M88)</f>
        <v/>
      </c>
      <c r="O88" s="60" t="n"/>
      <c r="P88" s="61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  <c r="AG88" s="62" t="n"/>
      <c r="AH88" s="62" t="n"/>
      <c r="AI88" s="62" t="n"/>
      <c r="AJ88" s="62" t="n"/>
      <c r="AK88" s="62" t="n"/>
      <c r="AL88" s="62" t="n"/>
      <c r="AM88" s="62" t="n"/>
      <c r="AN88" s="62" t="n"/>
      <c r="AO88" s="62" t="n"/>
      <c r="AP88" s="62" t="n"/>
      <c r="AQ88" s="62" t="n"/>
      <c r="AR88" s="62" t="n"/>
      <c r="AS88" s="62" t="n"/>
      <c r="AT88" s="62" t="n"/>
      <c r="AU88" s="62" t="n"/>
      <c r="AV88" s="62" t="n"/>
      <c r="AW88" s="62" t="n"/>
      <c r="AX88" s="62" t="n"/>
      <c r="AY88" s="62" t="n"/>
    </row>
    <row r="89">
      <c r="A89" s="38">
        <f>IF(D89="","",COUNTA($D$71:D89))</f>
        <v/>
      </c>
      <c r="B89" s="52" t="n"/>
      <c r="C89" s="68" t="inlineStr">
        <is>
          <t>마케팅3팀</t>
        </is>
      </c>
      <c r="D89" s="52" t="n"/>
      <c r="E89" s="54" t="n"/>
      <c r="F89" s="52" t="n"/>
      <c r="G89" s="55" t="n"/>
      <c r="H89" s="54" t="n"/>
      <c r="I89" s="54" t="n"/>
      <c r="J89" s="54" t="n"/>
      <c r="K89" s="56">
        <f>IF(SUM(U89:AY89)=0,"",SUM(U89:AY89))</f>
        <v/>
      </c>
      <c r="L89" s="57">
        <f>IFERROR(INDEX(U$2:AY$2,MATCH(TRUE,U89:AY89&lt;&gt;"",0)),"")</f>
        <v/>
      </c>
      <c r="M89" s="58">
        <f>IFERROR(LOOKUP(2,1/(U89:AY89&lt;&gt;""),U$2:AY$2),"")</f>
        <v/>
      </c>
      <c r="N89" s="59">
        <f>IF(OR(G89="",M89=""),"",G89-M89)</f>
        <v/>
      </c>
      <c r="O89" s="60" t="n"/>
      <c r="P89" s="61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  <c r="AG89" s="62" t="n"/>
      <c r="AH89" s="62" t="n"/>
      <c r="AI89" s="62" t="n"/>
      <c r="AJ89" s="62" t="n"/>
      <c r="AK89" s="62" t="n"/>
      <c r="AL89" s="62" t="n"/>
      <c r="AM89" s="62" t="n"/>
      <c r="AN89" s="62" t="n"/>
      <c r="AO89" s="62" t="n"/>
      <c r="AP89" s="62" t="n"/>
      <c r="AQ89" s="62" t="n"/>
      <c r="AR89" s="62" t="n"/>
      <c r="AS89" s="62" t="n"/>
      <c r="AT89" s="62" t="n"/>
      <c r="AU89" s="62" t="n"/>
      <c r="AV89" s="62" t="n"/>
      <c r="AW89" s="62" t="n"/>
      <c r="AX89" s="62" t="n"/>
      <c r="AY89" s="62" t="n"/>
    </row>
    <row r="90">
      <c r="A90" s="38">
        <f>IF(D90="","",COUNTA($D$71:D90))</f>
        <v/>
      </c>
      <c r="B90" s="52" t="n"/>
      <c r="C90" s="68" t="inlineStr">
        <is>
          <t>마케팅3팀</t>
        </is>
      </c>
      <c r="D90" s="52" t="n"/>
      <c r="E90" s="54" t="n"/>
      <c r="F90" s="52" t="n"/>
      <c r="G90" s="55" t="n"/>
      <c r="H90" s="54" t="n"/>
      <c r="I90" s="54" t="n"/>
      <c r="J90" s="54" t="n"/>
      <c r="K90" s="56">
        <f>IF(SUM(U90:AY90)=0,"",SUM(U90:AY90))</f>
        <v/>
      </c>
      <c r="L90" s="57">
        <f>IFERROR(INDEX(U$2:AY$2,MATCH(TRUE,U90:AY90&lt;&gt;"",0)),"")</f>
        <v/>
      </c>
      <c r="M90" s="58">
        <f>IFERROR(LOOKUP(2,1/(U90:AY90&lt;&gt;""),U$2:AY$2),"")</f>
        <v/>
      </c>
      <c r="N90" s="59">
        <f>IF(OR(G90="",M90=""),"",G90-M90)</f>
        <v/>
      </c>
      <c r="O90" s="60" t="n"/>
      <c r="P90" s="61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  <c r="AG90" s="62" t="n"/>
      <c r="AH90" s="62" t="n"/>
      <c r="AI90" s="62" t="n"/>
      <c r="AJ90" s="62" t="n"/>
      <c r="AK90" s="62" t="n"/>
      <c r="AL90" s="62" t="n"/>
      <c r="AM90" s="62" t="n"/>
      <c r="AN90" s="62" t="n"/>
      <c r="AO90" s="62" t="n"/>
      <c r="AP90" s="62" t="n"/>
      <c r="AQ90" s="62" t="n"/>
      <c r="AR90" s="62" t="n"/>
      <c r="AS90" s="62" t="n"/>
      <c r="AT90" s="62" t="n"/>
      <c r="AU90" s="62" t="n"/>
      <c r="AV90" s="62" t="n"/>
      <c r="AW90" s="62" t="n"/>
      <c r="AX90" s="62" t="n"/>
      <c r="AY90" s="62" t="n"/>
    </row>
    <row r="91">
      <c r="A91" s="38">
        <f>IF(D91="","",COUNTA($D$71:D91))</f>
        <v/>
      </c>
      <c r="B91" s="52" t="n"/>
      <c r="C91" s="68" t="inlineStr">
        <is>
          <t>마케팅3팀</t>
        </is>
      </c>
      <c r="D91" s="52" t="n"/>
      <c r="E91" s="54" t="n"/>
      <c r="F91" s="52" t="n"/>
      <c r="G91" s="55" t="n"/>
      <c r="H91" s="54" t="n"/>
      <c r="I91" s="54" t="n"/>
      <c r="J91" s="54" t="n"/>
      <c r="K91" s="56">
        <f>IF(SUM(U91:AY91)=0,"",SUM(U91:AY91))</f>
        <v/>
      </c>
      <c r="L91" s="57">
        <f>IFERROR(INDEX(U$2:AY$2,MATCH(TRUE,U91:AY91&lt;&gt;"",0)),"")</f>
        <v/>
      </c>
      <c r="M91" s="58">
        <f>IFERROR(LOOKUP(2,1/(U91:AY91&lt;&gt;""),U$2:AY$2),"")</f>
        <v/>
      </c>
      <c r="N91" s="59">
        <f>IF(OR(G91="",M91=""),"",G91-M91)</f>
        <v/>
      </c>
      <c r="O91" s="60" t="n"/>
      <c r="P91" s="61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  <c r="AG91" s="62" t="n"/>
      <c r="AH91" s="62" t="n"/>
      <c r="AI91" s="62" t="n"/>
      <c r="AJ91" s="62" t="n"/>
      <c r="AK91" s="62" t="n"/>
      <c r="AL91" s="62" t="n"/>
      <c r="AM91" s="62" t="n"/>
      <c r="AN91" s="62" t="n"/>
      <c r="AO91" s="62" t="n"/>
      <c r="AP91" s="62" t="n"/>
      <c r="AQ91" s="62" t="n"/>
      <c r="AR91" s="62" t="n"/>
      <c r="AS91" s="62" t="n"/>
      <c r="AT91" s="62" t="n"/>
      <c r="AU91" s="62" t="n"/>
      <c r="AV91" s="62" t="n"/>
      <c r="AW91" s="62" t="n"/>
      <c r="AX91" s="62" t="n"/>
      <c r="AY91" s="62" t="n"/>
    </row>
    <row r="92">
      <c r="A92" s="38">
        <f>IF(D92="","",COUNTA($D$71:D92))</f>
        <v/>
      </c>
      <c r="B92" s="52" t="n"/>
      <c r="C92" s="68" t="inlineStr">
        <is>
          <t>마케팅3팀</t>
        </is>
      </c>
      <c r="D92" s="52" t="n"/>
      <c r="E92" s="54" t="n"/>
      <c r="F92" s="52" t="n"/>
      <c r="G92" s="55" t="n"/>
      <c r="H92" s="54" t="n"/>
      <c r="I92" s="54" t="n"/>
      <c r="J92" s="54" t="n"/>
      <c r="K92" s="56">
        <f>IF(SUM(U92:AY92)=0,"",SUM(U92:AY92))</f>
        <v/>
      </c>
      <c r="L92" s="57">
        <f>IFERROR(INDEX(U$2:AY$2,MATCH(TRUE,U92:AY92&lt;&gt;"",0)),"")</f>
        <v/>
      </c>
      <c r="M92" s="58">
        <f>IFERROR(LOOKUP(2,1/(U92:AY92&lt;&gt;""),U$2:AY$2),"")</f>
        <v/>
      </c>
      <c r="N92" s="59">
        <f>IF(OR(G92="",M92=""),"",G92-M92)</f>
        <v/>
      </c>
      <c r="O92" s="60" t="n"/>
      <c r="P92" s="61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  <c r="AG92" s="62" t="n"/>
      <c r="AH92" s="62" t="n"/>
      <c r="AI92" s="62" t="n"/>
      <c r="AJ92" s="62" t="n"/>
      <c r="AK92" s="62" t="n"/>
      <c r="AL92" s="62" t="n"/>
      <c r="AM92" s="62" t="n"/>
      <c r="AN92" s="62" t="n"/>
      <c r="AO92" s="62" t="n"/>
      <c r="AP92" s="62" t="n"/>
      <c r="AQ92" s="62" t="n"/>
      <c r="AR92" s="62" t="n"/>
      <c r="AS92" s="62" t="n"/>
      <c r="AT92" s="62" t="n"/>
      <c r="AU92" s="62" t="n"/>
      <c r="AV92" s="62" t="n"/>
      <c r="AW92" s="62" t="n"/>
      <c r="AX92" s="62" t="n"/>
      <c r="AY92" s="62" t="n"/>
    </row>
    <row r="93">
      <c r="A93" s="38">
        <f>IF(D93="","",COUNTA($D$71:D93))</f>
        <v/>
      </c>
      <c r="B93" s="52" t="n"/>
      <c r="C93" s="68" t="inlineStr">
        <is>
          <t>마케팅3팀</t>
        </is>
      </c>
      <c r="D93" s="52" t="n"/>
      <c r="E93" s="54" t="n"/>
      <c r="F93" s="52" t="n"/>
      <c r="G93" s="55" t="n"/>
      <c r="H93" s="54" t="n"/>
      <c r="I93" s="54" t="n"/>
      <c r="J93" s="54" t="n"/>
      <c r="K93" s="56">
        <f>IF(SUM(U93:AY93)=0,"",SUM(U93:AY93))</f>
        <v/>
      </c>
      <c r="L93" s="57">
        <f>IFERROR(INDEX(U$2:AY$2,MATCH(TRUE,U93:AY93&lt;&gt;"",0)),"")</f>
        <v/>
      </c>
      <c r="M93" s="58">
        <f>IFERROR(LOOKUP(2,1/(U93:AY93&lt;&gt;""),U$2:AY$2),"")</f>
        <v/>
      </c>
      <c r="N93" s="59">
        <f>IF(OR(G93="",M93=""),"",G93-M93)</f>
        <v/>
      </c>
      <c r="O93" s="60" t="n"/>
      <c r="P93" s="61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  <c r="AG93" s="62" t="n"/>
      <c r="AH93" s="62" t="n"/>
      <c r="AI93" s="62" t="n"/>
      <c r="AJ93" s="62" t="n"/>
      <c r="AK93" s="62" t="n"/>
      <c r="AL93" s="62" t="n"/>
      <c r="AM93" s="62" t="n"/>
      <c r="AN93" s="62" t="n"/>
      <c r="AO93" s="62" t="n"/>
      <c r="AP93" s="62" t="n"/>
      <c r="AQ93" s="62" t="n"/>
      <c r="AR93" s="62" t="n"/>
      <c r="AS93" s="62" t="n"/>
      <c r="AT93" s="62" t="n"/>
      <c r="AU93" s="62" t="n"/>
      <c r="AV93" s="62" t="n"/>
      <c r="AW93" s="62" t="n"/>
      <c r="AX93" s="62" t="n"/>
      <c r="AY93" s="62" t="n"/>
    </row>
    <row r="94">
      <c r="A94" s="38">
        <f>IF(D94="","",COUNTA($D$71:D94))</f>
        <v/>
      </c>
      <c r="B94" s="52" t="n"/>
      <c r="C94" s="68" t="inlineStr">
        <is>
          <t>마케팅3팀</t>
        </is>
      </c>
      <c r="D94" s="52" t="n"/>
      <c r="E94" s="54" t="n"/>
      <c r="F94" s="52" t="n"/>
      <c r="G94" s="55" t="n"/>
      <c r="H94" s="54" t="n"/>
      <c r="I94" s="54" t="n"/>
      <c r="J94" s="54" t="n"/>
      <c r="K94" s="56">
        <f>IF(SUM(U94:AY94)=0,"",SUM(U94:AY94))</f>
        <v/>
      </c>
      <c r="L94" s="57">
        <f>IFERROR(INDEX(U$2:AY$2,MATCH(TRUE,U94:AY94&lt;&gt;"",0)),"")</f>
        <v/>
      </c>
      <c r="M94" s="58">
        <f>IFERROR(LOOKUP(2,1/(U94:AY94&lt;&gt;""),U$2:AY$2),"")</f>
        <v/>
      </c>
      <c r="N94" s="59">
        <f>IF(OR(G94="",M94=""),"",G94-M94)</f>
        <v/>
      </c>
      <c r="O94" s="60" t="n"/>
      <c r="P94" s="61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  <c r="AG94" s="62" t="n"/>
      <c r="AH94" s="62" t="n"/>
      <c r="AI94" s="62" t="n"/>
      <c r="AJ94" s="62" t="n"/>
      <c r="AK94" s="62" t="n"/>
      <c r="AL94" s="62" t="n"/>
      <c r="AM94" s="62" t="n"/>
      <c r="AN94" s="62" t="n"/>
      <c r="AO94" s="62" t="n"/>
      <c r="AP94" s="62" t="n"/>
      <c r="AQ94" s="62" t="n"/>
      <c r="AR94" s="62" t="n"/>
      <c r="AS94" s="62" t="n"/>
      <c r="AT94" s="62" t="n"/>
      <c r="AU94" s="62" t="n"/>
      <c r="AV94" s="62" t="n"/>
      <c r="AW94" s="62" t="n"/>
      <c r="AX94" s="62" t="n"/>
      <c r="AY94" s="62" t="n"/>
    </row>
    <row r="95">
      <c r="A95" s="38">
        <f>IF(D95="","",COUNTA($D$71:D95))</f>
        <v/>
      </c>
      <c r="B95" s="52" t="n"/>
      <c r="C95" s="68" t="inlineStr">
        <is>
          <t>마케팅3팀</t>
        </is>
      </c>
      <c r="D95" s="52" t="n"/>
      <c r="E95" s="54" t="n"/>
      <c r="F95" s="52" t="n"/>
      <c r="G95" s="55" t="n"/>
      <c r="H95" s="54" t="n"/>
      <c r="I95" s="54" t="n"/>
      <c r="J95" s="54" t="n"/>
      <c r="K95" s="56">
        <f>IF(SUM(U95:AY95)=0,"",SUM(U95:AY95))</f>
        <v/>
      </c>
      <c r="L95" s="57">
        <f>IFERROR(INDEX(U$2:AY$2,MATCH(TRUE,U95:AY95&lt;&gt;"",0)),"")</f>
        <v/>
      </c>
      <c r="M95" s="58">
        <f>IFERROR(LOOKUP(2,1/(U95:AY95&lt;&gt;""),U$2:AY$2),"")</f>
        <v/>
      </c>
      <c r="N95" s="59">
        <f>IF(OR(G95="",M95=""),"",G95-M95)</f>
        <v/>
      </c>
      <c r="O95" s="60" t="n"/>
      <c r="P95" s="61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  <c r="AG95" s="62" t="n"/>
      <c r="AH95" s="62" t="n"/>
      <c r="AI95" s="62" t="n"/>
      <c r="AJ95" s="62" t="n"/>
      <c r="AK95" s="62" t="n"/>
      <c r="AL95" s="62" t="n"/>
      <c r="AM95" s="62" t="n"/>
      <c r="AN95" s="62" t="n"/>
      <c r="AO95" s="62" t="n"/>
      <c r="AP95" s="62" t="n"/>
      <c r="AQ95" s="62" t="n"/>
      <c r="AR95" s="62" t="n"/>
      <c r="AS95" s="62" t="n"/>
      <c r="AT95" s="62" t="n"/>
      <c r="AU95" s="62" t="n"/>
      <c r="AV95" s="62" t="n"/>
      <c r="AW95" s="62" t="n"/>
      <c r="AX95" s="62" t="n"/>
      <c r="AY95" s="62" t="n"/>
    </row>
    <row r="96">
      <c r="A96" s="38">
        <f>IF(D96="","",COUNTA($D$71:D96))</f>
        <v/>
      </c>
      <c r="B96" s="52" t="n"/>
      <c r="C96" s="68" t="inlineStr">
        <is>
          <t>마케팅3팀</t>
        </is>
      </c>
      <c r="D96" s="52" t="n"/>
      <c r="E96" s="54" t="n"/>
      <c r="F96" s="52" t="n"/>
      <c r="G96" s="55" t="n"/>
      <c r="H96" s="54" t="n"/>
      <c r="I96" s="54" t="n"/>
      <c r="J96" s="54" t="n"/>
      <c r="K96" s="56">
        <f>IF(SUM(U96:AY96)=0,"",SUM(U96:AY96))</f>
        <v/>
      </c>
      <c r="L96" s="57">
        <f>IFERROR(INDEX(U$2:AY$2,MATCH(TRUE,U96:AY96&lt;&gt;"",0)),"")</f>
        <v/>
      </c>
      <c r="M96" s="58">
        <f>IFERROR(LOOKUP(2,1/(U96:AY96&lt;&gt;""),U$2:AY$2),"")</f>
        <v/>
      </c>
      <c r="N96" s="59">
        <f>IF(OR(G96="",M96=""),"",G96-M96)</f>
        <v/>
      </c>
      <c r="O96" s="60" t="n"/>
      <c r="P96" s="61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  <c r="AG96" s="62" t="n"/>
      <c r="AH96" s="62" t="n"/>
      <c r="AI96" s="62" t="n"/>
      <c r="AJ96" s="62" t="n"/>
      <c r="AK96" s="62" t="n"/>
      <c r="AL96" s="62" t="n"/>
      <c r="AM96" s="62" t="n"/>
      <c r="AN96" s="62" t="n"/>
      <c r="AO96" s="62" t="n"/>
      <c r="AP96" s="62" t="n"/>
      <c r="AQ96" s="62" t="n"/>
      <c r="AR96" s="62" t="n"/>
      <c r="AS96" s="62" t="n"/>
      <c r="AT96" s="62" t="n"/>
      <c r="AU96" s="62" t="n"/>
      <c r="AV96" s="62" t="n"/>
      <c r="AW96" s="62" t="n"/>
      <c r="AX96" s="62" t="n"/>
      <c r="AY96" s="62" t="n"/>
    </row>
    <row r="97">
      <c r="A97" s="38">
        <f>IF(D97="","",COUNTA($D$71:D97))</f>
        <v/>
      </c>
      <c r="B97" s="52" t="n"/>
      <c r="C97" s="68" t="inlineStr">
        <is>
          <t>마케팅3팀</t>
        </is>
      </c>
      <c r="D97" s="52" t="n"/>
      <c r="E97" s="54" t="n"/>
      <c r="F97" s="52" t="n"/>
      <c r="G97" s="55" t="n"/>
      <c r="H97" s="54" t="n"/>
      <c r="I97" s="54" t="n"/>
      <c r="J97" s="54" t="n"/>
      <c r="K97" s="56">
        <f>IF(SUM(U97:AY97)=0,"",SUM(U97:AY97))</f>
        <v/>
      </c>
      <c r="L97" s="57">
        <f>IFERROR(INDEX(U$2:AY$2,MATCH(TRUE,U97:AY97&lt;&gt;"",0)),"")</f>
        <v/>
      </c>
      <c r="M97" s="58">
        <f>IFERROR(LOOKUP(2,1/(U97:AY97&lt;&gt;""),U$2:AY$2),"")</f>
        <v/>
      </c>
      <c r="N97" s="59">
        <f>IF(OR(G97="",M97=""),"",G97-M97)</f>
        <v/>
      </c>
      <c r="O97" s="60" t="n"/>
      <c r="P97" s="61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  <c r="AG97" s="62" t="n"/>
      <c r="AH97" s="62" t="n"/>
      <c r="AI97" s="62" t="n"/>
      <c r="AJ97" s="62" t="n"/>
      <c r="AK97" s="62" t="n"/>
      <c r="AL97" s="62" t="n"/>
      <c r="AM97" s="62" t="n"/>
      <c r="AN97" s="62" t="n"/>
      <c r="AO97" s="62" t="n"/>
      <c r="AP97" s="62" t="n"/>
      <c r="AQ97" s="62" t="n"/>
      <c r="AR97" s="62" t="n"/>
      <c r="AS97" s="62" t="n"/>
      <c r="AT97" s="62" t="n"/>
      <c r="AU97" s="62" t="n"/>
      <c r="AV97" s="62" t="n"/>
      <c r="AW97" s="62" t="n"/>
      <c r="AX97" s="62" t="n"/>
      <c r="AY97" s="62" t="n"/>
    </row>
    <row r="98">
      <c r="A98" s="38">
        <f>IF(D98="","",COUNTA($D$71:D98))</f>
        <v/>
      </c>
      <c r="B98" s="52" t="n"/>
      <c r="C98" s="68" t="inlineStr">
        <is>
          <t>마케팅3팀</t>
        </is>
      </c>
      <c r="D98" s="52" t="n"/>
      <c r="E98" s="54" t="n"/>
      <c r="F98" s="52" t="n"/>
      <c r="G98" s="55" t="n"/>
      <c r="H98" s="54" t="n"/>
      <c r="I98" s="54" t="n"/>
      <c r="J98" s="54" t="n"/>
      <c r="K98" s="56">
        <f>IF(SUM(U98:AY98)=0,"",SUM(U98:AY98))</f>
        <v/>
      </c>
      <c r="L98" s="57">
        <f>IFERROR(INDEX(U$2:AY$2,MATCH(TRUE,U98:AY98&lt;&gt;"",0)),"")</f>
        <v/>
      </c>
      <c r="M98" s="58">
        <f>IFERROR(LOOKUP(2,1/(U98:AY98&lt;&gt;""),U$2:AY$2),"")</f>
        <v/>
      </c>
      <c r="N98" s="59">
        <f>IF(OR(G98="",M98=""),"",G98-M98)</f>
        <v/>
      </c>
      <c r="O98" s="60" t="n"/>
      <c r="P98" s="61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  <c r="AG98" s="62" t="n"/>
      <c r="AH98" s="62" t="n"/>
      <c r="AI98" s="62" t="n"/>
      <c r="AJ98" s="62" t="n"/>
      <c r="AK98" s="62" t="n"/>
      <c r="AL98" s="62" t="n"/>
      <c r="AM98" s="62" t="n"/>
      <c r="AN98" s="62" t="n"/>
      <c r="AO98" s="62" t="n"/>
      <c r="AP98" s="62" t="n"/>
      <c r="AQ98" s="62" t="n"/>
      <c r="AR98" s="62" t="n"/>
      <c r="AS98" s="62" t="n"/>
      <c r="AT98" s="62" t="n"/>
      <c r="AU98" s="62" t="n"/>
      <c r="AV98" s="62" t="n"/>
      <c r="AW98" s="62" t="n"/>
      <c r="AX98" s="62" t="n"/>
      <c r="AY98" s="62" t="n"/>
    </row>
    <row r="99">
      <c r="A99" s="38">
        <f>IF(D99="","",COUNTA($D$71:D99))</f>
        <v/>
      </c>
      <c r="B99" s="52" t="n"/>
      <c r="C99" s="68" t="inlineStr">
        <is>
          <t>마케팅3팀</t>
        </is>
      </c>
      <c r="D99" s="52" t="n"/>
      <c r="E99" s="54" t="n"/>
      <c r="F99" s="52" t="n"/>
      <c r="G99" s="55" t="n"/>
      <c r="H99" s="54" t="n"/>
      <c r="I99" s="54" t="n"/>
      <c r="J99" s="54" t="n"/>
      <c r="K99" s="56">
        <f>IF(SUM(U99:AY99)=0,"",SUM(U99:AY99))</f>
        <v/>
      </c>
      <c r="L99" s="57">
        <f>IFERROR(INDEX(U$2:AY$2,MATCH(TRUE,U99:AY99&lt;&gt;"",0)),"")</f>
        <v/>
      </c>
      <c r="M99" s="58">
        <f>IFERROR(LOOKUP(2,1/(U99:AY99&lt;&gt;""),U$2:AY$2),"")</f>
        <v/>
      </c>
      <c r="N99" s="59">
        <f>IF(OR(G99="",M99=""),"",G99-M99)</f>
        <v/>
      </c>
      <c r="O99" s="60" t="n"/>
      <c r="P99" s="61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  <c r="AG99" s="62" t="n"/>
      <c r="AH99" s="62" t="n"/>
      <c r="AI99" s="62" t="n"/>
      <c r="AJ99" s="62" t="n"/>
      <c r="AK99" s="62" t="n"/>
      <c r="AL99" s="62" t="n"/>
      <c r="AM99" s="62" t="n"/>
      <c r="AN99" s="62" t="n"/>
      <c r="AO99" s="62" t="n"/>
      <c r="AP99" s="62" t="n"/>
      <c r="AQ99" s="62" t="n"/>
      <c r="AR99" s="62" t="n"/>
      <c r="AS99" s="62" t="n"/>
      <c r="AT99" s="62" t="n"/>
      <c r="AU99" s="62" t="n"/>
      <c r="AV99" s="62" t="n"/>
      <c r="AW99" s="62" t="n"/>
      <c r="AX99" s="62" t="n"/>
      <c r="AY99" s="62" t="n"/>
    </row>
    <row r="100">
      <c r="A100" s="38">
        <f>IF(D100="","",COUNTA($D$71:D100))</f>
        <v/>
      </c>
      <c r="B100" s="52" t="n"/>
      <c r="C100" s="68" t="inlineStr">
        <is>
          <t>마케팅3팀</t>
        </is>
      </c>
      <c r="D100" s="52" t="n"/>
      <c r="E100" s="54" t="n"/>
      <c r="F100" s="52" t="n"/>
      <c r="G100" s="55" t="n"/>
      <c r="H100" s="54" t="n"/>
      <c r="I100" s="54" t="n"/>
      <c r="J100" s="54" t="n"/>
      <c r="K100" s="56">
        <f>IF(SUM(U100:AY100)=0,"",SUM(U100:AY100))</f>
        <v/>
      </c>
      <c r="L100" s="57">
        <f>IFERROR(INDEX(U$2:AY$2,MATCH(TRUE,U100:AY100&lt;&gt;"",0)),"")</f>
        <v/>
      </c>
      <c r="M100" s="58">
        <f>IFERROR(LOOKUP(2,1/(U100:AY100&lt;&gt;""),U$2:AY$2),"")</f>
        <v/>
      </c>
      <c r="N100" s="59">
        <f>IF(OR(G100="",M100=""),"",G100-M100)</f>
        <v/>
      </c>
      <c r="O100" s="60" t="n"/>
      <c r="P100" s="61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  <c r="AG100" s="62" t="n"/>
      <c r="AH100" s="62" t="n"/>
      <c r="AI100" s="62" t="n"/>
      <c r="AJ100" s="62" t="n"/>
      <c r="AK100" s="62" t="n"/>
      <c r="AL100" s="62" t="n"/>
      <c r="AM100" s="62" t="n"/>
      <c r="AN100" s="62" t="n"/>
      <c r="AO100" s="62" t="n"/>
      <c r="AP100" s="62" t="n"/>
      <c r="AQ100" s="62" t="n"/>
      <c r="AR100" s="62" t="n"/>
      <c r="AS100" s="62" t="n"/>
      <c r="AT100" s="62" t="n"/>
      <c r="AU100" s="62" t="n"/>
      <c r="AV100" s="62" t="n"/>
      <c r="AW100" s="62" t="n"/>
      <c r="AX100" s="62" t="n"/>
      <c r="AY100" s="62" t="n"/>
    </row>
    <row r="101">
      <c r="A101" s="69" t="inlineStr">
        <is>
          <t>마케팅4팀  (102~131행)</t>
        </is>
      </c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  <c r="AJ101" s="70" t="n"/>
      <c r="AK101" s="70" t="n"/>
      <c r="AL101" s="70" t="n"/>
      <c r="AM101" s="70" t="n"/>
      <c r="AN101" s="70" t="n"/>
      <c r="AO101" s="70" t="n"/>
      <c r="AP101" s="70" t="n"/>
      <c r="AQ101" s="70" t="n"/>
      <c r="AR101" s="70" t="n"/>
      <c r="AS101" s="70" t="n"/>
      <c r="AT101" s="70" t="n"/>
      <c r="AU101" s="70" t="n"/>
      <c r="AV101" s="70" t="n"/>
      <c r="AW101" s="70" t="n"/>
      <c r="AX101" s="70" t="n"/>
      <c r="AY101" s="70" t="n"/>
    </row>
    <row r="102">
      <c r="A102" s="38">
        <f>IF(D102="","",COUNTA($D$102:D102))</f>
        <v/>
      </c>
      <c r="B102" s="52" t="n"/>
      <c r="C102" s="71" t="inlineStr">
        <is>
          <t>마케팅4팀</t>
        </is>
      </c>
      <c r="D102" s="52" t="n"/>
      <c r="E102" s="54" t="n"/>
      <c r="F102" s="52" t="n"/>
      <c r="G102" s="55" t="n"/>
      <c r="H102" s="54" t="n"/>
      <c r="I102" s="54" t="n"/>
      <c r="J102" s="54" t="n"/>
      <c r="K102" s="56">
        <f>IF(SUM(U102:AY102)=0,"",SUM(U102:AY102))</f>
        <v/>
      </c>
      <c r="L102" s="57">
        <f>IFERROR(INDEX(U$2:AY$2,MATCH(TRUE,U102:AY102&lt;&gt;"",0)),"")</f>
        <v/>
      </c>
      <c r="M102" s="58">
        <f>IFERROR(LOOKUP(2,1/(U102:AY102&lt;&gt;""),U$2:AY$2),"")</f>
        <v/>
      </c>
      <c r="N102" s="59">
        <f>IF(OR(G102="",M102=""),"",G102-M102)</f>
        <v/>
      </c>
      <c r="O102" s="60" t="n"/>
      <c r="P102" s="61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  <c r="AG102" s="62" t="n"/>
      <c r="AH102" s="62" t="n"/>
      <c r="AI102" s="62" t="n"/>
      <c r="AJ102" s="62" t="n"/>
      <c r="AK102" s="62" t="n"/>
      <c r="AL102" s="62" t="n"/>
      <c r="AM102" s="62" t="n"/>
      <c r="AN102" s="62" t="n"/>
      <c r="AO102" s="62" t="n"/>
      <c r="AP102" s="62" t="n"/>
      <c r="AQ102" s="62" t="n"/>
      <c r="AR102" s="62" t="n"/>
      <c r="AS102" s="62" t="n"/>
      <c r="AT102" s="62" t="n"/>
      <c r="AU102" s="62" t="n"/>
      <c r="AV102" s="62" t="n"/>
      <c r="AW102" s="62" t="n"/>
      <c r="AX102" s="62" t="n"/>
      <c r="AY102" s="62" t="n"/>
    </row>
    <row r="103">
      <c r="A103" s="38">
        <f>IF(D103="","",COUNTA($D$102:D103))</f>
        <v/>
      </c>
      <c r="B103" s="52" t="n"/>
      <c r="C103" s="71" t="inlineStr">
        <is>
          <t>마케팅4팀</t>
        </is>
      </c>
      <c r="D103" s="52" t="n"/>
      <c r="E103" s="54" t="n"/>
      <c r="F103" s="52" t="n"/>
      <c r="G103" s="55" t="n"/>
      <c r="H103" s="54" t="n"/>
      <c r="I103" s="54" t="n"/>
      <c r="J103" s="54" t="n"/>
      <c r="K103" s="56">
        <f>IF(SUM(U103:AY103)=0,"",SUM(U103:AY103))</f>
        <v/>
      </c>
      <c r="L103" s="57">
        <f>IFERROR(INDEX(U$2:AY$2,MATCH(TRUE,U103:AY103&lt;&gt;"",0)),"")</f>
        <v/>
      </c>
      <c r="M103" s="58">
        <f>IFERROR(LOOKUP(2,1/(U103:AY103&lt;&gt;""),U$2:AY$2),"")</f>
        <v/>
      </c>
      <c r="N103" s="59">
        <f>IF(OR(G103="",M103=""),"",G103-M103)</f>
        <v/>
      </c>
      <c r="O103" s="60" t="n"/>
      <c r="P103" s="61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  <c r="AG103" s="62" t="n"/>
      <c r="AH103" s="62" t="n"/>
      <c r="AI103" s="62" t="n"/>
      <c r="AJ103" s="62" t="n"/>
      <c r="AK103" s="62" t="n"/>
      <c r="AL103" s="62" t="n"/>
      <c r="AM103" s="62" t="n"/>
      <c r="AN103" s="62" t="n"/>
      <c r="AO103" s="62" t="n"/>
      <c r="AP103" s="62" t="n"/>
      <c r="AQ103" s="62" t="n"/>
      <c r="AR103" s="62" t="n"/>
      <c r="AS103" s="62" t="n"/>
      <c r="AT103" s="62" t="n"/>
      <c r="AU103" s="62" t="n"/>
      <c r="AV103" s="62" t="n"/>
      <c r="AW103" s="62" t="n"/>
      <c r="AX103" s="62" t="n"/>
      <c r="AY103" s="62" t="n"/>
    </row>
    <row r="104">
      <c r="A104" s="38">
        <f>IF(D104="","",COUNTA($D$102:D104))</f>
        <v/>
      </c>
      <c r="B104" s="52" t="n"/>
      <c r="C104" s="71" t="inlineStr">
        <is>
          <t>마케팅4팀</t>
        </is>
      </c>
      <c r="D104" s="52" t="n"/>
      <c r="E104" s="54" t="n"/>
      <c r="F104" s="52" t="n"/>
      <c r="G104" s="55" t="n"/>
      <c r="H104" s="54" t="n"/>
      <c r="I104" s="54" t="n"/>
      <c r="J104" s="54" t="n"/>
      <c r="K104" s="56">
        <f>IF(SUM(U104:AY104)=0,"",SUM(U104:AY104))</f>
        <v/>
      </c>
      <c r="L104" s="57">
        <f>IFERROR(INDEX(U$2:AY$2,MATCH(TRUE,U104:AY104&lt;&gt;"",0)),"")</f>
        <v/>
      </c>
      <c r="M104" s="58">
        <f>IFERROR(LOOKUP(2,1/(U104:AY104&lt;&gt;""),U$2:AY$2),"")</f>
        <v/>
      </c>
      <c r="N104" s="59">
        <f>IF(OR(G104="",M104=""),"",G104-M104)</f>
        <v/>
      </c>
      <c r="O104" s="60" t="n"/>
      <c r="P104" s="61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  <c r="AG104" s="62" t="n"/>
      <c r="AH104" s="62" t="n"/>
      <c r="AI104" s="62" t="n"/>
      <c r="AJ104" s="62" t="n"/>
      <c r="AK104" s="62" t="n"/>
      <c r="AL104" s="62" t="n"/>
      <c r="AM104" s="62" t="n"/>
      <c r="AN104" s="62" t="n"/>
      <c r="AO104" s="62" t="n"/>
      <c r="AP104" s="62" t="n"/>
      <c r="AQ104" s="62" t="n"/>
      <c r="AR104" s="62" t="n"/>
      <c r="AS104" s="62" t="n"/>
      <c r="AT104" s="62" t="n"/>
      <c r="AU104" s="62" t="n"/>
      <c r="AV104" s="62" t="n"/>
      <c r="AW104" s="62" t="n"/>
      <c r="AX104" s="62" t="n"/>
      <c r="AY104" s="62" t="n"/>
    </row>
    <row r="105">
      <c r="A105" s="38">
        <f>IF(D105="","",COUNTA($D$102:D105))</f>
        <v/>
      </c>
      <c r="B105" s="52" t="n"/>
      <c r="C105" s="71" t="inlineStr">
        <is>
          <t>마케팅4팀</t>
        </is>
      </c>
      <c r="D105" s="52" t="n"/>
      <c r="E105" s="54" t="n"/>
      <c r="F105" s="52" t="n"/>
      <c r="G105" s="55" t="n"/>
      <c r="H105" s="54" t="n"/>
      <c r="I105" s="54" t="n"/>
      <c r="J105" s="54" t="n"/>
      <c r="K105" s="56">
        <f>IF(SUM(U105:AY105)=0,"",SUM(U105:AY105))</f>
        <v/>
      </c>
      <c r="L105" s="57">
        <f>IFERROR(INDEX(U$2:AY$2,MATCH(TRUE,U105:AY105&lt;&gt;"",0)),"")</f>
        <v/>
      </c>
      <c r="M105" s="58">
        <f>IFERROR(LOOKUP(2,1/(U105:AY105&lt;&gt;""),U$2:AY$2),"")</f>
        <v/>
      </c>
      <c r="N105" s="59">
        <f>IF(OR(G105="",M105=""),"",G105-M105)</f>
        <v/>
      </c>
      <c r="O105" s="60" t="n"/>
      <c r="P105" s="61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  <c r="AG105" s="62" t="n"/>
      <c r="AH105" s="62" t="n"/>
      <c r="AI105" s="62" t="n"/>
      <c r="AJ105" s="62" t="n"/>
      <c r="AK105" s="62" t="n"/>
      <c r="AL105" s="62" t="n"/>
      <c r="AM105" s="62" t="n"/>
      <c r="AN105" s="62" t="n"/>
      <c r="AO105" s="62" t="n"/>
      <c r="AP105" s="62" t="n"/>
      <c r="AQ105" s="62" t="n"/>
      <c r="AR105" s="62" t="n"/>
      <c r="AS105" s="62" t="n"/>
      <c r="AT105" s="62" t="n"/>
      <c r="AU105" s="62" t="n"/>
      <c r="AV105" s="62" t="n"/>
      <c r="AW105" s="62" t="n"/>
      <c r="AX105" s="62" t="n"/>
      <c r="AY105" s="62" t="n"/>
    </row>
    <row r="106">
      <c r="A106" s="38">
        <f>IF(D106="","",COUNTA($D$102:D106))</f>
        <v/>
      </c>
      <c r="B106" s="52" t="n"/>
      <c r="C106" s="71" t="inlineStr">
        <is>
          <t>마케팅4팀</t>
        </is>
      </c>
      <c r="D106" s="52" t="n"/>
      <c r="E106" s="54" t="n"/>
      <c r="F106" s="52" t="n"/>
      <c r="G106" s="55" t="n"/>
      <c r="H106" s="54" t="n"/>
      <c r="I106" s="54" t="n"/>
      <c r="J106" s="54" t="n"/>
      <c r="K106" s="56">
        <f>IF(SUM(U106:AY106)=0,"",SUM(U106:AY106))</f>
        <v/>
      </c>
      <c r="L106" s="57">
        <f>IFERROR(INDEX(U$2:AY$2,MATCH(TRUE,U106:AY106&lt;&gt;"",0)),"")</f>
        <v/>
      </c>
      <c r="M106" s="58">
        <f>IFERROR(LOOKUP(2,1/(U106:AY106&lt;&gt;""),U$2:AY$2),"")</f>
        <v/>
      </c>
      <c r="N106" s="59">
        <f>IF(OR(G106="",M106=""),"",G106-M106)</f>
        <v/>
      </c>
      <c r="O106" s="60" t="n"/>
      <c r="P106" s="61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  <c r="AG106" s="62" t="n"/>
      <c r="AH106" s="62" t="n"/>
      <c r="AI106" s="62" t="n"/>
      <c r="AJ106" s="62" t="n"/>
      <c r="AK106" s="62" t="n"/>
      <c r="AL106" s="62" t="n"/>
      <c r="AM106" s="62" t="n"/>
      <c r="AN106" s="62" t="n"/>
      <c r="AO106" s="62" t="n"/>
      <c r="AP106" s="62" t="n"/>
      <c r="AQ106" s="62" t="n"/>
      <c r="AR106" s="62" t="n"/>
      <c r="AS106" s="62" t="n"/>
      <c r="AT106" s="62" t="n"/>
      <c r="AU106" s="62" t="n"/>
      <c r="AV106" s="62" t="n"/>
      <c r="AW106" s="62" t="n"/>
      <c r="AX106" s="62" t="n"/>
      <c r="AY106" s="62" t="n"/>
    </row>
    <row r="107">
      <c r="A107" s="38">
        <f>IF(D107="","",COUNTA($D$102:D107))</f>
        <v/>
      </c>
      <c r="B107" s="52" t="n"/>
      <c r="C107" s="71" t="inlineStr">
        <is>
          <t>마케팅4팀</t>
        </is>
      </c>
      <c r="D107" s="52" t="n"/>
      <c r="E107" s="54" t="n"/>
      <c r="F107" s="52" t="n"/>
      <c r="G107" s="55" t="n"/>
      <c r="H107" s="54" t="n"/>
      <c r="I107" s="54" t="n"/>
      <c r="J107" s="54" t="n"/>
      <c r="K107" s="56">
        <f>IF(SUM(U107:AY107)=0,"",SUM(U107:AY107))</f>
        <v/>
      </c>
      <c r="L107" s="57">
        <f>IFERROR(INDEX(U$2:AY$2,MATCH(TRUE,U107:AY107&lt;&gt;"",0)),"")</f>
        <v/>
      </c>
      <c r="M107" s="58">
        <f>IFERROR(LOOKUP(2,1/(U107:AY107&lt;&gt;""),U$2:AY$2),"")</f>
        <v/>
      </c>
      <c r="N107" s="59">
        <f>IF(OR(G107="",M107=""),"",G107-M107)</f>
        <v/>
      </c>
      <c r="O107" s="60" t="n"/>
      <c r="P107" s="61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  <c r="AG107" s="62" t="n"/>
      <c r="AH107" s="62" t="n"/>
      <c r="AI107" s="62" t="n"/>
      <c r="AJ107" s="62" t="n"/>
      <c r="AK107" s="62" t="n"/>
      <c r="AL107" s="62" t="n"/>
      <c r="AM107" s="62" t="n"/>
      <c r="AN107" s="62" t="n"/>
      <c r="AO107" s="62" t="n"/>
      <c r="AP107" s="62" t="n"/>
      <c r="AQ107" s="62" t="n"/>
      <c r="AR107" s="62" t="n"/>
      <c r="AS107" s="62" t="n"/>
      <c r="AT107" s="62" t="n"/>
      <c r="AU107" s="62" t="n"/>
      <c r="AV107" s="62" t="n"/>
      <c r="AW107" s="62" t="n"/>
      <c r="AX107" s="62" t="n"/>
      <c r="AY107" s="62" t="n"/>
    </row>
    <row r="108">
      <c r="A108" s="38">
        <f>IF(D108="","",COUNTA($D$102:D108))</f>
        <v/>
      </c>
      <c r="B108" s="52" t="n"/>
      <c r="C108" s="71" t="inlineStr">
        <is>
          <t>마케팅4팀</t>
        </is>
      </c>
      <c r="D108" s="52" t="n"/>
      <c r="E108" s="54" t="n"/>
      <c r="F108" s="52" t="n"/>
      <c r="G108" s="55" t="n"/>
      <c r="H108" s="54" t="n"/>
      <c r="I108" s="54" t="n"/>
      <c r="J108" s="54" t="n"/>
      <c r="K108" s="56">
        <f>IF(SUM(U108:AY108)=0,"",SUM(U108:AY108))</f>
        <v/>
      </c>
      <c r="L108" s="57">
        <f>IFERROR(INDEX(U$2:AY$2,MATCH(TRUE,U108:AY108&lt;&gt;"",0)),"")</f>
        <v/>
      </c>
      <c r="M108" s="58">
        <f>IFERROR(LOOKUP(2,1/(U108:AY108&lt;&gt;""),U$2:AY$2),"")</f>
        <v/>
      </c>
      <c r="N108" s="59">
        <f>IF(OR(G108="",M108=""),"",G108-M108)</f>
        <v/>
      </c>
      <c r="O108" s="60" t="n"/>
      <c r="P108" s="61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  <c r="AG108" s="62" t="n"/>
      <c r="AH108" s="62" t="n"/>
      <c r="AI108" s="62" t="n"/>
      <c r="AJ108" s="62" t="n"/>
      <c r="AK108" s="62" t="n"/>
      <c r="AL108" s="62" t="n"/>
      <c r="AM108" s="62" t="n"/>
      <c r="AN108" s="62" t="n"/>
      <c r="AO108" s="62" t="n"/>
      <c r="AP108" s="62" t="n"/>
      <c r="AQ108" s="62" t="n"/>
      <c r="AR108" s="62" t="n"/>
      <c r="AS108" s="62" t="n"/>
      <c r="AT108" s="62" t="n"/>
      <c r="AU108" s="62" t="n"/>
      <c r="AV108" s="62" t="n"/>
      <c r="AW108" s="62" t="n"/>
      <c r="AX108" s="62" t="n"/>
      <c r="AY108" s="62" t="n"/>
    </row>
    <row r="109">
      <c r="A109" s="38">
        <f>IF(D109="","",COUNTA($D$102:D109))</f>
        <v/>
      </c>
      <c r="B109" s="52" t="n"/>
      <c r="C109" s="71" t="inlineStr">
        <is>
          <t>마케팅4팀</t>
        </is>
      </c>
      <c r="D109" s="52" t="n"/>
      <c r="E109" s="54" t="n"/>
      <c r="F109" s="52" t="n"/>
      <c r="G109" s="55" t="n"/>
      <c r="H109" s="54" t="n"/>
      <c r="I109" s="54" t="n"/>
      <c r="J109" s="54" t="n"/>
      <c r="K109" s="56">
        <f>IF(SUM(U109:AY109)=0,"",SUM(U109:AY109))</f>
        <v/>
      </c>
      <c r="L109" s="57">
        <f>IFERROR(INDEX(U$2:AY$2,MATCH(TRUE,U109:AY109&lt;&gt;"",0)),"")</f>
        <v/>
      </c>
      <c r="M109" s="58">
        <f>IFERROR(LOOKUP(2,1/(U109:AY109&lt;&gt;""),U$2:AY$2),"")</f>
        <v/>
      </c>
      <c r="N109" s="59">
        <f>IF(OR(G109="",M109=""),"",G109-M109)</f>
        <v/>
      </c>
      <c r="O109" s="60" t="n"/>
      <c r="P109" s="61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  <c r="AG109" s="62" t="n"/>
      <c r="AH109" s="62" t="n"/>
      <c r="AI109" s="62" t="n"/>
      <c r="AJ109" s="62" t="n"/>
      <c r="AK109" s="62" t="n"/>
      <c r="AL109" s="62" t="n"/>
      <c r="AM109" s="62" t="n"/>
      <c r="AN109" s="62" t="n"/>
      <c r="AO109" s="62" t="n"/>
      <c r="AP109" s="62" t="n"/>
      <c r="AQ109" s="62" t="n"/>
      <c r="AR109" s="62" t="n"/>
      <c r="AS109" s="62" t="n"/>
      <c r="AT109" s="62" t="n"/>
      <c r="AU109" s="62" t="n"/>
      <c r="AV109" s="62" t="n"/>
      <c r="AW109" s="62" t="n"/>
      <c r="AX109" s="62" t="n"/>
      <c r="AY109" s="62" t="n"/>
    </row>
    <row r="110">
      <c r="A110" s="38">
        <f>IF(D110="","",COUNTA($D$102:D110))</f>
        <v/>
      </c>
      <c r="B110" s="52" t="n"/>
      <c r="C110" s="71" t="inlineStr">
        <is>
          <t>마케팅4팀</t>
        </is>
      </c>
      <c r="D110" s="52" t="n"/>
      <c r="E110" s="54" t="n"/>
      <c r="F110" s="52" t="n"/>
      <c r="G110" s="55" t="n"/>
      <c r="H110" s="54" t="n"/>
      <c r="I110" s="54" t="n"/>
      <c r="J110" s="54" t="n"/>
      <c r="K110" s="56">
        <f>IF(SUM(U110:AY110)=0,"",SUM(U110:AY110))</f>
        <v/>
      </c>
      <c r="L110" s="57">
        <f>IFERROR(INDEX(U$2:AY$2,MATCH(TRUE,U110:AY110&lt;&gt;"",0)),"")</f>
        <v/>
      </c>
      <c r="M110" s="58">
        <f>IFERROR(LOOKUP(2,1/(U110:AY110&lt;&gt;""),U$2:AY$2),"")</f>
        <v/>
      </c>
      <c r="N110" s="59">
        <f>IF(OR(G110="",M110=""),"",G110-M110)</f>
        <v/>
      </c>
      <c r="O110" s="60" t="n"/>
      <c r="P110" s="61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  <c r="AG110" s="62" t="n"/>
      <c r="AH110" s="62" t="n"/>
      <c r="AI110" s="62" t="n"/>
      <c r="AJ110" s="62" t="n"/>
      <c r="AK110" s="62" t="n"/>
      <c r="AL110" s="62" t="n"/>
      <c r="AM110" s="62" t="n"/>
      <c r="AN110" s="62" t="n"/>
      <c r="AO110" s="62" t="n"/>
      <c r="AP110" s="62" t="n"/>
      <c r="AQ110" s="62" t="n"/>
      <c r="AR110" s="62" t="n"/>
      <c r="AS110" s="62" t="n"/>
      <c r="AT110" s="62" t="n"/>
      <c r="AU110" s="62" t="n"/>
      <c r="AV110" s="62" t="n"/>
      <c r="AW110" s="62" t="n"/>
      <c r="AX110" s="62" t="n"/>
      <c r="AY110" s="62" t="n"/>
    </row>
    <row r="111">
      <c r="A111" s="38">
        <f>IF(D111="","",COUNTA($D$102:D111))</f>
        <v/>
      </c>
      <c r="B111" s="52" t="n"/>
      <c r="C111" s="71" t="inlineStr">
        <is>
          <t>마케팅4팀</t>
        </is>
      </c>
      <c r="D111" s="52" t="n"/>
      <c r="E111" s="54" t="n"/>
      <c r="F111" s="52" t="n"/>
      <c r="G111" s="55" t="n"/>
      <c r="H111" s="54" t="n"/>
      <c r="I111" s="54" t="n"/>
      <c r="J111" s="54" t="n"/>
      <c r="K111" s="56">
        <f>IF(SUM(U111:AY111)=0,"",SUM(U111:AY111))</f>
        <v/>
      </c>
      <c r="L111" s="57">
        <f>IFERROR(INDEX(U$2:AY$2,MATCH(TRUE,U111:AY111&lt;&gt;"",0)),"")</f>
        <v/>
      </c>
      <c r="M111" s="58">
        <f>IFERROR(LOOKUP(2,1/(U111:AY111&lt;&gt;""),U$2:AY$2),"")</f>
        <v/>
      </c>
      <c r="N111" s="59">
        <f>IF(OR(G111="",M111=""),"",G111-M111)</f>
        <v/>
      </c>
      <c r="O111" s="60" t="n"/>
      <c r="P111" s="61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  <c r="AG111" s="62" t="n"/>
      <c r="AH111" s="62" t="n"/>
      <c r="AI111" s="62" t="n"/>
      <c r="AJ111" s="62" t="n"/>
      <c r="AK111" s="62" t="n"/>
      <c r="AL111" s="62" t="n"/>
      <c r="AM111" s="62" t="n"/>
      <c r="AN111" s="62" t="n"/>
      <c r="AO111" s="62" t="n"/>
      <c r="AP111" s="62" t="n"/>
      <c r="AQ111" s="62" t="n"/>
      <c r="AR111" s="62" t="n"/>
      <c r="AS111" s="62" t="n"/>
      <c r="AT111" s="62" t="n"/>
      <c r="AU111" s="62" t="n"/>
      <c r="AV111" s="62" t="n"/>
      <c r="AW111" s="62" t="n"/>
      <c r="AX111" s="62" t="n"/>
      <c r="AY111" s="62" t="n"/>
    </row>
    <row r="112">
      <c r="A112" s="38">
        <f>IF(D112="","",COUNTA($D$102:D112))</f>
        <v/>
      </c>
      <c r="B112" s="52" t="n"/>
      <c r="C112" s="71" t="inlineStr">
        <is>
          <t>마케팅4팀</t>
        </is>
      </c>
      <c r="D112" s="52" t="n"/>
      <c r="E112" s="54" t="n"/>
      <c r="F112" s="52" t="n"/>
      <c r="G112" s="55" t="n"/>
      <c r="H112" s="54" t="n"/>
      <c r="I112" s="54" t="n"/>
      <c r="J112" s="54" t="n"/>
      <c r="K112" s="56">
        <f>IF(SUM(U112:AY112)=0,"",SUM(U112:AY112))</f>
        <v/>
      </c>
      <c r="L112" s="57">
        <f>IFERROR(INDEX(U$2:AY$2,MATCH(TRUE,U112:AY112&lt;&gt;"",0)),"")</f>
        <v/>
      </c>
      <c r="M112" s="58">
        <f>IFERROR(LOOKUP(2,1/(U112:AY112&lt;&gt;""),U$2:AY$2),"")</f>
        <v/>
      </c>
      <c r="N112" s="59">
        <f>IF(OR(G112="",M112=""),"",G112-M112)</f>
        <v/>
      </c>
      <c r="O112" s="60" t="n"/>
      <c r="P112" s="61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  <c r="AG112" s="62" t="n"/>
      <c r="AH112" s="62" t="n"/>
      <c r="AI112" s="62" t="n"/>
      <c r="AJ112" s="62" t="n"/>
      <c r="AK112" s="62" t="n"/>
      <c r="AL112" s="62" t="n"/>
      <c r="AM112" s="62" t="n"/>
      <c r="AN112" s="62" t="n"/>
      <c r="AO112" s="62" t="n"/>
      <c r="AP112" s="62" t="n"/>
      <c r="AQ112" s="62" t="n"/>
      <c r="AR112" s="62" t="n"/>
      <c r="AS112" s="62" t="n"/>
      <c r="AT112" s="62" t="n"/>
      <c r="AU112" s="62" t="n"/>
      <c r="AV112" s="62" t="n"/>
      <c r="AW112" s="62" t="n"/>
      <c r="AX112" s="62" t="n"/>
      <c r="AY112" s="62" t="n"/>
    </row>
    <row r="113">
      <c r="A113" s="38">
        <f>IF(D113="","",COUNTA($D$102:D113))</f>
        <v/>
      </c>
      <c r="B113" s="52" t="n"/>
      <c r="C113" s="71" t="inlineStr">
        <is>
          <t>마케팅4팀</t>
        </is>
      </c>
      <c r="D113" s="52" t="n"/>
      <c r="E113" s="54" t="n"/>
      <c r="F113" s="52" t="n"/>
      <c r="G113" s="55" t="n"/>
      <c r="H113" s="54" t="n"/>
      <c r="I113" s="54" t="n"/>
      <c r="J113" s="54" t="n"/>
      <c r="K113" s="56">
        <f>IF(SUM(U113:AY113)=0,"",SUM(U113:AY113))</f>
        <v/>
      </c>
      <c r="L113" s="57">
        <f>IFERROR(INDEX(U$2:AY$2,MATCH(TRUE,U113:AY113&lt;&gt;"",0)),"")</f>
        <v/>
      </c>
      <c r="M113" s="58">
        <f>IFERROR(LOOKUP(2,1/(U113:AY113&lt;&gt;""),U$2:AY$2),"")</f>
        <v/>
      </c>
      <c r="N113" s="59">
        <f>IF(OR(G113="",M113=""),"",G113-M113)</f>
        <v/>
      </c>
      <c r="O113" s="60" t="n"/>
      <c r="P113" s="61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  <c r="AG113" s="62" t="n"/>
      <c r="AH113" s="62" t="n"/>
      <c r="AI113" s="62" t="n"/>
      <c r="AJ113" s="62" t="n"/>
      <c r="AK113" s="62" t="n"/>
      <c r="AL113" s="62" t="n"/>
      <c r="AM113" s="62" t="n"/>
      <c r="AN113" s="62" t="n"/>
      <c r="AO113" s="62" t="n"/>
      <c r="AP113" s="62" t="n"/>
      <c r="AQ113" s="62" t="n"/>
      <c r="AR113" s="62" t="n"/>
      <c r="AS113" s="62" t="n"/>
      <c r="AT113" s="62" t="n"/>
      <c r="AU113" s="62" t="n"/>
      <c r="AV113" s="62" t="n"/>
      <c r="AW113" s="62" t="n"/>
      <c r="AX113" s="62" t="n"/>
      <c r="AY113" s="62" t="n"/>
    </row>
    <row r="114">
      <c r="A114" s="38">
        <f>IF(D114="","",COUNTA($D$102:D114))</f>
        <v/>
      </c>
      <c r="B114" s="52" t="n"/>
      <c r="C114" s="71" t="inlineStr">
        <is>
          <t>마케팅4팀</t>
        </is>
      </c>
      <c r="D114" s="52" t="n"/>
      <c r="E114" s="54" t="n"/>
      <c r="F114" s="52" t="n"/>
      <c r="G114" s="55" t="n"/>
      <c r="H114" s="54" t="n"/>
      <c r="I114" s="54" t="n"/>
      <c r="J114" s="54" t="n"/>
      <c r="K114" s="56">
        <f>IF(SUM(U114:AY114)=0,"",SUM(U114:AY114))</f>
        <v/>
      </c>
      <c r="L114" s="57">
        <f>IFERROR(INDEX(U$2:AY$2,MATCH(TRUE,U114:AY114&lt;&gt;"",0)),"")</f>
        <v/>
      </c>
      <c r="M114" s="58">
        <f>IFERROR(LOOKUP(2,1/(U114:AY114&lt;&gt;""),U$2:AY$2),"")</f>
        <v/>
      </c>
      <c r="N114" s="59">
        <f>IF(OR(G114="",M114=""),"",G114-M114)</f>
        <v/>
      </c>
      <c r="O114" s="60" t="n"/>
      <c r="P114" s="61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  <c r="AG114" s="62" t="n"/>
      <c r="AH114" s="62" t="n"/>
      <c r="AI114" s="62" t="n"/>
      <c r="AJ114" s="62" t="n"/>
      <c r="AK114" s="62" t="n"/>
      <c r="AL114" s="62" t="n"/>
      <c r="AM114" s="62" t="n"/>
      <c r="AN114" s="62" t="n"/>
      <c r="AO114" s="62" t="n"/>
      <c r="AP114" s="62" t="n"/>
      <c r="AQ114" s="62" t="n"/>
      <c r="AR114" s="62" t="n"/>
      <c r="AS114" s="62" t="n"/>
      <c r="AT114" s="62" t="n"/>
      <c r="AU114" s="62" t="n"/>
      <c r="AV114" s="62" t="n"/>
      <c r="AW114" s="62" t="n"/>
      <c r="AX114" s="62" t="n"/>
      <c r="AY114" s="62" t="n"/>
    </row>
    <row r="115">
      <c r="A115" s="38">
        <f>IF(D115="","",COUNTA($D$102:D115))</f>
        <v/>
      </c>
      <c r="B115" s="52" t="n"/>
      <c r="C115" s="71" t="inlineStr">
        <is>
          <t>마케팅4팀</t>
        </is>
      </c>
      <c r="D115" s="52" t="n"/>
      <c r="E115" s="54" t="n"/>
      <c r="F115" s="52" t="n"/>
      <c r="G115" s="55" t="n"/>
      <c r="H115" s="54" t="n"/>
      <c r="I115" s="54" t="n"/>
      <c r="J115" s="54" t="n"/>
      <c r="K115" s="56">
        <f>IF(SUM(U115:AY115)=0,"",SUM(U115:AY115))</f>
        <v/>
      </c>
      <c r="L115" s="57">
        <f>IFERROR(INDEX(U$2:AY$2,MATCH(TRUE,U115:AY115&lt;&gt;"",0)),"")</f>
        <v/>
      </c>
      <c r="M115" s="58">
        <f>IFERROR(LOOKUP(2,1/(U115:AY115&lt;&gt;""),U$2:AY$2),"")</f>
        <v/>
      </c>
      <c r="N115" s="59">
        <f>IF(OR(G115="",M115=""),"",G115-M115)</f>
        <v/>
      </c>
      <c r="O115" s="60" t="n"/>
      <c r="P115" s="61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  <c r="AG115" s="62" t="n"/>
      <c r="AH115" s="62" t="n"/>
      <c r="AI115" s="62" t="n"/>
      <c r="AJ115" s="62" t="n"/>
      <c r="AK115" s="62" t="n"/>
      <c r="AL115" s="62" t="n"/>
      <c r="AM115" s="62" t="n"/>
      <c r="AN115" s="62" t="n"/>
      <c r="AO115" s="62" t="n"/>
      <c r="AP115" s="62" t="n"/>
      <c r="AQ115" s="62" t="n"/>
      <c r="AR115" s="62" t="n"/>
      <c r="AS115" s="62" t="n"/>
      <c r="AT115" s="62" t="n"/>
      <c r="AU115" s="62" t="n"/>
      <c r="AV115" s="62" t="n"/>
      <c r="AW115" s="62" t="n"/>
      <c r="AX115" s="62" t="n"/>
      <c r="AY115" s="62" t="n"/>
    </row>
    <row r="116">
      <c r="A116" s="38">
        <f>IF(D116="","",COUNTA($D$102:D116))</f>
        <v/>
      </c>
      <c r="B116" s="52" t="n"/>
      <c r="C116" s="71" t="inlineStr">
        <is>
          <t>마케팅4팀</t>
        </is>
      </c>
      <c r="D116" s="52" t="n"/>
      <c r="E116" s="54" t="n"/>
      <c r="F116" s="52" t="n"/>
      <c r="G116" s="55" t="n"/>
      <c r="H116" s="54" t="n"/>
      <c r="I116" s="54" t="n"/>
      <c r="J116" s="54" t="n"/>
      <c r="K116" s="56">
        <f>IF(SUM(U116:AY116)=0,"",SUM(U116:AY116))</f>
        <v/>
      </c>
      <c r="L116" s="57">
        <f>IFERROR(INDEX(U$2:AY$2,MATCH(TRUE,U116:AY116&lt;&gt;"",0)),"")</f>
        <v/>
      </c>
      <c r="M116" s="58">
        <f>IFERROR(LOOKUP(2,1/(U116:AY116&lt;&gt;""),U$2:AY$2),"")</f>
        <v/>
      </c>
      <c r="N116" s="59">
        <f>IF(OR(G116="",M116=""),"",G116-M116)</f>
        <v/>
      </c>
      <c r="O116" s="60" t="n"/>
      <c r="P116" s="61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  <c r="AG116" s="62" t="n"/>
      <c r="AH116" s="62" t="n"/>
      <c r="AI116" s="62" t="n"/>
      <c r="AJ116" s="62" t="n"/>
      <c r="AK116" s="62" t="n"/>
      <c r="AL116" s="62" t="n"/>
      <c r="AM116" s="62" t="n"/>
      <c r="AN116" s="62" t="n"/>
      <c r="AO116" s="62" t="n"/>
      <c r="AP116" s="62" t="n"/>
      <c r="AQ116" s="62" t="n"/>
      <c r="AR116" s="62" t="n"/>
      <c r="AS116" s="62" t="n"/>
      <c r="AT116" s="62" t="n"/>
      <c r="AU116" s="62" t="n"/>
      <c r="AV116" s="62" t="n"/>
      <c r="AW116" s="62" t="n"/>
      <c r="AX116" s="62" t="n"/>
      <c r="AY116" s="62" t="n"/>
    </row>
    <row r="117">
      <c r="A117" s="38">
        <f>IF(D117="","",COUNTA($D$102:D117))</f>
        <v/>
      </c>
      <c r="B117" s="52" t="n"/>
      <c r="C117" s="71" t="inlineStr">
        <is>
          <t>마케팅4팀</t>
        </is>
      </c>
      <c r="D117" s="52" t="n"/>
      <c r="E117" s="54" t="n"/>
      <c r="F117" s="52" t="n"/>
      <c r="G117" s="55" t="n"/>
      <c r="H117" s="54" t="n"/>
      <c r="I117" s="54" t="n"/>
      <c r="J117" s="54" t="n"/>
      <c r="K117" s="56">
        <f>IF(SUM(U117:AY117)=0,"",SUM(U117:AY117))</f>
        <v/>
      </c>
      <c r="L117" s="57">
        <f>IFERROR(INDEX(U$2:AY$2,MATCH(TRUE,U117:AY117&lt;&gt;"",0)),"")</f>
        <v/>
      </c>
      <c r="M117" s="58">
        <f>IFERROR(LOOKUP(2,1/(U117:AY117&lt;&gt;""),U$2:AY$2),"")</f>
        <v/>
      </c>
      <c r="N117" s="59">
        <f>IF(OR(G117="",M117=""),"",G117-M117)</f>
        <v/>
      </c>
      <c r="O117" s="60" t="n"/>
      <c r="P117" s="61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  <c r="AG117" s="62" t="n"/>
      <c r="AH117" s="62" t="n"/>
      <c r="AI117" s="62" t="n"/>
      <c r="AJ117" s="62" t="n"/>
      <c r="AK117" s="62" t="n"/>
      <c r="AL117" s="62" t="n"/>
      <c r="AM117" s="62" t="n"/>
      <c r="AN117" s="62" t="n"/>
      <c r="AO117" s="62" t="n"/>
      <c r="AP117" s="62" t="n"/>
      <c r="AQ117" s="62" t="n"/>
      <c r="AR117" s="62" t="n"/>
      <c r="AS117" s="62" t="n"/>
      <c r="AT117" s="62" t="n"/>
      <c r="AU117" s="62" t="n"/>
      <c r="AV117" s="62" t="n"/>
      <c r="AW117" s="62" t="n"/>
      <c r="AX117" s="62" t="n"/>
      <c r="AY117" s="62" t="n"/>
    </row>
    <row r="118">
      <c r="A118" s="38">
        <f>IF(D118="","",COUNTA($D$102:D118))</f>
        <v/>
      </c>
      <c r="B118" s="52" t="n"/>
      <c r="C118" s="71" t="inlineStr">
        <is>
          <t>마케팅4팀</t>
        </is>
      </c>
      <c r="D118" s="52" t="n"/>
      <c r="E118" s="54" t="n"/>
      <c r="F118" s="52" t="n"/>
      <c r="G118" s="55" t="n"/>
      <c r="H118" s="54" t="n"/>
      <c r="I118" s="54" t="n"/>
      <c r="J118" s="54" t="n"/>
      <c r="K118" s="56">
        <f>IF(SUM(U118:AY118)=0,"",SUM(U118:AY118))</f>
        <v/>
      </c>
      <c r="L118" s="57">
        <f>IFERROR(INDEX(U$2:AY$2,MATCH(TRUE,U118:AY118&lt;&gt;"",0)),"")</f>
        <v/>
      </c>
      <c r="M118" s="58">
        <f>IFERROR(LOOKUP(2,1/(U118:AY118&lt;&gt;""),U$2:AY$2),"")</f>
        <v/>
      </c>
      <c r="N118" s="59">
        <f>IF(OR(G118="",M118=""),"",G118-M118)</f>
        <v/>
      </c>
      <c r="O118" s="60" t="n"/>
      <c r="P118" s="61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  <c r="AG118" s="62" t="n"/>
      <c r="AH118" s="62" t="n"/>
      <c r="AI118" s="62" t="n"/>
      <c r="AJ118" s="62" t="n"/>
      <c r="AK118" s="62" t="n"/>
      <c r="AL118" s="62" t="n"/>
      <c r="AM118" s="62" t="n"/>
      <c r="AN118" s="62" t="n"/>
      <c r="AO118" s="62" t="n"/>
      <c r="AP118" s="62" t="n"/>
      <c r="AQ118" s="62" t="n"/>
      <c r="AR118" s="62" t="n"/>
      <c r="AS118" s="62" t="n"/>
      <c r="AT118" s="62" t="n"/>
      <c r="AU118" s="62" t="n"/>
      <c r="AV118" s="62" t="n"/>
      <c r="AW118" s="62" t="n"/>
      <c r="AX118" s="62" t="n"/>
      <c r="AY118" s="62" t="n"/>
    </row>
    <row r="119">
      <c r="A119" s="38">
        <f>IF(D119="","",COUNTA($D$102:D119))</f>
        <v/>
      </c>
      <c r="B119" s="52" t="n"/>
      <c r="C119" s="71" t="inlineStr">
        <is>
          <t>마케팅4팀</t>
        </is>
      </c>
      <c r="D119" s="52" t="n"/>
      <c r="E119" s="54" t="n"/>
      <c r="F119" s="52" t="n"/>
      <c r="G119" s="55" t="n"/>
      <c r="H119" s="54" t="n"/>
      <c r="I119" s="54" t="n"/>
      <c r="J119" s="54" t="n"/>
      <c r="K119" s="56">
        <f>IF(SUM(U119:AY119)=0,"",SUM(U119:AY119))</f>
        <v/>
      </c>
      <c r="L119" s="57">
        <f>IFERROR(INDEX(U$2:AY$2,MATCH(TRUE,U119:AY119&lt;&gt;"",0)),"")</f>
        <v/>
      </c>
      <c r="M119" s="58">
        <f>IFERROR(LOOKUP(2,1/(U119:AY119&lt;&gt;""),U$2:AY$2),"")</f>
        <v/>
      </c>
      <c r="N119" s="59">
        <f>IF(OR(G119="",M119=""),"",G119-M119)</f>
        <v/>
      </c>
      <c r="O119" s="60" t="n"/>
      <c r="P119" s="61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  <c r="AG119" s="62" t="n"/>
      <c r="AH119" s="62" t="n"/>
      <c r="AI119" s="62" t="n"/>
      <c r="AJ119" s="62" t="n"/>
      <c r="AK119" s="62" t="n"/>
      <c r="AL119" s="62" t="n"/>
      <c r="AM119" s="62" t="n"/>
      <c r="AN119" s="62" t="n"/>
      <c r="AO119" s="62" t="n"/>
      <c r="AP119" s="62" t="n"/>
      <c r="AQ119" s="62" t="n"/>
      <c r="AR119" s="62" t="n"/>
      <c r="AS119" s="62" t="n"/>
      <c r="AT119" s="62" t="n"/>
      <c r="AU119" s="62" t="n"/>
      <c r="AV119" s="62" t="n"/>
      <c r="AW119" s="62" t="n"/>
      <c r="AX119" s="62" t="n"/>
      <c r="AY119" s="62" t="n"/>
    </row>
    <row r="120">
      <c r="A120" s="38">
        <f>IF(D120="","",COUNTA($D$102:D120))</f>
        <v/>
      </c>
      <c r="B120" s="52" t="n"/>
      <c r="C120" s="71" t="inlineStr">
        <is>
          <t>마케팅4팀</t>
        </is>
      </c>
      <c r="D120" s="52" t="n"/>
      <c r="E120" s="54" t="n"/>
      <c r="F120" s="52" t="n"/>
      <c r="G120" s="55" t="n"/>
      <c r="H120" s="54" t="n"/>
      <c r="I120" s="54" t="n"/>
      <c r="J120" s="54" t="n"/>
      <c r="K120" s="56">
        <f>IF(SUM(U120:AY120)=0,"",SUM(U120:AY120))</f>
        <v/>
      </c>
      <c r="L120" s="57">
        <f>IFERROR(INDEX(U$2:AY$2,MATCH(TRUE,U120:AY120&lt;&gt;"",0)),"")</f>
        <v/>
      </c>
      <c r="M120" s="58">
        <f>IFERROR(LOOKUP(2,1/(U120:AY120&lt;&gt;""),U$2:AY$2),"")</f>
        <v/>
      </c>
      <c r="N120" s="59">
        <f>IF(OR(G120="",M120=""),"",G120-M120)</f>
        <v/>
      </c>
      <c r="O120" s="60" t="n"/>
      <c r="P120" s="61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  <c r="AG120" s="62" t="n"/>
      <c r="AH120" s="62" t="n"/>
      <c r="AI120" s="62" t="n"/>
      <c r="AJ120" s="62" t="n"/>
      <c r="AK120" s="62" t="n"/>
      <c r="AL120" s="62" t="n"/>
      <c r="AM120" s="62" t="n"/>
      <c r="AN120" s="62" t="n"/>
      <c r="AO120" s="62" t="n"/>
      <c r="AP120" s="62" t="n"/>
      <c r="AQ120" s="62" t="n"/>
      <c r="AR120" s="62" t="n"/>
      <c r="AS120" s="62" t="n"/>
      <c r="AT120" s="62" t="n"/>
      <c r="AU120" s="62" t="n"/>
      <c r="AV120" s="62" t="n"/>
      <c r="AW120" s="62" t="n"/>
      <c r="AX120" s="62" t="n"/>
      <c r="AY120" s="62" t="n"/>
    </row>
    <row r="121">
      <c r="A121" s="38">
        <f>IF(D121="","",COUNTA($D$102:D121))</f>
        <v/>
      </c>
      <c r="B121" s="52" t="n"/>
      <c r="C121" s="71" t="inlineStr">
        <is>
          <t>마케팅4팀</t>
        </is>
      </c>
      <c r="D121" s="52" t="n"/>
      <c r="E121" s="54" t="n"/>
      <c r="F121" s="52" t="n"/>
      <c r="G121" s="55" t="n"/>
      <c r="H121" s="54" t="n"/>
      <c r="I121" s="54" t="n"/>
      <c r="J121" s="54" t="n"/>
      <c r="K121" s="56">
        <f>IF(SUM(U121:AY121)=0,"",SUM(U121:AY121))</f>
        <v/>
      </c>
      <c r="L121" s="57">
        <f>IFERROR(INDEX(U$2:AY$2,MATCH(TRUE,U121:AY121&lt;&gt;"",0)),"")</f>
        <v/>
      </c>
      <c r="M121" s="58">
        <f>IFERROR(LOOKUP(2,1/(U121:AY121&lt;&gt;""),U$2:AY$2),"")</f>
        <v/>
      </c>
      <c r="N121" s="59">
        <f>IF(OR(G121="",M121=""),"",G121-M121)</f>
        <v/>
      </c>
      <c r="O121" s="60" t="n"/>
      <c r="P121" s="61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  <c r="AG121" s="62" t="n"/>
      <c r="AH121" s="62" t="n"/>
      <c r="AI121" s="62" t="n"/>
      <c r="AJ121" s="62" t="n"/>
      <c r="AK121" s="62" t="n"/>
      <c r="AL121" s="62" t="n"/>
      <c r="AM121" s="62" t="n"/>
      <c r="AN121" s="62" t="n"/>
      <c r="AO121" s="62" t="n"/>
      <c r="AP121" s="62" t="n"/>
      <c r="AQ121" s="62" t="n"/>
      <c r="AR121" s="62" t="n"/>
      <c r="AS121" s="62" t="n"/>
      <c r="AT121" s="62" t="n"/>
      <c r="AU121" s="62" t="n"/>
      <c r="AV121" s="62" t="n"/>
      <c r="AW121" s="62" t="n"/>
      <c r="AX121" s="62" t="n"/>
      <c r="AY121" s="62" t="n"/>
    </row>
    <row r="122">
      <c r="A122" s="38">
        <f>IF(D122="","",COUNTA($D$102:D122))</f>
        <v/>
      </c>
      <c r="B122" s="52" t="n"/>
      <c r="C122" s="71" t="inlineStr">
        <is>
          <t>마케팅4팀</t>
        </is>
      </c>
      <c r="D122" s="52" t="n"/>
      <c r="E122" s="54" t="n"/>
      <c r="F122" s="52" t="n"/>
      <c r="G122" s="55" t="n"/>
      <c r="H122" s="54" t="n"/>
      <c r="I122" s="54" t="n"/>
      <c r="J122" s="54" t="n"/>
      <c r="K122" s="56">
        <f>IF(SUM(U122:AY122)=0,"",SUM(U122:AY122))</f>
        <v/>
      </c>
      <c r="L122" s="57">
        <f>IFERROR(INDEX(U$2:AY$2,MATCH(TRUE,U122:AY122&lt;&gt;"",0)),"")</f>
        <v/>
      </c>
      <c r="M122" s="58">
        <f>IFERROR(LOOKUP(2,1/(U122:AY122&lt;&gt;""),U$2:AY$2),"")</f>
        <v/>
      </c>
      <c r="N122" s="59">
        <f>IF(OR(G122="",M122=""),"",G122-M122)</f>
        <v/>
      </c>
      <c r="O122" s="60" t="n"/>
      <c r="P122" s="61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  <c r="AG122" s="62" t="n"/>
      <c r="AH122" s="62" t="n"/>
      <c r="AI122" s="62" t="n"/>
      <c r="AJ122" s="62" t="n"/>
      <c r="AK122" s="62" t="n"/>
      <c r="AL122" s="62" t="n"/>
      <c r="AM122" s="62" t="n"/>
      <c r="AN122" s="62" t="n"/>
      <c r="AO122" s="62" t="n"/>
      <c r="AP122" s="62" t="n"/>
      <c r="AQ122" s="62" t="n"/>
      <c r="AR122" s="62" t="n"/>
      <c r="AS122" s="62" t="n"/>
      <c r="AT122" s="62" t="n"/>
      <c r="AU122" s="62" t="n"/>
      <c r="AV122" s="62" t="n"/>
      <c r="AW122" s="62" t="n"/>
      <c r="AX122" s="62" t="n"/>
      <c r="AY122" s="62" t="n"/>
    </row>
    <row r="123">
      <c r="A123" s="38">
        <f>IF(D123="","",COUNTA($D$102:D123))</f>
        <v/>
      </c>
      <c r="B123" s="52" t="n"/>
      <c r="C123" s="71" t="inlineStr">
        <is>
          <t>마케팅4팀</t>
        </is>
      </c>
      <c r="D123" s="52" t="n"/>
      <c r="E123" s="54" t="n"/>
      <c r="F123" s="52" t="n"/>
      <c r="G123" s="55" t="n"/>
      <c r="H123" s="54" t="n"/>
      <c r="I123" s="54" t="n"/>
      <c r="J123" s="54" t="n"/>
      <c r="K123" s="56">
        <f>IF(SUM(U123:AY123)=0,"",SUM(U123:AY123))</f>
        <v/>
      </c>
      <c r="L123" s="57">
        <f>IFERROR(INDEX(U$2:AY$2,MATCH(TRUE,U123:AY123&lt;&gt;"",0)),"")</f>
        <v/>
      </c>
      <c r="M123" s="58">
        <f>IFERROR(LOOKUP(2,1/(U123:AY123&lt;&gt;""),U$2:AY$2),"")</f>
        <v/>
      </c>
      <c r="N123" s="59">
        <f>IF(OR(G123="",M123=""),"",G123-M123)</f>
        <v/>
      </c>
      <c r="O123" s="60" t="n"/>
      <c r="P123" s="61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  <c r="AG123" s="62" t="n"/>
      <c r="AH123" s="62" t="n"/>
      <c r="AI123" s="62" t="n"/>
      <c r="AJ123" s="62" t="n"/>
      <c r="AK123" s="62" t="n"/>
      <c r="AL123" s="62" t="n"/>
      <c r="AM123" s="62" t="n"/>
      <c r="AN123" s="62" t="n"/>
      <c r="AO123" s="62" t="n"/>
      <c r="AP123" s="62" t="n"/>
      <c r="AQ123" s="62" t="n"/>
      <c r="AR123" s="62" t="n"/>
      <c r="AS123" s="62" t="n"/>
      <c r="AT123" s="62" t="n"/>
      <c r="AU123" s="62" t="n"/>
      <c r="AV123" s="62" t="n"/>
      <c r="AW123" s="62" t="n"/>
      <c r="AX123" s="62" t="n"/>
      <c r="AY123" s="62" t="n"/>
    </row>
    <row r="124">
      <c r="A124" s="38">
        <f>IF(D124="","",COUNTA($D$102:D124))</f>
        <v/>
      </c>
      <c r="B124" s="52" t="n"/>
      <c r="C124" s="71" t="inlineStr">
        <is>
          <t>마케팅4팀</t>
        </is>
      </c>
      <c r="D124" s="52" t="n"/>
      <c r="E124" s="54" t="n"/>
      <c r="F124" s="52" t="n"/>
      <c r="G124" s="55" t="n"/>
      <c r="H124" s="54" t="n"/>
      <c r="I124" s="54" t="n"/>
      <c r="J124" s="54" t="n"/>
      <c r="K124" s="56">
        <f>IF(SUM(U124:AY124)=0,"",SUM(U124:AY124))</f>
        <v/>
      </c>
      <c r="L124" s="57">
        <f>IFERROR(INDEX(U$2:AY$2,MATCH(TRUE,U124:AY124&lt;&gt;"",0)),"")</f>
        <v/>
      </c>
      <c r="M124" s="58">
        <f>IFERROR(LOOKUP(2,1/(U124:AY124&lt;&gt;""),U$2:AY$2),"")</f>
        <v/>
      </c>
      <c r="N124" s="59">
        <f>IF(OR(G124="",M124=""),"",G124-M124)</f>
        <v/>
      </c>
      <c r="O124" s="60" t="n"/>
      <c r="P124" s="61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  <c r="AG124" s="62" t="n"/>
      <c r="AH124" s="62" t="n"/>
      <c r="AI124" s="62" t="n"/>
      <c r="AJ124" s="62" t="n"/>
      <c r="AK124" s="62" t="n"/>
      <c r="AL124" s="62" t="n"/>
      <c r="AM124" s="62" t="n"/>
      <c r="AN124" s="62" t="n"/>
      <c r="AO124" s="62" t="n"/>
      <c r="AP124" s="62" t="n"/>
      <c r="AQ124" s="62" t="n"/>
      <c r="AR124" s="62" t="n"/>
      <c r="AS124" s="62" t="n"/>
      <c r="AT124" s="62" t="n"/>
      <c r="AU124" s="62" t="n"/>
      <c r="AV124" s="62" t="n"/>
      <c r="AW124" s="62" t="n"/>
      <c r="AX124" s="62" t="n"/>
      <c r="AY124" s="62" t="n"/>
    </row>
    <row r="125">
      <c r="A125" s="38">
        <f>IF(D125="","",COUNTA($D$102:D125))</f>
        <v/>
      </c>
      <c r="B125" s="52" t="n"/>
      <c r="C125" s="71" t="inlineStr">
        <is>
          <t>마케팅4팀</t>
        </is>
      </c>
      <c r="D125" s="52" t="n"/>
      <c r="E125" s="54" t="n"/>
      <c r="F125" s="52" t="n"/>
      <c r="G125" s="55" t="n"/>
      <c r="H125" s="54" t="n"/>
      <c r="I125" s="54" t="n"/>
      <c r="J125" s="54" t="n"/>
      <c r="K125" s="56">
        <f>IF(SUM(U125:AY125)=0,"",SUM(U125:AY125))</f>
        <v/>
      </c>
      <c r="L125" s="57">
        <f>IFERROR(INDEX(U$2:AY$2,MATCH(TRUE,U125:AY125&lt;&gt;"",0)),"")</f>
        <v/>
      </c>
      <c r="M125" s="58">
        <f>IFERROR(LOOKUP(2,1/(U125:AY125&lt;&gt;""),U$2:AY$2),"")</f>
        <v/>
      </c>
      <c r="N125" s="59">
        <f>IF(OR(G125="",M125=""),"",G125-M125)</f>
        <v/>
      </c>
      <c r="O125" s="60" t="n"/>
      <c r="P125" s="61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  <c r="AG125" s="62" t="n"/>
      <c r="AH125" s="62" t="n"/>
      <c r="AI125" s="62" t="n"/>
      <c r="AJ125" s="62" t="n"/>
      <c r="AK125" s="62" t="n"/>
      <c r="AL125" s="62" t="n"/>
      <c r="AM125" s="62" t="n"/>
      <c r="AN125" s="62" t="n"/>
      <c r="AO125" s="62" t="n"/>
      <c r="AP125" s="62" t="n"/>
      <c r="AQ125" s="62" t="n"/>
      <c r="AR125" s="62" t="n"/>
      <c r="AS125" s="62" t="n"/>
      <c r="AT125" s="62" t="n"/>
      <c r="AU125" s="62" t="n"/>
      <c r="AV125" s="62" t="n"/>
      <c r="AW125" s="62" t="n"/>
      <c r="AX125" s="62" t="n"/>
      <c r="AY125" s="62" t="n"/>
    </row>
    <row r="126">
      <c r="A126" s="38">
        <f>IF(D126="","",COUNTA($D$102:D126))</f>
        <v/>
      </c>
      <c r="B126" s="52" t="n"/>
      <c r="C126" s="71" t="inlineStr">
        <is>
          <t>마케팅4팀</t>
        </is>
      </c>
      <c r="D126" s="52" t="n"/>
      <c r="E126" s="54" t="n"/>
      <c r="F126" s="52" t="n"/>
      <c r="G126" s="55" t="n"/>
      <c r="H126" s="54" t="n"/>
      <c r="I126" s="54" t="n"/>
      <c r="J126" s="54" t="n"/>
      <c r="K126" s="56">
        <f>IF(SUM(U126:AY126)=0,"",SUM(U126:AY126))</f>
        <v/>
      </c>
      <c r="L126" s="57">
        <f>IFERROR(INDEX(U$2:AY$2,MATCH(TRUE,U126:AY126&lt;&gt;"",0)),"")</f>
        <v/>
      </c>
      <c r="M126" s="58">
        <f>IFERROR(LOOKUP(2,1/(U126:AY126&lt;&gt;""),U$2:AY$2),"")</f>
        <v/>
      </c>
      <c r="N126" s="59">
        <f>IF(OR(G126="",M126=""),"",G126-M126)</f>
        <v/>
      </c>
      <c r="O126" s="60" t="n"/>
      <c r="P126" s="61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  <c r="AG126" s="62" t="n"/>
      <c r="AH126" s="62" t="n"/>
      <c r="AI126" s="62" t="n"/>
      <c r="AJ126" s="62" t="n"/>
      <c r="AK126" s="62" t="n"/>
      <c r="AL126" s="62" t="n"/>
      <c r="AM126" s="62" t="n"/>
      <c r="AN126" s="62" t="n"/>
      <c r="AO126" s="62" t="n"/>
      <c r="AP126" s="62" t="n"/>
      <c r="AQ126" s="62" t="n"/>
      <c r="AR126" s="62" t="n"/>
      <c r="AS126" s="62" t="n"/>
      <c r="AT126" s="62" t="n"/>
      <c r="AU126" s="62" t="n"/>
      <c r="AV126" s="62" t="n"/>
      <c r="AW126" s="62" t="n"/>
      <c r="AX126" s="62" t="n"/>
      <c r="AY126" s="62" t="n"/>
    </row>
    <row r="127">
      <c r="A127" s="38">
        <f>IF(D127="","",COUNTA($D$102:D127))</f>
        <v/>
      </c>
      <c r="B127" s="52" t="n"/>
      <c r="C127" s="71" t="inlineStr">
        <is>
          <t>마케팅4팀</t>
        </is>
      </c>
      <c r="D127" s="52" t="n"/>
      <c r="E127" s="54" t="n"/>
      <c r="F127" s="52" t="n"/>
      <c r="G127" s="55" t="n"/>
      <c r="H127" s="54" t="n"/>
      <c r="I127" s="54" t="n"/>
      <c r="J127" s="54" t="n"/>
      <c r="K127" s="56">
        <f>IF(SUM(U127:AY127)=0,"",SUM(U127:AY127))</f>
        <v/>
      </c>
      <c r="L127" s="57">
        <f>IFERROR(INDEX(U$2:AY$2,MATCH(TRUE,U127:AY127&lt;&gt;"",0)),"")</f>
        <v/>
      </c>
      <c r="M127" s="58">
        <f>IFERROR(LOOKUP(2,1/(U127:AY127&lt;&gt;""),U$2:AY$2),"")</f>
        <v/>
      </c>
      <c r="N127" s="59">
        <f>IF(OR(G127="",M127=""),"",G127-M127)</f>
        <v/>
      </c>
      <c r="O127" s="60" t="n"/>
      <c r="P127" s="61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  <c r="AG127" s="62" t="n"/>
      <c r="AH127" s="62" t="n"/>
      <c r="AI127" s="62" t="n"/>
      <c r="AJ127" s="62" t="n"/>
      <c r="AK127" s="62" t="n"/>
      <c r="AL127" s="62" t="n"/>
      <c r="AM127" s="62" t="n"/>
      <c r="AN127" s="62" t="n"/>
      <c r="AO127" s="62" t="n"/>
      <c r="AP127" s="62" t="n"/>
      <c r="AQ127" s="62" t="n"/>
      <c r="AR127" s="62" t="n"/>
      <c r="AS127" s="62" t="n"/>
      <c r="AT127" s="62" t="n"/>
      <c r="AU127" s="62" t="n"/>
      <c r="AV127" s="62" t="n"/>
      <c r="AW127" s="62" t="n"/>
      <c r="AX127" s="62" t="n"/>
      <c r="AY127" s="62" t="n"/>
    </row>
    <row r="128">
      <c r="A128" s="38">
        <f>IF(D128="","",COUNTA($D$102:D128))</f>
        <v/>
      </c>
      <c r="B128" s="52" t="n"/>
      <c r="C128" s="71" t="inlineStr">
        <is>
          <t>마케팅4팀</t>
        </is>
      </c>
      <c r="D128" s="52" t="n"/>
      <c r="E128" s="54" t="n"/>
      <c r="F128" s="52" t="n"/>
      <c r="G128" s="55" t="n"/>
      <c r="H128" s="54" t="n"/>
      <c r="I128" s="54" t="n"/>
      <c r="J128" s="54" t="n"/>
      <c r="K128" s="56">
        <f>IF(SUM(U128:AY128)=0,"",SUM(U128:AY128))</f>
        <v/>
      </c>
      <c r="L128" s="57">
        <f>IFERROR(INDEX(U$2:AY$2,MATCH(TRUE,U128:AY128&lt;&gt;"",0)),"")</f>
        <v/>
      </c>
      <c r="M128" s="58">
        <f>IFERROR(LOOKUP(2,1/(U128:AY128&lt;&gt;""),U$2:AY$2),"")</f>
        <v/>
      </c>
      <c r="N128" s="59">
        <f>IF(OR(G128="",M128=""),"",G128-M128)</f>
        <v/>
      </c>
      <c r="O128" s="60" t="n"/>
      <c r="P128" s="61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  <c r="AG128" s="62" t="n"/>
      <c r="AH128" s="62" t="n"/>
      <c r="AI128" s="62" t="n"/>
      <c r="AJ128" s="62" t="n"/>
      <c r="AK128" s="62" t="n"/>
      <c r="AL128" s="62" t="n"/>
      <c r="AM128" s="62" t="n"/>
      <c r="AN128" s="62" t="n"/>
      <c r="AO128" s="62" t="n"/>
      <c r="AP128" s="62" t="n"/>
      <c r="AQ128" s="62" t="n"/>
      <c r="AR128" s="62" t="n"/>
      <c r="AS128" s="62" t="n"/>
      <c r="AT128" s="62" t="n"/>
      <c r="AU128" s="62" t="n"/>
      <c r="AV128" s="62" t="n"/>
      <c r="AW128" s="62" t="n"/>
      <c r="AX128" s="62" t="n"/>
      <c r="AY128" s="62" t="n"/>
    </row>
    <row r="129">
      <c r="A129" s="38">
        <f>IF(D129="","",COUNTA($D$102:D129))</f>
        <v/>
      </c>
      <c r="B129" s="52" t="n"/>
      <c r="C129" s="71" t="inlineStr">
        <is>
          <t>마케팅4팀</t>
        </is>
      </c>
      <c r="D129" s="52" t="n"/>
      <c r="E129" s="54" t="n"/>
      <c r="F129" s="52" t="n"/>
      <c r="G129" s="55" t="n"/>
      <c r="H129" s="54" t="n"/>
      <c r="I129" s="54" t="n"/>
      <c r="J129" s="54" t="n"/>
      <c r="K129" s="56">
        <f>IF(SUM(U129:AY129)=0,"",SUM(U129:AY129))</f>
        <v/>
      </c>
      <c r="L129" s="57">
        <f>IFERROR(INDEX(U$2:AY$2,MATCH(TRUE,U129:AY129&lt;&gt;"",0)),"")</f>
        <v/>
      </c>
      <c r="M129" s="58">
        <f>IFERROR(LOOKUP(2,1/(U129:AY129&lt;&gt;""),U$2:AY$2),"")</f>
        <v/>
      </c>
      <c r="N129" s="59">
        <f>IF(OR(G129="",M129=""),"",G129-M129)</f>
        <v/>
      </c>
      <c r="O129" s="60" t="n"/>
      <c r="P129" s="61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  <c r="AG129" s="62" t="n"/>
      <c r="AH129" s="62" t="n"/>
      <c r="AI129" s="62" t="n"/>
      <c r="AJ129" s="62" t="n"/>
      <c r="AK129" s="62" t="n"/>
      <c r="AL129" s="62" t="n"/>
      <c r="AM129" s="62" t="n"/>
      <c r="AN129" s="62" t="n"/>
      <c r="AO129" s="62" t="n"/>
      <c r="AP129" s="62" t="n"/>
      <c r="AQ129" s="62" t="n"/>
      <c r="AR129" s="62" t="n"/>
      <c r="AS129" s="62" t="n"/>
      <c r="AT129" s="62" t="n"/>
      <c r="AU129" s="62" t="n"/>
      <c r="AV129" s="62" t="n"/>
      <c r="AW129" s="62" t="n"/>
      <c r="AX129" s="62" t="n"/>
      <c r="AY129" s="62" t="n"/>
    </row>
    <row r="130">
      <c r="A130" s="38">
        <f>IF(D130="","",COUNTA($D$102:D130))</f>
        <v/>
      </c>
      <c r="B130" s="52" t="n"/>
      <c r="C130" s="71" t="inlineStr">
        <is>
          <t>마케팅4팀</t>
        </is>
      </c>
      <c r="D130" s="52" t="n"/>
      <c r="E130" s="54" t="n"/>
      <c r="F130" s="52" t="n"/>
      <c r="G130" s="55" t="n"/>
      <c r="H130" s="54" t="n"/>
      <c r="I130" s="54" t="n"/>
      <c r="J130" s="54" t="n"/>
      <c r="K130" s="56">
        <f>IF(SUM(U130:AY130)=0,"",SUM(U130:AY130))</f>
        <v/>
      </c>
      <c r="L130" s="57">
        <f>IFERROR(INDEX(U$2:AY$2,MATCH(TRUE,U130:AY130&lt;&gt;"",0)),"")</f>
        <v/>
      </c>
      <c r="M130" s="58">
        <f>IFERROR(LOOKUP(2,1/(U130:AY130&lt;&gt;""),U$2:AY$2),"")</f>
        <v/>
      </c>
      <c r="N130" s="59">
        <f>IF(OR(G130="",M130=""),"",G130-M130)</f>
        <v/>
      </c>
      <c r="O130" s="60" t="n"/>
      <c r="P130" s="61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  <c r="AG130" s="62" t="n"/>
      <c r="AH130" s="62" t="n"/>
      <c r="AI130" s="62" t="n"/>
      <c r="AJ130" s="62" t="n"/>
      <c r="AK130" s="62" t="n"/>
      <c r="AL130" s="62" t="n"/>
      <c r="AM130" s="62" t="n"/>
      <c r="AN130" s="62" t="n"/>
      <c r="AO130" s="62" t="n"/>
      <c r="AP130" s="62" t="n"/>
      <c r="AQ130" s="62" t="n"/>
      <c r="AR130" s="62" t="n"/>
      <c r="AS130" s="62" t="n"/>
      <c r="AT130" s="62" t="n"/>
      <c r="AU130" s="62" t="n"/>
      <c r="AV130" s="62" t="n"/>
      <c r="AW130" s="62" t="n"/>
      <c r="AX130" s="62" t="n"/>
      <c r="AY130" s="62" t="n"/>
    </row>
    <row r="131">
      <c r="A131" s="38">
        <f>IF(D131="","",COUNTA($D$102:D131))</f>
        <v/>
      </c>
      <c r="B131" s="52" t="n"/>
      <c r="C131" s="71" t="inlineStr">
        <is>
          <t>마케팅4팀</t>
        </is>
      </c>
      <c r="D131" s="52" t="n"/>
      <c r="E131" s="54" t="n"/>
      <c r="F131" s="52" t="n"/>
      <c r="G131" s="55" t="n"/>
      <c r="H131" s="54" t="n"/>
      <c r="I131" s="54" t="n"/>
      <c r="J131" s="54" t="n"/>
      <c r="K131" s="56">
        <f>IF(SUM(U131:AY131)=0,"",SUM(U131:AY131))</f>
        <v/>
      </c>
      <c r="L131" s="57">
        <f>IFERROR(INDEX(U$2:AY$2,MATCH(TRUE,U131:AY131&lt;&gt;"",0)),"")</f>
        <v/>
      </c>
      <c r="M131" s="58">
        <f>IFERROR(LOOKUP(2,1/(U131:AY131&lt;&gt;""),U$2:AY$2),"")</f>
        <v/>
      </c>
      <c r="N131" s="59">
        <f>IF(OR(G131="",M131=""),"",G131-M131)</f>
        <v/>
      </c>
      <c r="O131" s="60" t="n"/>
      <c r="P131" s="61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  <c r="AG131" s="62" t="n"/>
      <c r="AH131" s="62" t="n"/>
      <c r="AI131" s="62" t="n"/>
      <c r="AJ131" s="62" t="n"/>
      <c r="AK131" s="62" t="n"/>
      <c r="AL131" s="62" t="n"/>
      <c r="AM131" s="62" t="n"/>
      <c r="AN131" s="62" t="n"/>
      <c r="AO131" s="62" t="n"/>
      <c r="AP131" s="62" t="n"/>
      <c r="AQ131" s="62" t="n"/>
      <c r="AR131" s="62" t="n"/>
      <c r="AS131" s="62" t="n"/>
      <c r="AT131" s="62" t="n"/>
      <c r="AU131" s="62" t="n"/>
      <c r="AV131" s="62" t="n"/>
      <c r="AW131" s="62" t="n"/>
      <c r="AX131" s="62" t="n"/>
      <c r="AY131" s="62" t="n"/>
    </row>
    <row r="132">
      <c r="A132" s="72" t="inlineStr">
        <is>
          <t>기타  (133~162행)</t>
        </is>
      </c>
      <c r="U132" s="34" t="n"/>
      <c r="V132" s="34" t="n"/>
      <c r="W132" s="34" t="n"/>
      <c r="X132" s="34" t="n"/>
      <c r="Y132" s="34" t="n"/>
      <c r="Z132" s="34" t="n"/>
      <c r="AA132" s="34" t="n"/>
      <c r="AB132" s="34" t="n"/>
      <c r="AC132" s="34" t="n"/>
      <c r="AD132" s="34" t="n"/>
      <c r="AE132" s="34" t="n"/>
      <c r="AF132" s="34" t="n"/>
      <c r="AG132" s="34" t="n"/>
      <c r="AH132" s="34" t="n"/>
      <c r="AI132" s="34" t="n"/>
      <c r="AJ132" s="34" t="n"/>
      <c r="AK132" s="34" t="n"/>
      <c r="AL132" s="34" t="n"/>
      <c r="AM132" s="34" t="n"/>
      <c r="AN132" s="34" t="n"/>
      <c r="AO132" s="34" t="n"/>
      <c r="AP132" s="34" t="n"/>
      <c r="AQ132" s="34" t="n"/>
      <c r="AR132" s="34" t="n"/>
      <c r="AS132" s="34" t="n"/>
      <c r="AT132" s="34" t="n"/>
      <c r="AU132" s="34" t="n"/>
      <c r="AV132" s="34" t="n"/>
      <c r="AW132" s="34" t="n"/>
      <c r="AX132" s="34" t="n"/>
      <c r="AY132" s="34" t="n"/>
    </row>
    <row r="133">
      <c r="A133" s="38">
        <f>IF(D133="","",COUNTA($D$133:D133))</f>
        <v/>
      </c>
      <c r="B133" s="52" t="n"/>
      <c r="C133" s="73" t="inlineStr">
        <is>
          <t>기타</t>
        </is>
      </c>
      <c r="D133" s="52" t="n"/>
      <c r="E133" s="54" t="n"/>
      <c r="F133" s="52" t="n"/>
      <c r="G133" s="55" t="n"/>
      <c r="H133" s="54" t="n"/>
      <c r="I133" s="54" t="n"/>
      <c r="J133" s="54" t="n"/>
      <c r="K133" s="56">
        <f>IF(SUM(U133:AY133)=0,"",SUM(U133:AY133))</f>
        <v/>
      </c>
      <c r="L133" s="57">
        <f>IFERROR(INDEX(U$2:AY$2,MATCH(TRUE,U133:AY133&lt;&gt;"",0)),"")</f>
        <v/>
      </c>
      <c r="M133" s="58">
        <f>IFERROR(LOOKUP(2,1/(U133:AY133&lt;&gt;""),U$2:AY$2),"")</f>
        <v/>
      </c>
      <c r="N133" s="59">
        <f>IF(OR(G133="",M133=""),"",G133-M133)</f>
        <v/>
      </c>
      <c r="O133" s="60" t="n"/>
      <c r="P133" s="61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  <c r="AG133" s="62" t="n"/>
      <c r="AH133" s="62" t="n"/>
      <c r="AI133" s="62" t="n"/>
      <c r="AJ133" s="62" t="n"/>
      <c r="AK133" s="62" t="n"/>
      <c r="AL133" s="62" t="n"/>
      <c r="AM133" s="62" t="n"/>
      <c r="AN133" s="62" t="n"/>
      <c r="AO133" s="62" t="n"/>
      <c r="AP133" s="62" t="n"/>
      <c r="AQ133" s="62" t="n"/>
      <c r="AR133" s="62" t="n"/>
      <c r="AS133" s="62" t="n"/>
      <c r="AT133" s="62" t="n"/>
      <c r="AU133" s="62" t="n"/>
      <c r="AV133" s="62" t="n"/>
      <c r="AW133" s="62" t="n"/>
      <c r="AX133" s="62" t="n"/>
      <c r="AY133" s="62" t="n"/>
    </row>
    <row r="134">
      <c r="A134" s="38">
        <f>IF(D134="","",COUNTA($D$133:D134))</f>
        <v/>
      </c>
      <c r="B134" s="52" t="n"/>
      <c r="C134" s="73" t="inlineStr">
        <is>
          <t>기타</t>
        </is>
      </c>
      <c r="D134" s="52" t="n"/>
      <c r="E134" s="54" t="n"/>
      <c r="F134" s="52" t="n"/>
      <c r="G134" s="55" t="n"/>
      <c r="H134" s="54" t="n"/>
      <c r="I134" s="54" t="n"/>
      <c r="J134" s="54" t="n"/>
      <c r="K134" s="56">
        <f>IF(SUM(U134:AY134)=0,"",SUM(U134:AY134))</f>
        <v/>
      </c>
      <c r="L134" s="57">
        <f>IFERROR(INDEX(U$2:AY$2,MATCH(TRUE,U134:AY134&lt;&gt;"",0)),"")</f>
        <v/>
      </c>
      <c r="M134" s="58">
        <f>IFERROR(LOOKUP(2,1/(U134:AY134&lt;&gt;""),U$2:AY$2),"")</f>
        <v/>
      </c>
      <c r="N134" s="59">
        <f>IF(OR(G134="",M134=""),"",G134-M134)</f>
        <v/>
      </c>
      <c r="O134" s="60" t="n"/>
      <c r="P134" s="61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  <c r="AG134" s="62" t="n"/>
      <c r="AH134" s="62" t="n"/>
      <c r="AI134" s="62" t="n"/>
      <c r="AJ134" s="62" t="n"/>
      <c r="AK134" s="62" t="n"/>
      <c r="AL134" s="62" t="n"/>
      <c r="AM134" s="62" t="n"/>
      <c r="AN134" s="62" t="n"/>
      <c r="AO134" s="62" t="n"/>
      <c r="AP134" s="62" t="n"/>
      <c r="AQ134" s="62" t="n"/>
      <c r="AR134" s="62" t="n"/>
      <c r="AS134" s="62" t="n"/>
      <c r="AT134" s="62" t="n"/>
      <c r="AU134" s="62" t="n"/>
      <c r="AV134" s="62" t="n"/>
      <c r="AW134" s="62" t="n"/>
      <c r="AX134" s="62" t="n"/>
      <c r="AY134" s="62" t="n"/>
    </row>
    <row r="135">
      <c r="A135" s="38">
        <f>IF(D135="","",COUNTA($D$133:D135))</f>
        <v/>
      </c>
      <c r="B135" s="52" t="n"/>
      <c r="C135" s="73" t="inlineStr">
        <is>
          <t>기타</t>
        </is>
      </c>
      <c r="D135" s="52" t="n"/>
      <c r="E135" s="54" t="n"/>
      <c r="F135" s="52" t="n"/>
      <c r="G135" s="55" t="n"/>
      <c r="H135" s="54" t="n"/>
      <c r="I135" s="54" t="n"/>
      <c r="J135" s="54" t="n"/>
      <c r="K135" s="56">
        <f>IF(SUM(U135:AY135)=0,"",SUM(U135:AY135))</f>
        <v/>
      </c>
      <c r="L135" s="57">
        <f>IFERROR(INDEX(U$2:AY$2,MATCH(TRUE,U135:AY135&lt;&gt;"",0)),"")</f>
        <v/>
      </c>
      <c r="M135" s="58">
        <f>IFERROR(LOOKUP(2,1/(U135:AY135&lt;&gt;""),U$2:AY$2),"")</f>
        <v/>
      </c>
      <c r="N135" s="59">
        <f>IF(OR(G135="",M135=""),"",G135-M135)</f>
        <v/>
      </c>
      <c r="O135" s="60" t="n"/>
      <c r="P135" s="61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  <c r="AG135" s="62" t="n"/>
      <c r="AH135" s="62" t="n"/>
      <c r="AI135" s="62" t="n"/>
      <c r="AJ135" s="62" t="n"/>
      <c r="AK135" s="62" t="n"/>
      <c r="AL135" s="62" t="n"/>
      <c r="AM135" s="62" t="n"/>
      <c r="AN135" s="62" t="n"/>
      <c r="AO135" s="62" t="n"/>
      <c r="AP135" s="62" t="n"/>
      <c r="AQ135" s="62" t="n"/>
      <c r="AR135" s="62" t="n"/>
      <c r="AS135" s="62" t="n"/>
      <c r="AT135" s="62" t="n"/>
      <c r="AU135" s="62" t="n"/>
      <c r="AV135" s="62" t="n"/>
      <c r="AW135" s="62" t="n"/>
      <c r="AX135" s="62" t="n"/>
      <c r="AY135" s="62" t="n"/>
    </row>
    <row r="136">
      <c r="A136" s="38">
        <f>IF(D136="","",COUNTA($D$133:D136))</f>
        <v/>
      </c>
      <c r="B136" s="52" t="n"/>
      <c r="C136" s="73" t="inlineStr">
        <is>
          <t>기타</t>
        </is>
      </c>
      <c r="D136" s="52" t="n"/>
      <c r="E136" s="54" t="n"/>
      <c r="F136" s="52" t="n"/>
      <c r="G136" s="55" t="n"/>
      <c r="H136" s="54" t="n"/>
      <c r="I136" s="54" t="n"/>
      <c r="J136" s="54" t="n"/>
      <c r="K136" s="56">
        <f>IF(SUM(U136:AY136)=0,"",SUM(U136:AY136))</f>
        <v/>
      </c>
      <c r="L136" s="57">
        <f>IFERROR(INDEX(U$2:AY$2,MATCH(TRUE,U136:AY136&lt;&gt;"",0)),"")</f>
        <v/>
      </c>
      <c r="M136" s="58">
        <f>IFERROR(LOOKUP(2,1/(U136:AY136&lt;&gt;""),U$2:AY$2),"")</f>
        <v/>
      </c>
      <c r="N136" s="59">
        <f>IF(OR(G136="",M136=""),"",G136-M136)</f>
        <v/>
      </c>
      <c r="O136" s="60" t="n"/>
      <c r="P136" s="61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  <c r="AG136" s="62" t="n"/>
      <c r="AH136" s="62" t="n"/>
      <c r="AI136" s="62" t="n"/>
      <c r="AJ136" s="62" t="n"/>
      <c r="AK136" s="62" t="n"/>
      <c r="AL136" s="62" t="n"/>
      <c r="AM136" s="62" t="n"/>
      <c r="AN136" s="62" t="n"/>
      <c r="AO136" s="62" t="n"/>
      <c r="AP136" s="62" t="n"/>
      <c r="AQ136" s="62" t="n"/>
      <c r="AR136" s="62" t="n"/>
      <c r="AS136" s="62" t="n"/>
      <c r="AT136" s="62" t="n"/>
      <c r="AU136" s="62" t="n"/>
      <c r="AV136" s="62" t="n"/>
      <c r="AW136" s="62" t="n"/>
      <c r="AX136" s="62" t="n"/>
      <c r="AY136" s="62" t="n"/>
    </row>
    <row r="137">
      <c r="A137" s="38">
        <f>IF(D137="","",COUNTA($D$133:D137))</f>
        <v/>
      </c>
      <c r="B137" s="52" t="n"/>
      <c r="C137" s="73" t="inlineStr">
        <is>
          <t>기타</t>
        </is>
      </c>
      <c r="D137" s="52" t="n"/>
      <c r="E137" s="54" t="n"/>
      <c r="F137" s="52" t="n"/>
      <c r="G137" s="55" t="n"/>
      <c r="H137" s="54" t="n"/>
      <c r="I137" s="54" t="n"/>
      <c r="J137" s="54" t="n"/>
      <c r="K137" s="56">
        <f>IF(SUM(U137:AY137)=0,"",SUM(U137:AY137))</f>
        <v/>
      </c>
      <c r="L137" s="57">
        <f>IFERROR(INDEX(U$2:AY$2,MATCH(TRUE,U137:AY137&lt;&gt;"",0)),"")</f>
        <v/>
      </c>
      <c r="M137" s="58">
        <f>IFERROR(LOOKUP(2,1/(U137:AY137&lt;&gt;""),U$2:AY$2),"")</f>
        <v/>
      </c>
      <c r="N137" s="59">
        <f>IF(OR(G137="",M137=""),"",G137-M137)</f>
        <v/>
      </c>
      <c r="O137" s="60" t="n"/>
      <c r="P137" s="61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  <c r="AG137" s="62" t="n"/>
      <c r="AH137" s="62" t="n"/>
      <c r="AI137" s="62" t="n"/>
      <c r="AJ137" s="62" t="n"/>
      <c r="AK137" s="62" t="n"/>
      <c r="AL137" s="62" t="n"/>
      <c r="AM137" s="62" t="n"/>
      <c r="AN137" s="62" t="n"/>
      <c r="AO137" s="62" t="n"/>
      <c r="AP137" s="62" t="n"/>
      <c r="AQ137" s="62" t="n"/>
      <c r="AR137" s="62" t="n"/>
      <c r="AS137" s="62" t="n"/>
      <c r="AT137" s="62" t="n"/>
      <c r="AU137" s="62" t="n"/>
      <c r="AV137" s="62" t="n"/>
      <c r="AW137" s="62" t="n"/>
      <c r="AX137" s="62" t="n"/>
      <c r="AY137" s="62" t="n"/>
    </row>
    <row r="138">
      <c r="A138" s="38">
        <f>IF(D138="","",COUNTA($D$133:D138))</f>
        <v/>
      </c>
      <c r="B138" s="52" t="n"/>
      <c r="C138" s="73" t="inlineStr">
        <is>
          <t>기타</t>
        </is>
      </c>
      <c r="D138" s="52" t="n"/>
      <c r="E138" s="54" t="n"/>
      <c r="F138" s="52" t="n"/>
      <c r="G138" s="55" t="n"/>
      <c r="H138" s="54" t="n"/>
      <c r="I138" s="54" t="n"/>
      <c r="J138" s="54" t="n"/>
      <c r="K138" s="56">
        <f>IF(SUM(U138:AY138)=0,"",SUM(U138:AY138))</f>
        <v/>
      </c>
      <c r="L138" s="57">
        <f>IFERROR(INDEX(U$2:AY$2,MATCH(TRUE,U138:AY138&lt;&gt;"",0)),"")</f>
        <v/>
      </c>
      <c r="M138" s="58">
        <f>IFERROR(LOOKUP(2,1/(U138:AY138&lt;&gt;""),U$2:AY$2),"")</f>
        <v/>
      </c>
      <c r="N138" s="59">
        <f>IF(OR(G138="",M138=""),"",G138-M138)</f>
        <v/>
      </c>
      <c r="O138" s="60" t="n"/>
      <c r="P138" s="61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  <c r="AG138" s="62" t="n"/>
      <c r="AH138" s="62" t="n"/>
      <c r="AI138" s="62" t="n"/>
      <c r="AJ138" s="62" t="n"/>
      <c r="AK138" s="62" t="n"/>
      <c r="AL138" s="62" t="n"/>
      <c r="AM138" s="62" t="n"/>
      <c r="AN138" s="62" t="n"/>
      <c r="AO138" s="62" t="n"/>
      <c r="AP138" s="62" t="n"/>
      <c r="AQ138" s="62" t="n"/>
      <c r="AR138" s="62" t="n"/>
      <c r="AS138" s="62" t="n"/>
      <c r="AT138" s="62" t="n"/>
      <c r="AU138" s="62" t="n"/>
      <c r="AV138" s="62" t="n"/>
      <c r="AW138" s="62" t="n"/>
      <c r="AX138" s="62" t="n"/>
      <c r="AY138" s="62" t="n"/>
    </row>
    <row r="139">
      <c r="A139" s="38">
        <f>IF(D139="","",COUNTA($D$133:D139))</f>
        <v/>
      </c>
      <c r="B139" s="52" t="n"/>
      <c r="C139" s="73" t="inlineStr">
        <is>
          <t>기타</t>
        </is>
      </c>
      <c r="D139" s="52" t="n"/>
      <c r="E139" s="54" t="n"/>
      <c r="F139" s="52" t="n"/>
      <c r="G139" s="55" t="n"/>
      <c r="H139" s="54" t="n"/>
      <c r="I139" s="54" t="n"/>
      <c r="J139" s="54" t="n"/>
      <c r="K139" s="56">
        <f>IF(SUM(U139:AY139)=0,"",SUM(U139:AY139))</f>
        <v/>
      </c>
      <c r="L139" s="57">
        <f>IFERROR(INDEX(U$2:AY$2,MATCH(TRUE,U139:AY139&lt;&gt;"",0)),"")</f>
        <v/>
      </c>
      <c r="M139" s="58">
        <f>IFERROR(LOOKUP(2,1/(U139:AY139&lt;&gt;""),U$2:AY$2),"")</f>
        <v/>
      </c>
      <c r="N139" s="59">
        <f>IF(OR(G139="",M139=""),"",G139-M139)</f>
        <v/>
      </c>
      <c r="O139" s="60" t="n"/>
      <c r="P139" s="61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  <c r="AG139" s="62" t="n"/>
      <c r="AH139" s="62" t="n"/>
      <c r="AI139" s="62" t="n"/>
      <c r="AJ139" s="62" t="n"/>
      <c r="AK139" s="62" t="n"/>
      <c r="AL139" s="62" t="n"/>
      <c r="AM139" s="62" t="n"/>
      <c r="AN139" s="62" t="n"/>
      <c r="AO139" s="62" t="n"/>
      <c r="AP139" s="62" t="n"/>
      <c r="AQ139" s="62" t="n"/>
      <c r="AR139" s="62" t="n"/>
      <c r="AS139" s="62" t="n"/>
      <c r="AT139" s="62" t="n"/>
      <c r="AU139" s="62" t="n"/>
      <c r="AV139" s="62" t="n"/>
      <c r="AW139" s="62" t="n"/>
      <c r="AX139" s="62" t="n"/>
      <c r="AY139" s="62" t="n"/>
    </row>
    <row r="140">
      <c r="A140" s="38">
        <f>IF(D140="","",COUNTA($D$133:D140))</f>
        <v/>
      </c>
      <c r="B140" s="52" t="n"/>
      <c r="C140" s="73" t="inlineStr">
        <is>
          <t>기타</t>
        </is>
      </c>
      <c r="D140" s="52" t="n"/>
      <c r="E140" s="54" t="n"/>
      <c r="F140" s="52" t="n"/>
      <c r="G140" s="55" t="n"/>
      <c r="H140" s="54" t="n"/>
      <c r="I140" s="54" t="n"/>
      <c r="J140" s="54" t="n"/>
      <c r="K140" s="56">
        <f>IF(SUM(U140:AY140)=0,"",SUM(U140:AY140))</f>
        <v/>
      </c>
      <c r="L140" s="57">
        <f>IFERROR(INDEX(U$2:AY$2,MATCH(TRUE,U140:AY140&lt;&gt;"",0)),"")</f>
        <v/>
      </c>
      <c r="M140" s="58">
        <f>IFERROR(LOOKUP(2,1/(U140:AY140&lt;&gt;""),U$2:AY$2),"")</f>
        <v/>
      </c>
      <c r="N140" s="59">
        <f>IF(OR(G140="",M140=""),"",G140-M140)</f>
        <v/>
      </c>
      <c r="O140" s="60" t="n"/>
      <c r="P140" s="61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  <c r="AG140" s="62" t="n"/>
      <c r="AH140" s="62" t="n"/>
      <c r="AI140" s="62" t="n"/>
      <c r="AJ140" s="62" t="n"/>
      <c r="AK140" s="62" t="n"/>
      <c r="AL140" s="62" t="n"/>
      <c r="AM140" s="62" t="n"/>
      <c r="AN140" s="62" t="n"/>
      <c r="AO140" s="62" t="n"/>
      <c r="AP140" s="62" t="n"/>
      <c r="AQ140" s="62" t="n"/>
      <c r="AR140" s="62" t="n"/>
      <c r="AS140" s="62" t="n"/>
      <c r="AT140" s="62" t="n"/>
      <c r="AU140" s="62" t="n"/>
      <c r="AV140" s="62" t="n"/>
      <c r="AW140" s="62" t="n"/>
      <c r="AX140" s="62" t="n"/>
      <c r="AY140" s="62" t="n"/>
    </row>
    <row r="141">
      <c r="A141" s="38">
        <f>IF(D141="","",COUNTA($D$133:D141))</f>
        <v/>
      </c>
      <c r="B141" s="52" t="n"/>
      <c r="C141" s="73" t="inlineStr">
        <is>
          <t>기타</t>
        </is>
      </c>
      <c r="D141" s="52" t="n"/>
      <c r="E141" s="54" t="n"/>
      <c r="F141" s="52" t="n"/>
      <c r="G141" s="55" t="n"/>
      <c r="H141" s="54" t="n"/>
      <c r="I141" s="54" t="n"/>
      <c r="J141" s="54" t="n"/>
      <c r="K141" s="56">
        <f>IF(SUM(U141:AY141)=0,"",SUM(U141:AY141))</f>
        <v/>
      </c>
      <c r="L141" s="57">
        <f>IFERROR(INDEX(U$2:AY$2,MATCH(TRUE,U141:AY141&lt;&gt;"",0)),"")</f>
        <v/>
      </c>
      <c r="M141" s="58">
        <f>IFERROR(LOOKUP(2,1/(U141:AY141&lt;&gt;""),U$2:AY$2),"")</f>
        <v/>
      </c>
      <c r="N141" s="59">
        <f>IF(OR(G141="",M141=""),"",G141-M141)</f>
        <v/>
      </c>
      <c r="O141" s="60" t="n"/>
      <c r="P141" s="61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  <c r="AG141" s="62" t="n"/>
      <c r="AH141" s="62" t="n"/>
      <c r="AI141" s="62" t="n"/>
      <c r="AJ141" s="62" t="n"/>
      <c r="AK141" s="62" t="n"/>
      <c r="AL141" s="62" t="n"/>
      <c r="AM141" s="62" t="n"/>
      <c r="AN141" s="62" t="n"/>
      <c r="AO141" s="62" t="n"/>
      <c r="AP141" s="62" t="n"/>
      <c r="AQ141" s="62" t="n"/>
      <c r="AR141" s="62" t="n"/>
      <c r="AS141" s="62" t="n"/>
      <c r="AT141" s="62" t="n"/>
      <c r="AU141" s="62" t="n"/>
      <c r="AV141" s="62" t="n"/>
      <c r="AW141" s="62" t="n"/>
      <c r="AX141" s="62" t="n"/>
      <c r="AY141" s="62" t="n"/>
    </row>
    <row r="142">
      <c r="A142" s="38">
        <f>IF(D142="","",COUNTA($D$133:D142))</f>
        <v/>
      </c>
      <c r="B142" s="52" t="n"/>
      <c r="C142" s="73" t="inlineStr">
        <is>
          <t>기타</t>
        </is>
      </c>
      <c r="D142" s="52" t="n"/>
      <c r="E142" s="54" t="n"/>
      <c r="F142" s="52" t="n"/>
      <c r="G142" s="55" t="n"/>
      <c r="H142" s="54" t="n"/>
      <c r="I142" s="54" t="n"/>
      <c r="J142" s="54" t="n"/>
      <c r="K142" s="56">
        <f>IF(SUM(U142:AY142)=0,"",SUM(U142:AY142))</f>
        <v/>
      </c>
      <c r="L142" s="57">
        <f>IFERROR(INDEX(U$2:AY$2,MATCH(TRUE,U142:AY142&lt;&gt;"",0)),"")</f>
        <v/>
      </c>
      <c r="M142" s="58">
        <f>IFERROR(LOOKUP(2,1/(U142:AY142&lt;&gt;""),U$2:AY$2),"")</f>
        <v/>
      </c>
      <c r="N142" s="59">
        <f>IF(OR(G142="",M142=""),"",G142-M142)</f>
        <v/>
      </c>
      <c r="O142" s="60" t="n"/>
      <c r="P142" s="61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  <c r="AG142" s="62" t="n"/>
      <c r="AH142" s="62" t="n"/>
      <c r="AI142" s="62" t="n"/>
      <c r="AJ142" s="62" t="n"/>
      <c r="AK142" s="62" t="n"/>
      <c r="AL142" s="62" t="n"/>
      <c r="AM142" s="62" t="n"/>
      <c r="AN142" s="62" t="n"/>
      <c r="AO142" s="62" t="n"/>
      <c r="AP142" s="62" t="n"/>
      <c r="AQ142" s="62" t="n"/>
      <c r="AR142" s="62" t="n"/>
      <c r="AS142" s="62" t="n"/>
      <c r="AT142" s="62" t="n"/>
      <c r="AU142" s="62" t="n"/>
      <c r="AV142" s="62" t="n"/>
      <c r="AW142" s="62" t="n"/>
      <c r="AX142" s="62" t="n"/>
      <c r="AY142" s="62" t="n"/>
    </row>
    <row r="143">
      <c r="A143" s="38">
        <f>IF(D143="","",COUNTA($D$133:D143))</f>
        <v/>
      </c>
      <c r="B143" s="52" t="n"/>
      <c r="C143" s="73" t="inlineStr">
        <is>
          <t>기타</t>
        </is>
      </c>
      <c r="D143" s="52" t="n"/>
      <c r="E143" s="54" t="n"/>
      <c r="F143" s="52" t="n"/>
      <c r="G143" s="55" t="n"/>
      <c r="H143" s="54" t="n"/>
      <c r="I143" s="54" t="n"/>
      <c r="J143" s="54" t="n"/>
      <c r="K143" s="56">
        <f>IF(SUM(U143:AY143)=0,"",SUM(U143:AY143))</f>
        <v/>
      </c>
      <c r="L143" s="57">
        <f>IFERROR(INDEX(U$2:AY$2,MATCH(TRUE,U143:AY143&lt;&gt;"",0)),"")</f>
        <v/>
      </c>
      <c r="M143" s="58">
        <f>IFERROR(LOOKUP(2,1/(U143:AY143&lt;&gt;""),U$2:AY$2),"")</f>
        <v/>
      </c>
      <c r="N143" s="59">
        <f>IF(OR(G143="",M143=""),"",G143-M143)</f>
        <v/>
      </c>
      <c r="O143" s="60" t="n"/>
      <c r="P143" s="61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  <c r="AG143" s="62" t="n"/>
      <c r="AH143" s="62" t="n"/>
      <c r="AI143" s="62" t="n"/>
      <c r="AJ143" s="62" t="n"/>
      <c r="AK143" s="62" t="n"/>
      <c r="AL143" s="62" t="n"/>
      <c r="AM143" s="62" t="n"/>
      <c r="AN143" s="62" t="n"/>
      <c r="AO143" s="62" t="n"/>
      <c r="AP143" s="62" t="n"/>
      <c r="AQ143" s="62" t="n"/>
      <c r="AR143" s="62" t="n"/>
      <c r="AS143" s="62" t="n"/>
      <c r="AT143" s="62" t="n"/>
      <c r="AU143" s="62" t="n"/>
      <c r="AV143" s="62" t="n"/>
      <c r="AW143" s="62" t="n"/>
      <c r="AX143" s="62" t="n"/>
      <c r="AY143" s="62" t="n"/>
    </row>
    <row r="144">
      <c r="A144" s="38">
        <f>IF(D144="","",COUNTA($D$133:D144))</f>
        <v/>
      </c>
      <c r="B144" s="52" t="n"/>
      <c r="C144" s="73" t="inlineStr">
        <is>
          <t>기타</t>
        </is>
      </c>
      <c r="D144" s="52" t="n"/>
      <c r="E144" s="54" t="n"/>
      <c r="F144" s="52" t="n"/>
      <c r="G144" s="55" t="n"/>
      <c r="H144" s="54" t="n"/>
      <c r="I144" s="54" t="n"/>
      <c r="J144" s="54" t="n"/>
      <c r="K144" s="56">
        <f>IF(SUM(U144:AY144)=0,"",SUM(U144:AY144))</f>
        <v/>
      </c>
      <c r="L144" s="57">
        <f>IFERROR(INDEX(U$2:AY$2,MATCH(TRUE,U144:AY144&lt;&gt;"",0)),"")</f>
        <v/>
      </c>
      <c r="M144" s="58">
        <f>IFERROR(LOOKUP(2,1/(U144:AY144&lt;&gt;""),U$2:AY$2),"")</f>
        <v/>
      </c>
      <c r="N144" s="59">
        <f>IF(OR(G144="",M144=""),"",G144-M144)</f>
        <v/>
      </c>
      <c r="O144" s="60" t="n"/>
      <c r="P144" s="61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  <c r="AG144" s="62" t="n"/>
      <c r="AH144" s="62" t="n"/>
      <c r="AI144" s="62" t="n"/>
      <c r="AJ144" s="62" t="n"/>
      <c r="AK144" s="62" t="n"/>
      <c r="AL144" s="62" t="n"/>
      <c r="AM144" s="62" t="n"/>
      <c r="AN144" s="62" t="n"/>
      <c r="AO144" s="62" t="n"/>
      <c r="AP144" s="62" t="n"/>
      <c r="AQ144" s="62" t="n"/>
      <c r="AR144" s="62" t="n"/>
      <c r="AS144" s="62" t="n"/>
      <c r="AT144" s="62" t="n"/>
      <c r="AU144" s="62" t="n"/>
      <c r="AV144" s="62" t="n"/>
      <c r="AW144" s="62" t="n"/>
      <c r="AX144" s="62" t="n"/>
      <c r="AY144" s="62" t="n"/>
    </row>
    <row r="145">
      <c r="A145" s="38">
        <f>IF(D145="","",COUNTA($D$133:D145))</f>
        <v/>
      </c>
      <c r="B145" s="52" t="n"/>
      <c r="C145" s="73" t="inlineStr">
        <is>
          <t>기타</t>
        </is>
      </c>
      <c r="D145" s="52" t="n"/>
      <c r="E145" s="54" t="n"/>
      <c r="F145" s="52" t="n"/>
      <c r="G145" s="55" t="n"/>
      <c r="H145" s="54" t="n"/>
      <c r="I145" s="54" t="n"/>
      <c r="J145" s="54" t="n"/>
      <c r="K145" s="56">
        <f>IF(SUM(U145:AY145)=0,"",SUM(U145:AY145))</f>
        <v/>
      </c>
      <c r="L145" s="57">
        <f>IFERROR(INDEX(U$2:AY$2,MATCH(TRUE,U145:AY145&lt;&gt;"",0)),"")</f>
        <v/>
      </c>
      <c r="M145" s="58">
        <f>IFERROR(LOOKUP(2,1/(U145:AY145&lt;&gt;""),U$2:AY$2),"")</f>
        <v/>
      </c>
      <c r="N145" s="59">
        <f>IF(OR(G145="",M145=""),"",G145-M145)</f>
        <v/>
      </c>
      <c r="O145" s="60" t="n"/>
      <c r="P145" s="61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  <c r="AG145" s="62" t="n"/>
      <c r="AH145" s="62" t="n"/>
      <c r="AI145" s="62" t="n"/>
      <c r="AJ145" s="62" t="n"/>
      <c r="AK145" s="62" t="n"/>
      <c r="AL145" s="62" t="n"/>
      <c r="AM145" s="62" t="n"/>
      <c r="AN145" s="62" t="n"/>
      <c r="AO145" s="62" t="n"/>
      <c r="AP145" s="62" t="n"/>
      <c r="AQ145" s="62" t="n"/>
      <c r="AR145" s="62" t="n"/>
      <c r="AS145" s="62" t="n"/>
      <c r="AT145" s="62" t="n"/>
      <c r="AU145" s="62" t="n"/>
      <c r="AV145" s="62" t="n"/>
      <c r="AW145" s="62" t="n"/>
      <c r="AX145" s="62" t="n"/>
      <c r="AY145" s="62" t="n"/>
    </row>
    <row r="146">
      <c r="A146" s="38">
        <f>IF(D146="","",COUNTA($D$133:D146))</f>
        <v/>
      </c>
      <c r="B146" s="52" t="n"/>
      <c r="C146" s="73" t="inlineStr">
        <is>
          <t>기타</t>
        </is>
      </c>
      <c r="D146" s="52" t="n"/>
      <c r="E146" s="54" t="n"/>
      <c r="F146" s="52" t="n"/>
      <c r="G146" s="55" t="n"/>
      <c r="H146" s="54" t="n"/>
      <c r="I146" s="54" t="n"/>
      <c r="J146" s="54" t="n"/>
      <c r="K146" s="56">
        <f>IF(SUM(U146:AY146)=0,"",SUM(U146:AY146))</f>
        <v/>
      </c>
      <c r="L146" s="57">
        <f>IFERROR(INDEX(U$2:AY$2,MATCH(TRUE,U146:AY146&lt;&gt;"",0)),"")</f>
        <v/>
      </c>
      <c r="M146" s="58">
        <f>IFERROR(LOOKUP(2,1/(U146:AY146&lt;&gt;""),U$2:AY$2),"")</f>
        <v/>
      </c>
      <c r="N146" s="59">
        <f>IF(OR(G146="",M146=""),"",G146-M146)</f>
        <v/>
      </c>
      <c r="O146" s="60" t="n"/>
      <c r="P146" s="61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  <c r="AG146" s="62" t="n"/>
      <c r="AH146" s="62" t="n"/>
      <c r="AI146" s="62" t="n"/>
      <c r="AJ146" s="62" t="n"/>
      <c r="AK146" s="62" t="n"/>
      <c r="AL146" s="62" t="n"/>
      <c r="AM146" s="62" t="n"/>
      <c r="AN146" s="62" t="n"/>
      <c r="AO146" s="62" t="n"/>
      <c r="AP146" s="62" t="n"/>
      <c r="AQ146" s="62" t="n"/>
      <c r="AR146" s="62" t="n"/>
      <c r="AS146" s="62" t="n"/>
      <c r="AT146" s="62" t="n"/>
      <c r="AU146" s="62" t="n"/>
      <c r="AV146" s="62" t="n"/>
      <c r="AW146" s="62" t="n"/>
      <c r="AX146" s="62" t="n"/>
      <c r="AY146" s="62" t="n"/>
    </row>
    <row r="147">
      <c r="A147" s="38">
        <f>IF(D147="","",COUNTA($D$133:D147))</f>
        <v/>
      </c>
      <c r="B147" s="52" t="n"/>
      <c r="C147" s="73" t="inlineStr">
        <is>
          <t>기타</t>
        </is>
      </c>
      <c r="D147" s="52" t="n"/>
      <c r="E147" s="54" t="n"/>
      <c r="F147" s="52" t="n"/>
      <c r="G147" s="55" t="n"/>
      <c r="H147" s="54" t="n"/>
      <c r="I147" s="54" t="n"/>
      <c r="J147" s="54" t="n"/>
      <c r="K147" s="56">
        <f>IF(SUM(U147:AY147)=0,"",SUM(U147:AY147))</f>
        <v/>
      </c>
      <c r="L147" s="57">
        <f>IFERROR(INDEX(U$2:AY$2,MATCH(TRUE,U147:AY147&lt;&gt;"",0)),"")</f>
        <v/>
      </c>
      <c r="M147" s="58">
        <f>IFERROR(LOOKUP(2,1/(U147:AY147&lt;&gt;""),U$2:AY$2),"")</f>
        <v/>
      </c>
      <c r="N147" s="59">
        <f>IF(OR(G147="",M147=""),"",G147-M147)</f>
        <v/>
      </c>
      <c r="O147" s="60" t="n"/>
      <c r="P147" s="61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  <c r="AG147" s="62" t="n"/>
      <c r="AH147" s="62" t="n"/>
      <c r="AI147" s="62" t="n"/>
      <c r="AJ147" s="62" t="n"/>
      <c r="AK147" s="62" t="n"/>
      <c r="AL147" s="62" t="n"/>
      <c r="AM147" s="62" t="n"/>
      <c r="AN147" s="62" t="n"/>
      <c r="AO147" s="62" t="n"/>
      <c r="AP147" s="62" t="n"/>
      <c r="AQ147" s="62" t="n"/>
      <c r="AR147" s="62" t="n"/>
      <c r="AS147" s="62" t="n"/>
      <c r="AT147" s="62" t="n"/>
      <c r="AU147" s="62" t="n"/>
      <c r="AV147" s="62" t="n"/>
      <c r="AW147" s="62" t="n"/>
      <c r="AX147" s="62" t="n"/>
      <c r="AY147" s="62" t="n"/>
    </row>
    <row r="148">
      <c r="A148" s="38">
        <f>IF(D148="","",COUNTA($D$133:D148))</f>
        <v/>
      </c>
      <c r="B148" s="52" t="n"/>
      <c r="C148" s="73" t="inlineStr">
        <is>
          <t>기타</t>
        </is>
      </c>
      <c r="D148" s="52" t="n"/>
      <c r="E148" s="54" t="n"/>
      <c r="F148" s="52" t="n"/>
      <c r="G148" s="55" t="n"/>
      <c r="H148" s="54" t="n"/>
      <c r="I148" s="54" t="n"/>
      <c r="J148" s="54" t="n"/>
      <c r="K148" s="56">
        <f>IF(SUM(U148:AY148)=0,"",SUM(U148:AY148))</f>
        <v/>
      </c>
      <c r="L148" s="57">
        <f>IFERROR(INDEX(U$2:AY$2,MATCH(TRUE,U148:AY148&lt;&gt;"",0)),"")</f>
        <v/>
      </c>
      <c r="M148" s="58">
        <f>IFERROR(LOOKUP(2,1/(U148:AY148&lt;&gt;""),U$2:AY$2),"")</f>
        <v/>
      </c>
      <c r="N148" s="59">
        <f>IF(OR(G148="",M148=""),"",G148-M148)</f>
        <v/>
      </c>
      <c r="O148" s="60" t="n"/>
      <c r="P148" s="61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  <c r="AG148" s="62" t="n"/>
      <c r="AH148" s="62" t="n"/>
      <c r="AI148" s="62" t="n"/>
      <c r="AJ148" s="62" t="n"/>
      <c r="AK148" s="62" t="n"/>
      <c r="AL148" s="62" t="n"/>
      <c r="AM148" s="62" t="n"/>
      <c r="AN148" s="62" t="n"/>
      <c r="AO148" s="62" t="n"/>
      <c r="AP148" s="62" t="n"/>
      <c r="AQ148" s="62" t="n"/>
      <c r="AR148" s="62" t="n"/>
      <c r="AS148" s="62" t="n"/>
      <c r="AT148" s="62" t="n"/>
      <c r="AU148" s="62" t="n"/>
      <c r="AV148" s="62" t="n"/>
      <c r="AW148" s="62" t="n"/>
      <c r="AX148" s="62" t="n"/>
      <c r="AY148" s="62" t="n"/>
    </row>
    <row r="149">
      <c r="A149" s="38">
        <f>IF(D149="","",COUNTA($D$133:D149))</f>
        <v/>
      </c>
      <c r="B149" s="52" t="n"/>
      <c r="C149" s="73" t="inlineStr">
        <is>
          <t>기타</t>
        </is>
      </c>
      <c r="D149" s="52" t="n"/>
      <c r="E149" s="54" t="n"/>
      <c r="F149" s="52" t="n"/>
      <c r="G149" s="55" t="n"/>
      <c r="H149" s="54" t="n"/>
      <c r="I149" s="54" t="n"/>
      <c r="J149" s="54" t="n"/>
      <c r="K149" s="56">
        <f>IF(SUM(U149:AY149)=0,"",SUM(U149:AY149))</f>
        <v/>
      </c>
      <c r="L149" s="57">
        <f>IFERROR(INDEX(U$2:AY$2,MATCH(TRUE,U149:AY149&lt;&gt;"",0)),"")</f>
        <v/>
      </c>
      <c r="M149" s="58">
        <f>IFERROR(LOOKUP(2,1/(U149:AY149&lt;&gt;""),U$2:AY$2),"")</f>
        <v/>
      </c>
      <c r="N149" s="59">
        <f>IF(OR(G149="",M149=""),"",G149-M149)</f>
        <v/>
      </c>
      <c r="O149" s="60" t="n"/>
      <c r="P149" s="61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  <c r="AG149" s="62" t="n"/>
      <c r="AH149" s="62" t="n"/>
      <c r="AI149" s="62" t="n"/>
      <c r="AJ149" s="62" t="n"/>
      <c r="AK149" s="62" t="n"/>
      <c r="AL149" s="62" t="n"/>
      <c r="AM149" s="62" t="n"/>
      <c r="AN149" s="62" t="n"/>
      <c r="AO149" s="62" t="n"/>
      <c r="AP149" s="62" t="n"/>
      <c r="AQ149" s="62" t="n"/>
      <c r="AR149" s="62" t="n"/>
      <c r="AS149" s="62" t="n"/>
      <c r="AT149" s="62" t="n"/>
      <c r="AU149" s="62" t="n"/>
      <c r="AV149" s="62" t="n"/>
      <c r="AW149" s="62" t="n"/>
      <c r="AX149" s="62" t="n"/>
      <c r="AY149" s="62" t="n"/>
    </row>
    <row r="150">
      <c r="A150" s="38">
        <f>IF(D150="","",COUNTA($D$133:D150))</f>
        <v/>
      </c>
      <c r="B150" s="52" t="n"/>
      <c r="C150" s="73" t="inlineStr">
        <is>
          <t>기타</t>
        </is>
      </c>
      <c r="D150" s="52" t="n"/>
      <c r="E150" s="54" t="n"/>
      <c r="F150" s="52" t="n"/>
      <c r="G150" s="55" t="n"/>
      <c r="H150" s="54" t="n"/>
      <c r="I150" s="54" t="n"/>
      <c r="J150" s="54" t="n"/>
      <c r="K150" s="56">
        <f>IF(SUM(U150:AY150)=0,"",SUM(U150:AY150))</f>
        <v/>
      </c>
      <c r="L150" s="57">
        <f>IFERROR(INDEX(U$2:AY$2,MATCH(TRUE,U150:AY150&lt;&gt;"",0)),"")</f>
        <v/>
      </c>
      <c r="M150" s="58">
        <f>IFERROR(LOOKUP(2,1/(U150:AY150&lt;&gt;""),U$2:AY$2),"")</f>
        <v/>
      </c>
      <c r="N150" s="59">
        <f>IF(OR(G150="",M150=""),"",G150-M150)</f>
        <v/>
      </c>
      <c r="O150" s="60" t="n"/>
      <c r="P150" s="61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  <c r="AG150" s="62" t="n"/>
      <c r="AH150" s="62" t="n"/>
      <c r="AI150" s="62" t="n"/>
      <c r="AJ150" s="62" t="n"/>
      <c r="AK150" s="62" t="n"/>
      <c r="AL150" s="62" t="n"/>
      <c r="AM150" s="62" t="n"/>
      <c r="AN150" s="62" t="n"/>
      <c r="AO150" s="62" t="n"/>
      <c r="AP150" s="62" t="n"/>
      <c r="AQ150" s="62" t="n"/>
      <c r="AR150" s="62" t="n"/>
      <c r="AS150" s="62" t="n"/>
      <c r="AT150" s="62" t="n"/>
      <c r="AU150" s="62" t="n"/>
      <c r="AV150" s="62" t="n"/>
      <c r="AW150" s="62" t="n"/>
      <c r="AX150" s="62" t="n"/>
      <c r="AY150" s="62" t="n"/>
    </row>
    <row r="151">
      <c r="A151" s="38">
        <f>IF(D151="","",COUNTA($D$133:D151))</f>
        <v/>
      </c>
      <c r="B151" s="52" t="n"/>
      <c r="C151" s="73" t="inlineStr">
        <is>
          <t>기타</t>
        </is>
      </c>
      <c r="D151" s="52" t="n"/>
      <c r="E151" s="54" t="n"/>
      <c r="F151" s="52" t="n"/>
      <c r="G151" s="55" t="n"/>
      <c r="H151" s="54" t="n"/>
      <c r="I151" s="54" t="n"/>
      <c r="J151" s="54" t="n"/>
      <c r="K151" s="56">
        <f>IF(SUM(U151:AY151)=0,"",SUM(U151:AY151))</f>
        <v/>
      </c>
      <c r="L151" s="57">
        <f>IFERROR(INDEX(U$2:AY$2,MATCH(TRUE,U151:AY151&lt;&gt;"",0)),"")</f>
        <v/>
      </c>
      <c r="M151" s="58">
        <f>IFERROR(LOOKUP(2,1/(U151:AY151&lt;&gt;""),U$2:AY$2),"")</f>
        <v/>
      </c>
      <c r="N151" s="59">
        <f>IF(OR(G151="",M151=""),"",G151-M151)</f>
        <v/>
      </c>
      <c r="O151" s="60" t="n"/>
      <c r="P151" s="61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  <c r="AG151" s="62" t="n"/>
      <c r="AH151" s="62" t="n"/>
      <c r="AI151" s="62" t="n"/>
      <c r="AJ151" s="62" t="n"/>
      <c r="AK151" s="62" t="n"/>
      <c r="AL151" s="62" t="n"/>
      <c r="AM151" s="62" t="n"/>
      <c r="AN151" s="62" t="n"/>
      <c r="AO151" s="62" t="n"/>
      <c r="AP151" s="62" t="n"/>
      <c r="AQ151" s="62" t="n"/>
      <c r="AR151" s="62" t="n"/>
      <c r="AS151" s="62" t="n"/>
      <c r="AT151" s="62" t="n"/>
      <c r="AU151" s="62" t="n"/>
      <c r="AV151" s="62" t="n"/>
      <c r="AW151" s="62" t="n"/>
      <c r="AX151" s="62" t="n"/>
      <c r="AY151" s="62" t="n"/>
    </row>
    <row r="152">
      <c r="A152" s="38">
        <f>IF(D152="","",COUNTA($D$133:D152))</f>
        <v/>
      </c>
      <c r="B152" s="52" t="n"/>
      <c r="C152" s="73" t="inlineStr">
        <is>
          <t>기타</t>
        </is>
      </c>
      <c r="D152" s="52" t="n"/>
      <c r="E152" s="54" t="n"/>
      <c r="F152" s="52" t="n"/>
      <c r="G152" s="55" t="n"/>
      <c r="H152" s="54" t="n"/>
      <c r="I152" s="54" t="n"/>
      <c r="J152" s="54" t="n"/>
      <c r="K152" s="56">
        <f>IF(SUM(U152:AY152)=0,"",SUM(U152:AY152))</f>
        <v/>
      </c>
      <c r="L152" s="57">
        <f>IFERROR(INDEX(U$2:AY$2,MATCH(TRUE,U152:AY152&lt;&gt;"",0)),"")</f>
        <v/>
      </c>
      <c r="M152" s="58">
        <f>IFERROR(LOOKUP(2,1/(U152:AY152&lt;&gt;""),U$2:AY$2),"")</f>
        <v/>
      </c>
      <c r="N152" s="59">
        <f>IF(OR(G152="",M152=""),"",G152-M152)</f>
        <v/>
      </c>
      <c r="O152" s="60" t="n"/>
      <c r="P152" s="61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  <c r="AG152" s="62" t="n"/>
      <c r="AH152" s="62" t="n"/>
      <c r="AI152" s="62" t="n"/>
      <c r="AJ152" s="62" t="n"/>
      <c r="AK152" s="62" t="n"/>
      <c r="AL152" s="62" t="n"/>
      <c r="AM152" s="62" t="n"/>
      <c r="AN152" s="62" t="n"/>
      <c r="AO152" s="62" t="n"/>
      <c r="AP152" s="62" t="n"/>
      <c r="AQ152" s="62" t="n"/>
      <c r="AR152" s="62" t="n"/>
      <c r="AS152" s="62" t="n"/>
      <c r="AT152" s="62" t="n"/>
      <c r="AU152" s="62" t="n"/>
      <c r="AV152" s="62" t="n"/>
      <c r="AW152" s="62" t="n"/>
      <c r="AX152" s="62" t="n"/>
      <c r="AY152" s="62" t="n"/>
    </row>
    <row r="153">
      <c r="A153" s="38">
        <f>IF(D153="","",COUNTA($D$133:D153))</f>
        <v/>
      </c>
      <c r="B153" s="52" t="n"/>
      <c r="C153" s="73" t="inlineStr">
        <is>
          <t>기타</t>
        </is>
      </c>
      <c r="D153" s="52" t="n"/>
      <c r="E153" s="54" t="n"/>
      <c r="F153" s="52" t="n"/>
      <c r="G153" s="55" t="n"/>
      <c r="H153" s="54" t="n"/>
      <c r="I153" s="54" t="n"/>
      <c r="J153" s="54" t="n"/>
      <c r="K153" s="56">
        <f>IF(SUM(U153:AY153)=0,"",SUM(U153:AY153))</f>
        <v/>
      </c>
      <c r="L153" s="57">
        <f>IFERROR(INDEX(U$2:AY$2,MATCH(TRUE,U153:AY153&lt;&gt;"",0)),"")</f>
        <v/>
      </c>
      <c r="M153" s="58">
        <f>IFERROR(LOOKUP(2,1/(U153:AY153&lt;&gt;""),U$2:AY$2),"")</f>
        <v/>
      </c>
      <c r="N153" s="59">
        <f>IF(OR(G153="",M153=""),"",G153-M153)</f>
        <v/>
      </c>
      <c r="O153" s="60" t="n"/>
      <c r="P153" s="61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  <c r="AG153" s="62" t="n"/>
      <c r="AH153" s="62" t="n"/>
      <c r="AI153" s="62" t="n"/>
      <c r="AJ153" s="62" t="n"/>
      <c r="AK153" s="62" t="n"/>
      <c r="AL153" s="62" t="n"/>
      <c r="AM153" s="62" t="n"/>
      <c r="AN153" s="62" t="n"/>
      <c r="AO153" s="62" t="n"/>
      <c r="AP153" s="62" t="n"/>
      <c r="AQ153" s="62" t="n"/>
      <c r="AR153" s="62" t="n"/>
      <c r="AS153" s="62" t="n"/>
      <c r="AT153" s="62" t="n"/>
      <c r="AU153" s="62" t="n"/>
      <c r="AV153" s="62" t="n"/>
      <c r="AW153" s="62" t="n"/>
      <c r="AX153" s="62" t="n"/>
      <c r="AY153" s="62" t="n"/>
    </row>
    <row r="154">
      <c r="A154" s="38">
        <f>IF(D154="","",COUNTA($D$133:D154))</f>
        <v/>
      </c>
      <c r="B154" s="52" t="n"/>
      <c r="C154" s="73" t="inlineStr">
        <is>
          <t>기타</t>
        </is>
      </c>
      <c r="D154" s="52" t="n"/>
      <c r="E154" s="54" t="n"/>
      <c r="F154" s="52" t="n"/>
      <c r="G154" s="55" t="n"/>
      <c r="H154" s="54" t="n"/>
      <c r="I154" s="54" t="n"/>
      <c r="J154" s="54" t="n"/>
      <c r="K154" s="56">
        <f>IF(SUM(U154:AY154)=0,"",SUM(U154:AY154))</f>
        <v/>
      </c>
      <c r="L154" s="57">
        <f>IFERROR(INDEX(U$2:AY$2,MATCH(TRUE,U154:AY154&lt;&gt;"",0)),"")</f>
        <v/>
      </c>
      <c r="M154" s="58">
        <f>IFERROR(LOOKUP(2,1/(U154:AY154&lt;&gt;""),U$2:AY$2),"")</f>
        <v/>
      </c>
      <c r="N154" s="59">
        <f>IF(OR(G154="",M154=""),"",G154-M154)</f>
        <v/>
      </c>
      <c r="O154" s="60" t="n"/>
      <c r="P154" s="61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  <c r="AG154" s="62" t="n"/>
      <c r="AH154" s="62" t="n"/>
      <c r="AI154" s="62" t="n"/>
      <c r="AJ154" s="62" t="n"/>
      <c r="AK154" s="62" t="n"/>
      <c r="AL154" s="62" t="n"/>
      <c r="AM154" s="62" t="n"/>
      <c r="AN154" s="62" t="n"/>
      <c r="AO154" s="62" t="n"/>
      <c r="AP154" s="62" t="n"/>
      <c r="AQ154" s="62" t="n"/>
      <c r="AR154" s="62" t="n"/>
      <c r="AS154" s="62" t="n"/>
      <c r="AT154" s="62" t="n"/>
      <c r="AU154" s="62" t="n"/>
      <c r="AV154" s="62" t="n"/>
      <c r="AW154" s="62" t="n"/>
      <c r="AX154" s="62" t="n"/>
      <c r="AY154" s="62" t="n"/>
    </row>
    <row r="155">
      <c r="A155" s="38">
        <f>IF(D155="","",COUNTA($D$133:D155))</f>
        <v/>
      </c>
      <c r="B155" s="52" t="n"/>
      <c r="C155" s="73" t="inlineStr">
        <is>
          <t>기타</t>
        </is>
      </c>
      <c r="D155" s="52" t="n"/>
      <c r="E155" s="54" t="n"/>
      <c r="F155" s="52" t="n"/>
      <c r="G155" s="55" t="n"/>
      <c r="H155" s="54" t="n"/>
      <c r="I155" s="54" t="n"/>
      <c r="J155" s="54" t="n"/>
      <c r="K155" s="56">
        <f>IF(SUM(U155:AY155)=0,"",SUM(U155:AY155))</f>
        <v/>
      </c>
      <c r="L155" s="57">
        <f>IFERROR(INDEX(U$2:AY$2,MATCH(TRUE,U155:AY155&lt;&gt;"",0)),"")</f>
        <v/>
      </c>
      <c r="M155" s="58">
        <f>IFERROR(LOOKUP(2,1/(U155:AY155&lt;&gt;""),U$2:AY$2),"")</f>
        <v/>
      </c>
      <c r="N155" s="59">
        <f>IF(OR(G155="",M155=""),"",G155-M155)</f>
        <v/>
      </c>
      <c r="O155" s="60" t="n"/>
      <c r="P155" s="61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  <c r="AG155" s="62" t="n"/>
      <c r="AH155" s="62" t="n"/>
      <c r="AI155" s="62" t="n"/>
      <c r="AJ155" s="62" t="n"/>
      <c r="AK155" s="62" t="n"/>
      <c r="AL155" s="62" t="n"/>
      <c r="AM155" s="62" t="n"/>
      <c r="AN155" s="62" t="n"/>
      <c r="AO155" s="62" t="n"/>
      <c r="AP155" s="62" t="n"/>
      <c r="AQ155" s="62" t="n"/>
      <c r="AR155" s="62" t="n"/>
      <c r="AS155" s="62" t="n"/>
      <c r="AT155" s="62" t="n"/>
      <c r="AU155" s="62" t="n"/>
      <c r="AV155" s="62" t="n"/>
      <c r="AW155" s="62" t="n"/>
      <c r="AX155" s="62" t="n"/>
      <c r="AY155" s="62" t="n"/>
    </row>
    <row r="156">
      <c r="A156" s="38">
        <f>IF(D156="","",COUNTA($D$133:D156))</f>
        <v/>
      </c>
      <c r="B156" s="52" t="n"/>
      <c r="C156" s="73" t="inlineStr">
        <is>
          <t>기타</t>
        </is>
      </c>
      <c r="D156" s="52" t="n"/>
      <c r="E156" s="54" t="n"/>
      <c r="F156" s="52" t="n"/>
      <c r="G156" s="55" t="n"/>
      <c r="H156" s="54" t="n"/>
      <c r="I156" s="54" t="n"/>
      <c r="J156" s="54" t="n"/>
      <c r="K156" s="56">
        <f>IF(SUM(U156:AY156)=0,"",SUM(U156:AY156))</f>
        <v/>
      </c>
      <c r="L156" s="57">
        <f>IFERROR(INDEX(U$2:AY$2,MATCH(TRUE,U156:AY156&lt;&gt;"",0)),"")</f>
        <v/>
      </c>
      <c r="M156" s="58">
        <f>IFERROR(LOOKUP(2,1/(U156:AY156&lt;&gt;""),U$2:AY$2),"")</f>
        <v/>
      </c>
      <c r="N156" s="59">
        <f>IF(OR(G156="",M156=""),"",G156-M156)</f>
        <v/>
      </c>
      <c r="O156" s="60" t="n"/>
      <c r="P156" s="61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  <c r="AG156" s="62" t="n"/>
      <c r="AH156" s="62" t="n"/>
      <c r="AI156" s="62" t="n"/>
      <c r="AJ156" s="62" t="n"/>
      <c r="AK156" s="62" t="n"/>
      <c r="AL156" s="62" t="n"/>
      <c r="AM156" s="62" t="n"/>
      <c r="AN156" s="62" t="n"/>
      <c r="AO156" s="62" t="n"/>
      <c r="AP156" s="62" t="n"/>
      <c r="AQ156" s="62" t="n"/>
      <c r="AR156" s="62" t="n"/>
      <c r="AS156" s="62" t="n"/>
      <c r="AT156" s="62" t="n"/>
      <c r="AU156" s="62" t="n"/>
      <c r="AV156" s="62" t="n"/>
      <c r="AW156" s="62" t="n"/>
      <c r="AX156" s="62" t="n"/>
      <c r="AY156" s="62" t="n"/>
    </row>
    <row r="157">
      <c r="A157" s="38">
        <f>IF(D157="","",COUNTA($D$133:D157))</f>
        <v/>
      </c>
      <c r="B157" s="52" t="n"/>
      <c r="C157" s="73" t="inlineStr">
        <is>
          <t>기타</t>
        </is>
      </c>
      <c r="D157" s="52" t="n"/>
      <c r="E157" s="54" t="n"/>
      <c r="F157" s="52" t="n"/>
      <c r="G157" s="55" t="n"/>
      <c r="H157" s="54" t="n"/>
      <c r="I157" s="54" t="n"/>
      <c r="J157" s="54" t="n"/>
      <c r="K157" s="56">
        <f>IF(SUM(U157:AY157)=0,"",SUM(U157:AY157))</f>
        <v/>
      </c>
      <c r="L157" s="57">
        <f>IFERROR(INDEX(U$2:AY$2,MATCH(TRUE,U157:AY157&lt;&gt;"",0)),"")</f>
        <v/>
      </c>
      <c r="M157" s="58">
        <f>IFERROR(LOOKUP(2,1/(U157:AY157&lt;&gt;""),U$2:AY$2),"")</f>
        <v/>
      </c>
      <c r="N157" s="59">
        <f>IF(OR(G157="",M157=""),"",G157-M157)</f>
        <v/>
      </c>
      <c r="O157" s="60" t="n"/>
      <c r="P157" s="61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  <c r="AG157" s="62" t="n"/>
      <c r="AH157" s="62" t="n"/>
      <c r="AI157" s="62" t="n"/>
      <c r="AJ157" s="62" t="n"/>
      <c r="AK157" s="62" t="n"/>
      <c r="AL157" s="62" t="n"/>
      <c r="AM157" s="62" t="n"/>
      <c r="AN157" s="62" t="n"/>
      <c r="AO157" s="62" t="n"/>
      <c r="AP157" s="62" t="n"/>
      <c r="AQ157" s="62" t="n"/>
      <c r="AR157" s="62" t="n"/>
      <c r="AS157" s="62" t="n"/>
      <c r="AT157" s="62" t="n"/>
      <c r="AU157" s="62" t="n"/>
      <c r="AV157" s="62" t="n"/>
      <c r="AW157" s="62" t="n"/>
      <c r="AX157" s="62" t="n"/>
      <c r="AY157" s="62" t="n"/>
    </row>
    <row r="158">
      <c r="A158" s="38">
        <f>IF(D158="","",COUNTA($D$133:D158))</f>
        <v/>
      </c>
      <c r="B158" s="52" t="n"/>
      <c r="C158" s="73" t="inlineStr">
        <is>
          <t>기타</t>
        </is>
      </c>
      <c r="D158" s="52" t="n"/>
      <c r="E158" s="54" t="n"/>
      <c r="F158" s="52" t="n"/>
      <c r="G158" s="55" t="n"/>
      <c r="H158" s="54" t="n"/>
      <c r="I158" s="54" t="n"/>
      <c r="J158" s="54" t="n"/>
      <c r="K158" s="56">
        <f>IF(SUM(U158:AY158)=0,"",SUM(U158:AY158))</f>
        <v/>
      </c>
      <c r="L158" s="57">
        <f>IFERROR(INDEX(U$2:AY$2,MATCH(TRUE,U158:AY158&lt;&gt;"",0)),"")</f>
        <v/>
      </c>
      <c r="M158" s="58">
        <f>IFERROR(LOOKUP(2,1/(U158:AY158&lt;&gt;""),U$2:AY$2),"")</f>
        <v/>
      </c>
      <c r="N158" s="59">
        <f>IF(OR(G158="",M158=""),"",G158-M158)</f>
        <v/>
      </c>
      <c r="O158" s="60" t="n"/>
      <c r="P158" s="61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  <c r="AG158" s="62" t="n"/>
      <c r="AH158" s="62" t="n"/>
      <c r="AI158" s="62" t="n"/>
      <c r="AJ158" s="62" t="n"/>
      <c r="AK158" s="62" t="n"/>
      <c r="AL158" s="62" t="n"/>
      <c r="AM158" s="62" t="n"/>
      <c r="AN158" s="62" t="n"/>
      <c r="AO158" s="62" t="n"/>
      <c r="AP158" s="62" t="n"/>
      <c r="AQ158" s="62" t="n"/>
      <c r="AR158" s="62" t="n"/>
      <c r="AS158" s="62" t="n"/>
      <c r="AT158" s="62" t="n"/>
      <c r="AU158" s="62" t="n"/>
      <c r="AV158" s="62" t="n"/>
      <c r="AW158" s="62" t="n"/>
      <c r="AX158" s="62" t="n"/>
      <c r="AY158" s="62" t="n"/>
    </row>
    <row r="159">
      <c r="A159" s="38">
        <f>IF(D159="","",COUNTA($D$133:D159))</f>
        <v/>
      </c>
      <c r="B159" s="52" t="n"/>
      <c r="C159" s="73" t="inlineStr">
        <is>
          <t>기타</t>
        </is>
      </c>
      <c r="D159" s="52" t="n"/>
      <c r="E159" s="54" t="n"/>
      <c r="F159" s="52" t="n"/>
      <c r="G159" s="55" t="n"/>
      <c r="H159" s="54" t="n"/>
      <c r="I159" s="54" t="n"/>
      <c r="J159" s="54" t="n"/>
      <c r="K159" s="56">
        <f>IF(SUM(U159:AY159)=0,"",SUM(U159:AY159))</f>
        <v/>
      </c>
      <c r="L159" s="57">
        <f>IFERROR(INDEX(U$2:AY$2,MATCH(TRUE,U159:AY159&lt;&gt;"",0)),"")</f>
        <v/>
      </c>
      <c r="M159" s="58">
        <f>IFERROR(LOOKUP(2,1/(U159:AY159&lt;&gt;""),U$2:AY$2),"")</f>
        <v/>
      </c>
      <c r="N159" s="59">
        <f>IF(OR(G159="",M159=""),"",G159-M159)</f>
        <v/>
      </c>
      <c r="O159" s="60" t="n"/>
      <c r="P159" s="61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  <c r="AG159" s="62" t="n"/>
      <c r="AH159" s="62" t="n"/>
      <c r="AI159" s="62" t="n"/>
      <c r="AJ159" s="62" t="n"/>
      <c r="AK159" s="62" t="n"/>
      <c r="AL159" s="62" t="n"/>
      <c r="AM159" s="62" t="n"/>
      <c r="AN159" s="62" t="n"/>
      <c r="AO159" s="62" t="n"/>
      <c r="AP159" s="62" t="n"/>
      <c r="AQ159" s="62" t="n"/>
      <c r="AR159" s="62" t="n"/>
      <c r="AS159" s="62" t="n"/>
      <c r="AT159" s="62" t="n"/>
      <c r="AU159" s="62" t="n"/>
      <c r="AV159" s="62" t="n"/>
      <c r="AW159" s="62" t="n"/>
      <c r="AX159" s="62" t="n"/>
      <c r="AY159" s="62" t="n"/>
    </row>
    <row r="160">
      <c r="A160" s="38">
        <f>IF(D160="","",COUNTA($D$133:D160))</f>
        <v/>
      </c>
      <c r="B160" s="52" t="n"/>
      <c r="C160" s="73" t="inlineStr">
        <is>
          <t>기타</t>
        </is>
      </c>
      <c r="D160" s="52" t="n"/>
      <c r="E160" s="54" t="n"/>
      <c r="F160" s="52" t="n"/>
      <c r="G160" s="55" t="n"/>
      <c r="H160" s="54" t="n"/>
      <c r="I160" s="54" t="n"/>
      <c r="J160" s="54" t="n"/>
      <c r="K160" s="56">
        <f>IF(SUM(U160:AY160)=0,"",SUM(U160:AY160))</f>
        <v/>
      </c>
      <c r="L160" s="57">
        <f>IFERROR(INDEX(U$2:AY$2,MATCH(TRUE,U160:AY160&lt;&gt;"",0)),"")</f>
        <v/>
      </c>
      <c r="M160" s="58">
        <f>IFERROR(LOOKUP(2,1/(U160:AY160&lt;&gt;""),U$2:AY$2),"")</f>
        <v/>
      </c>
      <c r="N160" s="59">
        <f>IF(OR(G160="",M160=""),"",G160-M160)</f>
        <v/>
      </c>
      <c r="O160" s="60" t="n"/>
      <c r="P160" s="61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  <c r="AG160" s="62" t="n"/>
      <c r="AH160" s="62" t="n"/>
      <c r="AI160" s="62" t="n"/>
      <c r="AJ160" s="62" t="n"/>
      <c r="AK160" s="62" t="n"/>
      <c r="AL160" s="62" t="n"/>
      <c r="AM160" s="62" t="n"/>
      <c r="AN160" s="62" t="n"/>
      <c r="AO160" s="62" t="n"/>
      <c r="AP160" s="62" t="n"/>
      <c r="AQ160" s="62" t="n"/>
      <c r="AR160" s="62" t="n"/>
      <c r="AS160" s="62" t="n"/>
      <c r="AT160" s="62" t="n"/>
      <c r="AU160" s="62" t="n"/>
      <c r="AV160" s="62" t="n"/>
      <c r="AW160" s="62" t="n"/>
      <c r="AX160" s="62" t="n"/>
      <c r="AY160" s="62" t="n"/>
    </row>
    <row r="161">
      <c r="A161" s="38">
        <f>IF(D161="","",COUNTA($D$133:D161))</f>
        <v/>
      </c>
      <c r="B161" s="52" t="n"/>
      <c r="C161" s="73" t="inlineStr">
        <is>
          <t>기타</t>
        </is>
      </c>
      <c r="D161" s="52" t="n"/>
      <c r="E161" s="54" t="n"/>
      <c r="F161" s="52" t="n"/>
      <c r="G161" s="55" t="n"/>
      <c r="H161" s="54" t="n"/>
      <c r="I161" s="54" t="n"/>
      <c r="J161" s="54" t="n"/>
      <c r="K161" s="56">
        <f>IF(SUM(U161:AY161)=0,"",SUM(U161:AY161))</f>
        <v/>
      </c>
      <c r="L161" s="57">
        <f>IFERROR(INDEX(U$2:AY$2,MATCH(TRUE,U161:AY161&lt;&gt;"",0)),"")</f>
        <v/>
      </c>
      <c r="M161" s="58">
        <f>IFERROR(LOOKUP(2,1/(U161:AY161&lt;&gt;""),U$2:AY$2),"")</f>
        <v/>
      </c>
      <c r="N161" s="59">
        <f>IF(OR(G161="",M161=""),"",G161-M161)</f>
        <v/>
      </c>
      <c r="O161" s="60" t="n"/>
      <c r="P161" s="61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  <c r="AG161" s="62" t="n"/>
      <c r="AH161" s="62" t="n"/>
      <c r="AI161" s="62" t="n"/>
      <c r="AJ161" s="62" t="n"/>
      <c r="AK161" s="62" t="n"/>
      <c r="AL161" s="62" t="n"/>
      <c r="AM161" s="62" t="n"/>
      <c r="AN161" s="62" t="n"/>
      <c r="AO161" s="62" t="n"/>
      <c r="AP161" s="62" t="n"/>
      <c r="AQ161" s="62" t="n"/>
      <c r="AR161" s="62" t="n"/>
      <c r="AS161" s="62" t="n"/>
      <c r="AT161" s="62" t="n"/>
      <c r="AU161" s="62" t="n"/>
      <c r="AV161" s="62" t="n"/>
      <c r="AW161" s="62" t="n"/>
      <c r="AX161" s="62" t="n"/>
      <c r="AY161" s="62" t="n"/>
    </row>
    <row r="162">
      <c r="A162" s="38">
        <f>IF(D162="","",COUNTA($D$133:D162))</f>
        <v/>
      </c>
      <c r="B162" s="52" t="n"/>
      <c r="C162" s="73" t="inlineStr">
        <is>
          <t>기타</t>
        </is>
      </c>
      <c r="D162" s="52" t="n"/>
      <c r="E162" s="54" t="n"/>
      <c r="F162" s="52" t="n"/>
      <c r="G162" s="55" t="n"/>
      <c r="H162" s="54" t="n"/>
      <c r="I162" s="54" t="n"/>
      <c r="J162" s="54" t="n"/>
      <c r="K162" s="56">
        <f>IF(SUM(U162:AY162)=0,"",SUM(U162:AY162))</f>
        <v/>
      </c>
      <c r="L162" s="57">
        <f>IFERROR(INDEX(U$2:AY$2,MATCH(TRUE,U162:AY162&lt;&gt;"",0)),"")</f>
        <v/>
      </c>
      <c r="M162" s="58">
        <f>IFERROR(LOOKUP(2,1/(U162:AY162&lt;&gt;""),U$2:AY$2),"")</f>
        <v/>
      </c>
      <c r="N162" s="59">
        <f>IF(OR(G162="",M162=""),"",G162-M162)</f>
        <v/>
      </c>
      <c r="O162" s="60" t="n"/>
      <c r="P162" s="61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  <c r="AG162" s="62" t="n"/>
      <c r="AH162" s="62" t="n"/>
      <c r="AI162" s="62" t="n"/>
      <c r="AJ162" s="62" t="n"/>
      <c r="AK162" s="62" t="n"/>
      <c r="AL162" s="62" t="n"/>
      <c r="AM162" s="62" t="n"/>
      <c r="AN162" s="62" t="n"/>
      <c r="AO162" s="62" t="n"/>
      <c r="AP162" s="62" t="n"/>
      <c r="AQ162" s="62" t="n"/>
      <c r="AR162" s="62" t="n"/>
      <c r="AS162" s="62" t="n"/>
      <c r="AT162" s="62" t="n"/>
      <c r="AU162" s="62" t="n"/>
      <c r="AV162" s="62" t="n"/>
      <c r="AW162" s="62" t="n"/>
      <c r="AX162" s="62" t="n"/>
      <c r="AY162" s="62" t="n"/>
    </row>
    <row r="163">
      <c r="A163" s="74">
        <f>'마스터'!$J$5</f>
        <v/>
      </c>
    </row>
    <row r="164">
      <c r="A164" s="74" t="inlineStr">
        <is>
          <t>공휴일(로컬 미러 - 조건부서식 전용, 편집 불필요)</t>
        </is>
      </c>
    </row>
    <row r="165">
      <c r="A165" s="75">
        <f>'마스터'!$J$13</f>
        <v/>
      </c>
    </row>
    <row r="166">
      <c r="A166" s="75">
        <f>'마스터'!$J$14</f>
        <v/>
      </c>
    </row>
    <row r="167">
      <c r="A167" s="75">
        <f>'마스터'!$J$15</f>
        <v/>
      </c>
    </row>
    <row r="168">
      <c r="A168" s="75">
        <f>'마스터'!$J$16</f>
        <v/>
      </c>
    </row>
    <row r="169">
      <c r="A169" s="75">
        <f>'마스터'!$J$17</f>
        <v/>
      </c>
    </row>
    <row r="170">
      <c r="A170" s="75">
        <f>'마스터'!$J$18</f>
        <v/>
      </c>
    </row>
    <row r="171">
      <c r="A171" s="75">
        <f>'마스터'!$J$19</f>
        <v/>
      </c>
    </row>
    <row r="172">
      <c r="A172" s="75">
        <f>'마스터'!$J$20</f>
        <v/>
      </c>
    </row>
    <row r="173">
      <c r="A173" s="75">
        <f>'마스터'!$J$21</f>
        <v/>
      </c>
    </row>
    <row r="174">
      <c r="A174" s="75">
        <f>'마스터'!$J$22</f>
        <v/>
      </c>
    </row>
    <row r="175">
      <c r="A175" s="75">
        <f>'마스터'!$J$23</f>
        <v/>
      </c>
    </row>
    <row r="176">
      <c r="A176" s="75">
        <f>'마스터'!$J$24</f>
        <v/>
      </c>
    </row>
    <row r="177">
      <c r="A177" s="75">
        <f>'마스터'!$J$25</f>
        <v/>
      </c>
    </row>
    <row r="178">
      <c r="A178" s="75">
        <f>'마스터'!$J$26</f>
        <v/>
      </c>
    </row>
    <row r="179">
      <c r="A179" s="75">
        <f>'마스터'!$J$27</f>
        <v/>
      </c>
    </row>
  </sheetData>
  <mergeCells count="13">
    <mergeCell ref="H1:J1"/>
    <mergeCell ref="K1:P1"/>
    <mergeCell ref="A1:G1"/>
    <mergeCell ref="A132:P132"/>
    <mergeCell ref="A5:F5"/>
    <mergeCell ref="A70:P70"/>
    <mergeCell ref="A8:P8"/>
    <mergeCell ref="U1:AY1"/>
    <mergeCell ref="A6:F6"/>
    <mergeCell ref="A39:P39"/>
    <mergeCell ref="A4:F4"/>
    <mergeCell ref="A101:P101"/>
    <mergeCell ref="A3:F3"/>
  </mergeCells>
  <conditionalFormatting sqref="U3:AY6">
    <cfRule type="expression" priority="1" dxfId="0">
      <formula>U3&gt;$H3</formula>
    </cfRule>
    <cfRule type="expression" priority="2" dxfId="1">
      <formula>AND(U3&gt;0,U3&gt;=$H3*0.8)</formula>
    </cfRule>
  </conditionalFormatting>
  <conditionalFormatting sqref="U3:AY162">
    <cfRule type="expression" priority="3" dxfId="2">
      <formula>OR(WEEKDAY(U$2,2)&gt;5,COUNTIF($A$165:$A$179,U$2)&gt;0)</formula>
    </cfRule>
  </conditionalFormatting>
  <conditionalFormatting sqref="U8:AY162">
    <cfRule type="expression" priority="4" dxfId="3">
      <formula>AND($F8&lt;&gt;"",U8&lt;&gt;"",SUMIF($F$8:$F$162,$F8,U$8:U$162)&gt;$A$163)</formula>
    </cfRule>
    <cfRule type="expression" priority="5" dxfId="4">
      <formula>$E8="기획"</formula>
    </cfRule>
    <cfRule type="expression" priority="6" dxfId="5">
      <formula>$E8="이미지"</formula>
    </cfRule>
    <cfRule type="expression" priority="7" dxfId="6">
      <formula>$E8="영상"</formula>
    </cfRule>
    <cfRule type="expression" priority="8" dxfId="7">
      <formula>AND($E8="기획",U8&lt;&gt;"")</formula>
    </cfRule>
    <cfRule type="expression" priority="9" dxfId="8">
      <formula>AND($E8="이미지",U8&lt;&gt;"")</formula>
    </cfRule>
    <cfRule type="expression" priority="10" dxfId="9">
      <formula>AND($E8="영상",U8&lt;&gt;"")</formula>
    </cfRule>
  </conditionalFormatting>
  <conditionalFormatting sqref="N8:N162">
    <cfRule type="expression" priority="11" dxfId="10">
      <formula>AND(N8&lt;&gt;"",N8&lt;0)</formula>
    </cfRule>
    <cfRule type="expression" priority="12" dxfId="11">
      <formula>AND(N8&lt;&gt;"",N8&gt;=0,N8&lt;=1)</formula>
    </cfRule>
    <cfRule type="expression" priority="13" dxfId="12">
      <formula>AND(N8&lt;&gt;"",N8&gt;1)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E8:E162" showDropDown="0" showInputMessage="0" showErrorMessage="0" allowBlank="1" type="list">
      <formula1>='마스터'!$E$3:$E$5</formula1>
    </dataValidation>
    <dataValidation sqref="O8:O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179"/>
  <sheetViews>
    <sheetView showGridLines="0" workbookViewId="0">
      <pane xSplit="7" ySplit="7" topLeftCell="H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20" customWidth="1" min="4" max="4"/>
    <col width="7" customWidth="1" min="5" max="5"/>
    <col width="9" customWidth="1" min="6" max="6"/>
    <col width="9" customWidth="1" min="7" max="7"/>
    <col width="5" customWidth="1" min="8" max="8"/>
    <col width="5" customWidth="1" min="9" max="9"/>
    <col width="5" customWidth="1" min="10" max="10"/>
    <col width="6" customWidth="1" min="11" max="11"/>
    <col width="8" customWidth="1" min="12" max="12"/>
    <col width="8" customWidth="1" min="13" max="13"/>
    <col width="6" customWidth="1" min="14" max="14"/>
    <col width="7" customWidth="1" min="15" max="15"/>
    <col width="12" customWidth="1" min="16" max="16"/>
    <col width="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</cols>
  <sheetData>
    <row r="1">
      <c r="A1" s="40" t="inlineStr">
        <is>
          <t>10월 업무 정보 (소재명 = 직군별 줄)</t>
        </is>
      </c>
      <c r="H1" s="41" t="inlineStr">
        <is>
          <t>수량 (소재당 1번만)</t>
        </is>
      </c>
      <c r="K1" s="42" t="inlineStr">
        <is>
          <t>집계 / 일정 (자동)</t>
        </is>
      </c>
      <c r="U1" s="14" t="inlineStr">
        <is>
          <t>10월 간트 - 날짜 칸에 MD 직접 입력 (주말+공휴일 회색)  상단 4줄=일자별 직군 TO 상태</t>
        </is>
      </c>
    </row>
    <row r="2">
      <c r="A2" s="43" t="inlineStr">
        <is>
          <t>No</t>
        </is>
      </c>
      <c r="B2" s="43" t="inlineStr">
        <is>
          <t>게임 타이틀명</t>
        </is>
      </c>
      <c r="C2" s="43" t="inlineStr">
        <is>
          <t>고객팀</t>
        </is>
      </c>
      <c r="D2" s="43" t="inlineStr">
        <is>
          <t>소재명(업무명)</t>
        </is>
      </c>
      <c r="E2" s="43" t="inlineStr">
        <is>
          <t>직군</t>
        </is>
      </c>
      <c r="F2" s="43" t="inlineStr">
        <is>
          <t>담당자</t>
        </is>
      </c>
      <c r="G2" s="43" t="inlineStr">
        <is>
          <t>최종완료일
(고객전달)</t>
        </is>
      </c>
      <c r="H2" s="43" t="inlineStr">
        <is>
          <t>영상
수</t>
        </is>
      </c>
      <c r="I2" s="43" t="inlineStr">
        <is>
          <t>사이즈
베리</t>
        </is>
      </c>
      <c r="J2" s="43" t="inlineStr">
        <is>
          <t>다국어
베리</t>
        </is>
      </c>
      <c r="K2" s="43" t="inlineStr">
        <is>
          <t>합계
MD</t>
        </is>
      </c>
      <c r="L2" s="43" t="inlineStr">
        <is>
          <t>시작일
(자동)</t>
        </is>
      </c>
      <c r="M2" s="43" t="inlineStr">
        <is>
          <t>완료일
(자동)</t>
        </is>
      </c>
      <c r="N2" s="43" t="inlineStr">
        <is>
          <t>여유</t>
        </is>
      </c>
      <c r="O2" s="43" t="inlineStr">
        <is>
          <t>상태</t>
        </is>
      </c>
      <c r="P2" s="43" t="inlineStr">
        <is>
          <t>비고</t>
        </is>
      </c>
      <c r="U2" s="44">
        <f>DATE('마스터'!$J$3,10,1)</f>
        <v/>
      </c>
      <c r="V2" s="44">
        <f>U2+1</f>
        <v/>
      </c>
      <c r="W2" s="44">
        <f>V2+1</f>
        <v/>
      </c>
      <c r="X2" s="44">
        <f>W2+1</f>
        <v/>
      </c>
      <c r="Y2" s="44">
        <f>X2+1</f>
        <v/>
      </c>
      <c r="Z2" s="44">
        <f>Y2+1</f>
        <v/>
      </c>
      <c r="AA2" s="44">
        <f>Z2+1</f>
        <v/>
      </c>
      <c r="AB2" s="44">
        <f>AA2+1</f>
        <v/>
      </c>
      <c r="AC2" s="44">
        <f>AB2+1</f>
        <v/>
      </c>
      <c r="AD2" s="44">
        <f>AC2+1</f>
        <v/>
      </c>
      <c r="AE2" s="44">
        <f>AD2+1</f>
        <v/>
      </c>
      <c r="AF2" s="44">
        <f>AE2+1</f>
        <v/>
      </c>
      <c r="AG2" s="44">
        <f>AF2+1</f>
        <v/>
      </c>
      <c r="AH2" s="44">
        <f>AG2+1</f>
        <v/>
      </c>
      <c r="AI2" s="44">
        <f>AH2+1</f>
        <v/>
      </c>
      <c r="AJ2" s="44">
        <f>AI2+1</f>
        <v/>
      </c>
      <c r="AK2" s="44">
        <f>AJ2+1</f>
        <v/>
      </c>
      <c r="AL2" s="44">
        <f>AK2+1</f>
        <v/>
      </c>
      <c r="AM2" s="44">
        <f>AL2+1</f>
        <v/>
      </c>
      <c r="AN2" s="44">
        <f>AM2+1</f>
        <v/>
      </c>
      <c r="AO2" s="44">
        <f>AN2+1</f>
        <v/>
      </c>
      <c r="AP2" s="44">
        <f>AO2+1</f>
        <v/>
      </c>
      <c r="AQ2" s="44">
        <f>AP2+1</f>
        <v/>
      </c>
      <c r="AR2" s="44">
        <f>AQ2+1</f>
        <v/>
      </c>
      <c r="AS2" s="44">
        <f>AR2+1</f>
        <v/>
      </c>
      <c r="AT2" s="44">
        <f>AS2+1</f>
        <v/>
      </c>
      <c r="AU2" s="44">
        <f>AT2+1</f>
        <v/>
      </c>
      <c r="AV2" s="44">
        <f>AU2+1</f>
        <v/>
      </c>
      <c r="AW2" s="44">
        <f>AV2+1</f>
        <v/>
      </c>
      <c r="AX2" s="44">
        <f>AW2+1</f>
        <v/>
      </c>
      <c r="AY2" s="44">
        <f>AX2+1</f>
        <v/>
      </c>
    </row>
    <row r="3">
      <c r="A3" s="45" t="inlineStr">
        <is>
          <t>전체 TO (일자별 부하)</t>
        </is>
      </c>
      <c r="G3" s="46" t="inlineStr">
        <is>
          <t>정원</t>
        </is>
      </c>
      <c r="H3" s="47">
        <f>SUM('마스터'!$J$8:$J$10)</f>
        <v/>
      </c>
      <c r="I3" s="48" t="n"/>
      <c r="J3" s="48" t="n"/>
      <c r="K3" s="48" t="n"/>
      <c r="L3" s="48" t="n"/>
      <c r="M3" s="48" t="n"/>
      <c r="N3" s="48" t="n"/>
      <c r="O3" s="48" t="n"/>
      <c r="P3" s="48" t="n"/>
      <c r="U3" s="49">
        <f>SUM(U$8:U$162)</f>
        <v/>
      </c>
      <c r="V3" s="49">
        <f>SUM(V$8:V$162)</f>
        <v/>
      </c>
      <c r="W3" s="49">
        <f>SUM(W$8:W$162)</f>
        <v/>
      </c>
      <c r="X3" s="49">
        <f>SUM(X$8:X$162)</f>
        <v/>
      </c>
      <c r="Y3" s="49">
        <f>SUM(Y$8:Y$162)</f>
        <v/>
      </c>
      <c r="Z3" s="49">
        <f>SUM(Z$8:Z$162)</f>
        <v/>
      </c>
      <c r="AA3" s="49">
        <f>SUM(AA$8:AA$162)</f>
        <v/>
      </c>
      <c r="AB3" s="49">
        <f>SUM(AB$8:AB$162)</f>
        <v/>
      </c>
      <c r="AC3" s="49">
        <f>SUM(AC$8:AC$162)</f>
        <v/>
      </c>
      <c r="AD3" s="49">
        <f>SUM(AD$8:AD$162)</f>
        <v/>
      </c>
      <c r="AE3" s="49">
        <f>SUM(AE$8:AE$162)</f>
        <v/>
      </c>
      <c r="AF3" s="49">
        <f>SUM(AF$8:AF$162)</f>
        <v/>
      </c>
      <c r="AG3" s="49">
        <f>SUM(AG$8:AG$162)</f>
        <v/>
      </c>
      <c r="AH3" s="49">
        <f>SUM(AH$8:AH$162)</f>
        <v/>
      </c>
      <c r="AI3" s="49">
        <f>SUM(AI$8:AI$162)</f>
        <v/>
      </c>
      <c r="AJ3" s="49">
        <f>SUM(AJ$8:AJ$162)</f>
        <v/>
      </c>
      <c r="AK3" s="49">
        <f>SUM(AK$8:AK$162)</f>
        <v/>
      </c>
      <c r="AL3" s="49">
        <f>SUM(AL$8:AL$162)</f>
        <v/>
      </c>
      <c r="AM3" s="49">
        <f>SUM(AM$8:AM$162)</f>
        <v/>
      </c>
      <c r="AN3" s="49">
        <f>SUM(AN$8:AN$162)</f>
        <v/>
      </c>
      <c r="AO3" s="49">
        <f>SUM(AO$8:AO$162)</f>
        <v/>
      </c>
      <c r="AP3" s="49">
        <f>SUM(AP$8:AP$162)</f>
        <v/>
      </c>
      <c r="AQ3" s="49">
        <f>SUM(AQ$8:AQ$162)</f>
        <v/>
      </c>
      <c r="AR3" s="49">
        <f>SUM(AR$8:AR$162)</f>
        <v/>
      </c>
      <c r="AS3" s="49">
        <f>SUM(AS$8:AS$162)</f>
        <v/>
      </c>
      <c r="AT3" s="49">
        <f>SUM(AT$8:AT$162)</f>
        <v/>
      </c>
      <c r="AU3" s="49">
        <f>SUM(AU$8:AU$162)</f>
        <v/>
      </c>
      <c r="AV3" s="49">
        <f>SUM(AV$8:AV$162)</f>
        <v/>
      </c>
      <c r="AW3" s="49">
        <f>SUM(AW$8:AW$162)</f>
        <v/>
      </c>
      <c r="AX3" s="49">
        <f>SUM(AX$8:AX$162)</f>
        <v/>
      </c>
      <c r="AY3" s="49">
        <f>SUM(AY$8:AY$162)</f>
        <v/>
      </c>
    </row>
    <row r="4">
      <c r="A4" s="45" t="inlineStr">
        <is>
          <t>영상 TO</t>
        </is>
      </c>
      <c r="G4" s="46" t="inlineStr">
        <is>
          <t>정원</t>
        </is>
      </c>
      <c r="H4" s="47">
        <f>'마스터'!$J$8</f>
        <v/>
      </c>
      <c r="I4" s="48" t="n"/>
      <c r="J4" s="48" t="n"/>
      <c r="K4" s="48" t="n"/>
      <c r="L4" s="48" t="n"/>
      <c r="M4" s="48" t="n"/>
      <c r="N4" s="48" t="n"/>
      <c r="O4" s="48" t="n"/>
      <c r="P4" s="48" t="n"/>
      <c r="U4" s="49">
        <f>SUMIF($E$8:$E$162,"영상",U$8:U$162)</f>
        <v/>
      </c>
      <c r="V4" s="49">
        <f>SUMIF($E$8:$E$162,"영상",V$8:V$162)</f>
        <v/>
      </c>
      <c r="W4" s="49">
        <f>SUMIF($E$8:$E$162,"영상",W$8:W$162)</f>
        <v/>
      </c>
      <c r="X4" s="49">
        <f>SUMIF($E$8:$E$162,"영상",X$8:X$162)</f>
        <v/>
      </c>
      <c r="Y4" s="49">
        <f>SUMIF($E$8:$E$162,"영상",Y$8:Y$162)</f>
        <v/>
      </c>
      <c r="Z4" s="49">
        <f>SUMIF($E$8:$E$162,"영상",Z$8:Z$162)</f>
        <v/>
      </c>
      <c r="AA4" s="49">
        <f>SUMIF($E$8:$E$162,"영상",AA$8:AA$162)</f>
        <v/>
      </c>
      <c r="AB4" s="49">
        <f>SUMIF($E$8:$E$162,"영상",AB$8:AB$162)</f>
        <v/>
      </c>
      <c r="AC4" s="49">
        <f>SUMIF($E$8:$E$162,"영상",AC$8:AC$162)</f>
        <v/>
      </c>
      <c r="AD4" s="49">
        <f>SUMIF($E$8:$E$162,"영상",AD$8:AD$162)</f>
        <v/>
      </c>
      <c r="AE4" s="49">
        <f>SUMIF($E$8:$E$162,"영상",AE$8:AE$162)</f>
        <v/>
      </c>
      <c r="AF4" s="49">
        <f>SUMIF($E$8:$E$162,"영상",AF$8:AF$162)</f>
        <v/>
      </c>
      <c r="AG4" s="49">
        <f>SUMIF($E$8:$E$162,"영상",AG$8:AG$162)</f>
        <v/>
      </c>
      <c r="AH4" s="49">
        <f>SUMIF($E$8:$E$162,"영상",AH$8:AH$162)</f>
        <v/>
      </c>
      <c r="AI4" s="49">
        <f>SUMIF($E$8:$E$162,"영상",AI$8:AI$162)</f>
        <v/>
      </c>
      <c r="AJ4" s="49">
        <f>SUMIF($E$8:$E$162,"영상",AJ$8:AJ$162)</f>
        <v/>
      </c>
      <c r="AK4" s="49">
        <f>SUMIF($E$8:$E$162,"영상",AK$8:AK$162)</f>
        <v/>
      </c>
      <c r="AL4" s="49">
        <f>SUMIF($E$8:$E$162,"영상",AL$8:AL$162)</f>
        <v/>
      </c>
      <c r="AM4" s="49">
        <f>SUMIF($E$8:$E$162,"영상",AM$8:AM$162)</f>
        <v/>
      </c>
      <c r="AN4" s="49">
        <f>SUMIF($E$8:$E$162,"영상",AN$8:AN$162)</f>
        <v/>
      </c>
      <c r="AO4" s="49">
        <f>SUMIF($E$8:$E$162,"영상",AO$8:AO$162)</f>
        <v/>
      </c>
      <c r="AP4" s="49">
        <f>SUMIF($E$8:$E$162,"영상",AP$8:AP$162)</f>
        <v/>
      </c>
      <c r="AQ4" s="49">
        <f>SUMIF($E$8:$E$162,"영상",AQ$8:AQ$162)</f>
        <v/>
      </c>
      <c r="AR4" s="49">
        <f>SUMIF($E$8:$E$162,"영상",AR$8:AR$162)</f>
        <v/>
      </c>
      <c r="AS4" s="49">
        <f>SUMIF($E$8:$E$162,"영상",AS$8:AS$162)</f>
        <v/>
      </c>
      <c r="AT4" s="49">
        <f>SUMIF($E$8:$E$162,"영상",AT$8:AT$162)</f>
        <v/>
      </c>
      <c r="AU4" s="49">
        <f>SUMIF($E$8:$E$162,"영상",AU$8:AU$162)</f>
        <v/>
      </c>
      <c r="AV4" s="49">
        <f>SUMIF($E$8:$E$162,"영상",AV$8:AV$162)</f>
        <v/>
      </c>
      <c r="AW4" s="49">
        <f>SUMIF($E$8:$E$162,"영상",AW$8:AW$162)</f>
        <v/>
      </c>
      <c r="AX4" s="49">
        <f>SUMIF($E$8:$E$162,"영상",AX$8:AX$162)</f>
        <v/>
      </c>
      <c r="AY4" s="49">
        <f>SUMIF($E$8:$E$162,"영상",AY$8:AY$162)</f>
        <v/>
      </c>
    </row>
    <row r="5">
      <c r="A5" s="45" t="inlineStr">
        <is>
          <t>이미지 TO</t>
        </is>
      </c>
      <c r="G5" s="46" t="inlineStr">
        <is>
          <t>정원</t>
        </is>
      </c>
      <c r="H5" s="47">
        <f>'마스터'!$J$9</f>
        <v/>
      </c>
      <c r="I5" s="48" t="n"/>
      <c r="J5" s="48" t="n"/>
      <c r="K5" s="48" t="n"/>
      <c r="L5" s="48" t="n"/>
      <c r="M5" s="48" t="n"/>
      <c r="N5" s="48" t="n"/>
      <c r="O5" s="48" t="n"/>
      <c r="P5" s="48" t="n"/>
      <c r="U5" s="49">
        <f>SUMIF($E$8:$E$162,"이미지",U$8:U$162)</f>
        <v/>
      </c>
      <c r="V5" s="49">
        <f>SUMIF($E$8:$E$162,"이미지",V$8:V$162)</f>
        <v/>
      </c>
      <c r="W5" s="49">
        <f>SUMIF($E$8:$E$162,"이미지",W$8:W$162)</f>
        <v/>
      </c>
      <c r="X5" s="49">
        <f>SUMIF($E$8:$E$162,"이미지",X$8:X$162)</f>
        <v/>
      </c>
      <c r="Y5" s="49">
        <f>SUMIF($E$8:$E$162,"이미지",Y$8:Y$162)</f>
        <v/>
      </c>
      <c r="Z5" s="49">
        <f>SUMIF($E$8:$E$162,"이미지",Z$8:Z$162)</f>
        <v/>
      </c>
      <c r="AA5" s="49">
        <f>SUMIF($E$8:$E$162,"이미지",AA$8:AA$162)</f>
        <v/>
      </c>
      <c r="AB5" s="49">
        <f>SUMIF($E$8:$E$162,"이미지",AB$8:AB$162)</f>
        <v/>
      </c>
      <c r="AC5" s="49">
        <f>SUMIF($E$8:$E$162,"이미지",AC$8:AC$162)</f>
        <v/>
      </c>
      <c r="AD5" s="49">
        <f>SUMIF($E$8:$E$162,"이미지",AD$8:AD$162)</f>
        <v/>
      </c>
      <c r="AE5" s="49">
        <f>SUMIF($E$8:$E$162,"이미지",AE$8:AE$162)</f>
        <v/>
      </c>
      <c r="AF5" s="49">
        <f>SUMIF($E$8:$E$162,"이미지",AF$8:AF$162)</f>
        <v/>
      </c>
      <c r="AG5" s="49">
        <f>SUMIF($E$8:$E$162,"이미지",AG$8:AG$162)</f>
        <v/>
      </c>
      <c r="AH5" s="49">
        <f>SUMIF($E$8:$E$162,"이미지",AH$8:AH$162)</f>
        <v/>
      </c>
      <c r="AI5" s="49">
        <f>SUMIF($E$8:$E$162,"이미지",AI$8:AI$162)</f>
        <v/>
      </c>
      <c r="AJ5" s="49">
        <f>SUMIF($E$8:$E$162,"이미지",AJ$8:AJ$162)</f>
        <v/>
      </c>
      <c r="AK5" s="49">
        <f>SUMIF($E$8:$E$162,"이미지",AK$8:AK$162)</f>
        <v/>
      </c>
      <c r="AL5" s="49">
        <f>SUMIF($E$8:$E$162,"이미지",AL$8:AL$162)</f>
        <v/>
      </c>
      <c r="AM5" s="49">
        <f>SUMIF($E$8:$E$162,"이미지",AM$8:AM$162)</f>
        <v/>
      </c>
      <c r="AN5" s="49">
        <f>SUMIF($E$8:$E$162,"이미지",AN$8:AN$162)</f>
        <v/>
      </c>
      <c r="AO5" s="49">
        <f>SUMIF($E$8:$E$162,"이미지",AO$8:AO$162)</f>
        <v/>
      </c>
      <c r="AP5" s="49">
        <f>SUMIF($E$8:$E$162,"이미지",AP$8:AP$162)</f>
        <v/>
      </c>
      <c r="AQ5" s="49">
        <f>SUMIF($E$8:$E$162,"이미지",AQ$8:AQ$162)</f>
        <v/>
      </c>
      <c r="AR5" s="49">
        <f>SUMIF($E$8:$E$162,"이미지",AR$8:AR$162)</f>
        <v/>
      </c>
      <c r="AS5" s="49">
        <f>SUMIF($E$8:$E$162,"이미지",AS$8:AS$162)</f>
        <v/>
      </c>
      <c r="AT5" s="49">
        <f>SUMIF($E$8:$E$162,"이미지",AT$8:AT$162)</f>
        <v/>
      </c>
      <c r="AU5" s="49">
        <f>SUMIF($E$8:$E$162,"이미지",AU$8:AU$162)</f>
        <v/>
      </c>
      <c r="AV5" s="49">
        <f>SUMIF($E$8:$E$162,"이미지",AV$8:AV$162)</f>
        <v/>
      </c>
      <c r="AW5" s="49">
        <f>SUMIF($E$8:$E$162,"이미지",AW$8:AW$162)</f>
        <v/>
      </c>
      <c r="AX5" s="49">
        <f>SUMIF($E$8:$E$162,"이미지",AX$8:AX$162)</f>
        <v/>
      </c>
      <c r="AY5" s="49">
        <f>SUMIF($E$8:$E$162,"이미지",AY$8:AY$162)</f>
        <v/>
      </c>
    </row>
    <row r="6">
      <c r="A6" s="45" t="inlineStr">
        <is>
          <t>기획 TO</t>
        </is>
      </c>
      <c r="G6" s="46" t="inlineStr">
        <is>
          <t>정원</t>
        </is>
      </c>
      <c r="H6" s="47">
        <f>'마스터'!$J$10</f>
        <v/>
      </c>
      <c r="I6" s="48" t="n"/>
      <c r="J6" s="48" t="n"/>
      <c r="K6" s="48" t="n"/>
      <c r="L6" s="48" t="n"/>
      <c r="M6" s="48" t="n"/>
      <c r="N6" s="48" t="n"/>
      <c r="O6" s="48" t="n"/>
      <c r="P6" s="48" t="n"/>
      <c r="U6" s="49">
        <f>SUMIF($E$8:$E$162,"기획",U$8:U$162)</f>
        <v/>
      </c>
      <c r="V6" s="49">
        <f>SUMIF($E$8:$E$162,"기획",V$8:V$162)</f>
        <v/>
      </c>
      <c r="W6" s="49">
        <f>SUMIF($E$8:$E$162,"기획",W$8:W$162)</f>
        <v/>
      </c>
      <c r="X6" s="49">
        <f>SUMIF($E$8:$E$162,"기획",X$8:X$162)</f>
        <v/>
      </c>
      <c r="Y6" s="49">
        <f>SUMIF($E$8:$E$162,"기획",Y$8:Y$162)</f>
        <v/>
      </c>
      <c r="Z6" s="49">
        <f>SUMIF($E$8:$E$162,"기획",Z$8:Z$162)</f>
        <v/>
      </c>
      <c r="AA6" s="49">
        <f>SUMIF($E$8:$E$162,"기획",AA$8:AA$162)</f>
        <v/>
      </c>
      <c r="AB6" s="49">
        <f>SUMIF($E$8:$E$162,"기획",AB$8:AB$162)</f>
        <v/>
      </c>
      <c r="AC6" s="49">
        <f>SUMIF($E$8:$E$162,"기획",AC$8:AC$162)</f>
        <v/>
      </c>
      <c r="AD6" s="49">
        <f>SUMIF($E$8:$E$162,"기획",AD$8:AD$162)</f>
        <v/>
      </c>
      <c r="AE6" s="49">
        <f>SUMIF($E$8:$E$162,"기획",AE$8:AE$162)</f>
        <v/>
      </c>
      <c r="AF6" s="49">
        <f>SUMIF($E$8:$E$162,"기획",AF$8:AF$162)</f>
        <v/>
      </c>
      <c r="AG6" s="49">
        <f>SUMIF($E$8:$E$162,"기획",AG$8:AG$162)</f>
        <v/>
      </c>
      <c r="AH6" s="49">
        <f>SUMIF($E$8:$E$162,"기획",AH$8:AH$162)</f>
        <v/>
      </c>
      <c r="AI6" s="49">
        <f>SUMIF($E$8:$E$162,"기획",AI$8:AI$162)</f>
        <v/>
      </c>
      <c r="AJ6" s="49">
        <f>SUMIF($E$8:$E$162,"기획",AJ$8:AJ$162)</f>
        <v/>
      </c>
      <c r="AK6" s="49">
        <f>SUMIF($E$8:$E$162,"기획",AK$8:AK$162)</f>
        <v/>
      </c>
      <c r="AL6" s="49">
        <f>SUMIF($E$8:$E$162,"기획",AL$8:AL$162)</f>
        <v/>
      </c>
      <c r="AM6" s="49">
        <f>SUMIF($E$8:$E$162,"기획",AM$8:AM$162)</f>
        <v/>
      </c>
      <c r="AN6" s="49">
        <f>SUMIF($E$8:$E$162,"기획",AN$8:AN$162)</f>
        <v/>
      </c>
      <c r="AO6" s="49">
        <f>SUMIF($E$8:$E$162,"기획",AO$8:AO$162)</f>
        <v/>
      </c>
      <c r="AP6" s="49">
        <f>SUMIF($E$8:$E$162,"기획",AP$8:AP$162)</f>
        <v/>
      </c>
      <c r="AQ6" s="49">
        <f>SUMIF($E$8:$E$162,"기획",AQ$8:AQ$162)</f>
        <v/>
      </c>
      <c r="AR6" s="49">
        <f>SUMIF($E$8:$E$162,"기획",AR$8:AR$162)</f>
        <v/>
      </c>
      <c r="AS6" s="49">
        <f>SUMIF($E$8:$E$162,"기획",AS$8:AS$162)</f>
        <v/>
      </c>
      <c r="AT6" s="49">
        <f>SUMIF($E$8:$E$162,"기획",AT$8:AT$162)</f>
        <v/>
      </c>
      <c r="AU6" s="49">
        <f>SUMIF($E$8:$E$162,"기획",AU$8:AU$162)</f>
        <v/>
      </c>
      <c r="AV6" s="49">
        <f>SUMIF($E$8:$E$162,"기획",AV$8:AV$162)</f>
        <v/>
      </c>
      <c r="AW6" s="49">
        <f>SUMIF($E$8:$E$162,"기획",AW$8:AW$162)</f>
        <v/>
      </c>
      <c r="AX6" s="49">
        <f>SUMIF($E$8:$E$162,"기획",AX$8:AX$162)</f>
        <v/>
      </c>
      <c r="AY6" s="49">
        <f>SUMIF($E$8:$E$162,"기획",AY$8:AY$162)</f>
        <v/>
      </c>
    </row>
    <row r="8">
      <c r="A8" s="50" t="inlineStr">
        <is>
          <t>마케팅1팀  (9~38행)</t>
        </is>
      </c>
      <c r="U8" s="51" t="n"/>
      <c r="V8" s="51" t="n"/>
      <c r="W8" s="51" t="n"/>
      <c r="X8" s="51" t="n"/>
      <c r="Y8" s="51" t="n"/>
      <c r="Z8" s="51" t="n"/>
      <c r="AA8" s="51" t="n"/>
      <c r="AB8" s="51" t="n"/>
      <c r="AC8" s="51" t="n"/>
      <c r="AD8" s="51" t="n"/>
      <c r="AE8" s="51" t="n"/>
      <c r="AF8" s="51" t="n"/>
      <c r="AG8" s="51" t="n"/>
      <c r="AH8" s="51" t="n"/>
      <c r="AI8" s="51" t="n"/>
      <c r="AJ8" s="51" t="n"/>
      <c r="AK8" s="51" t="n"/>
      <c r="AL8" s="51" t="n"/>
      <c r="AM8" s="51" t="n"/>
      <c r="AN8" s="51" t="n"/>
      <c r="AO8" s="51" t="n"/>
      <c r="AP8" s="51" t="n"/>
      <c r="AQ8" s="51" t="n"/>
      <c r="AR8" s="51" t="n"/>
      <c r="AS8" s="51" t="n"/>
      <c r="AT8" s="51" t="n"/>
      <c r="AU8" s="51" t="n"/>
      <c r="AV8" s="51" t="n"/>
      <c r="AW8" s="51" t="n"/>
      <c r="AX8" s="51" t="n"/>
      <c r="AY8" s="51" t="n"/>
    </row>
    <row r="9">
      <c r="A9" s="38">
        <f>IF(D9="","",COUNTA($D$9:D9))</f>
        <v/>
      </c>
      <c r="B9" s="52" t="n"/>
      <c r="C9" s="53" t="inlineStr">
        <is>
          <t>마케팅1팀</t>
        </is>
      </c>
      <c r="D9" s="52" t="n"/>
      <c r="E9" s="54" t="n"/>
      <c r="F9" s="52" t="n"/>
      <c r="G9" s="55" t="n"/>
      <c r="H9" s="54" t="n"/>
      <c r="I9" s="54" t="n"/>
      <c r="J9" s="54" t="n"/>
      <c r="K9" s="56">
        <f>IF(SUM(U9:AY9)=0,"",SUM(U9:AY9))</f>
        <v/>
      </c>
      <c r="L9" s="57">
        <f>IFERROR(INDEX(U$2:AY$2,MATCH(TRUE,U9:AY9&lt;&gt;"",0)),"")</f>
        <v/>
      </c>
      <c r="M9" s="58">
        <f>IFERROR(LOOKUP(2,1/(U9:AY9&lt;&gt;""),U$2:AY$2),"")</f>
        <v/>
      </c>
      <c r="N9" s="59">
        <f>IF(OR(G9="",M9=""),"",G9-M9)</f>
        <v/>
      </c>
      <c r="O9" s="60" t="n"/>
      <c r="P9" s="61" t="n"/>
      <c r="U9" s="62" t="n"/>
      <c r="V9" s="62" t="n"/>
      <c r="W9" s="62" t="n"/>
      <c r="X9" s="62" t="n"/>
      <c r="Y9" s="62" t="n"/>
      <c r="Z9" s="62" t="n"/>
      <c r="AA9" s="62" t="n"/>
      <c r="AB9" s="62" t="n"/>
      <c r="AC9" s="62" t="n"/>
      <c r="AD9" s="62" t="n"/>
      <c r="AE9" s="62" t="n"/>
      <c r="AF9" s="62" t="n"/>
      <c r="AG9" s="62" t="n"/>
      <c r="AH9" s="62" t="n"/>
      <c r="AI9" s="62" t="n"/>
      <c r="AJ9" s="62" t="n"/>
      <c r="AK9" s="62" t="n"/>
      <c r="AL9" s="62" t="n"/>
      <c r="AM9" s="62" t="n"/>
      <c r="AN9" s="62" t="n"/>
      <c r="AO9" s="62" t="n"/>
      <c r="AP9" s="62" t="n"/>
      <c r="AQ9" s="62" t="n"/>
      <c r="AR9" s="62" t="n"/>
      <c r="AS9" s="62" t="n"/>
      <c r="AT9" s="62" t="n"/>
      <c r="AU9" s="62" t="n"/>
      <c r="AV9" s="62" t="n"/>
      <c r="AW9" s="62" t="n"/>
      <c r="AX9" s="62" t="n"/>
      <c r="AY9" s="62" t="n"/>
    </row>
    <row r="10">
      <c r="A10" s="38">
        <f>IF(D10="","",COUNTA($D$9:D10))</f>
        <v/>
      </c>
      <c r="B10" s="52" t="n"/>
      <c r="C10" s="53" t="inlineStr">
        <is>
          <t>마케팅1팀</t>
        </is>
      </c>
      <c r="D10" s="52" t="n"/>
      <c r="E10" s="54" t="n"/>
      <c r="F10" s="52" t="n"/>
      <c r="G10" s="55" t="n"/>
      <c r="H10" s="54" t="n"/>
      <c r="I10" s="54" t="n"/>
      <c r="J10" s="54" t="n"/>
      <c r="K10" s="56">
        <f>IF(SUM(U10:AY10)=0,"",SUM(U10:AY10))</f>
        <v/>
      </c>
      <c r="L10" s="57">
        <f>IFERROR(INDEX(U$2:AY$2,MATCH(TRUE,U10:AY10&lt;&gt;"",0)),"")</f>
        <v/>
      </c>
      <c r="M10" s="58">
        <f>IFERROR(LOOKUP(2,1/(U10:AY10&lt;&gt;""),U$2:AY$2),"")</f>
        <v/>
      </c>
      <c r="N10" s="59">
        <f>IF(OR(G10="",M10=""),"",G10-M10)</f>
        <v/>
      </c>
      <c r="O10" s="60" t="n"/>
      <c r="P10" s="61" t="n"/>
      <c r="U10" s="62" t="n"/>
      <c r="V10" s="62" t="n"/>
      <c r="W10" s="62" t="n"/>
      <c r="X10" s="62" t="n"/>
      <c r="Y10" s="62" t="n"/>
      <c r="Z10" s="62" t="n"/>
      <c r="AA10" s="62" t="n"/>
      <c r="AB10" s="62" t="n"/>
      <c r="AC10" s="62" t="n"/>
      <c r="AD10" s="62" t="n"/>
      <c r="AE10" s="62" t="n"/>
      <c r="AF10" s="62" t="n"/>
      <c r="AG10" s="62" t="n"/>
      <c r="AH10" s="62" t="n"/>
      <c r="AI10" s="62" t="n"/>
      <c r="AJ10" s="62" t="n"/>
      <c r="AK10" s="62" t="n"/>
      <c r="AL10" s="62" t="n"/>
      <c r="AM10" s="62" t="n"/>
      <c r="AN10" s="62" t="n"/>
      <c r="AO10" s="62" t="n"/>
      <c r="AP10" s="62" t="n"/>
      <c r="AQ10" s="62" t="n"/>
      <c r="AR10" s="62" t="n"/>
      <c r="AS10" s="62" t="n"/>
      <c r="AT10" s="62" t="n"/>
      <c r="AU10" s="62" t="n"/>
      <c r="AV10" s="62" t="n"/>
      <c r="AW10" s="62" t="n"/>
      <c r="AX10" s="62" t="n"/>
      <c r="AY10" s="62" t="n"/>
    </row>
    <row r="11">
      <c r="A11" s="38">
        <f>IF(D11="","",COUNTA($D$9:D11))</f>
        <v/>
      </c>
      <c r="B11" s="52" t="n"/>
      <c r="C11" s="53" t="inlineStr">
        <is>
          <t>마케팅1팀</t>
        </is>
      </c>
      <c r="D11" s="52" t="n"/>
      <c r="E11" s="54" t="n"/>
      <c r="F11" s="52" t="n"/>
      <c r="G11" s="55" t="n"/>
      <c r="H11" s="54" t="n"/>
      <c r="I11" s="54" t="n"/>
      <c r="J11" s="54" t="n"/>
      <c r="K11" s="56">
        <f>IF(SUM(U11:AY11)=0,"",SUM(U11:AY11))</f>
        <v/>
      </c>
      <c r="L11" s="57">
        <f>IFERROR(INDEX(U$2:AY$2,MATCH(TRUE,U11:AY11&lt;&gt;"",0)),"")</f>
        <v/>
      </c>
      <c r="M11" s="58">
        <f>IFERROR(LOOKUP(2,1/(U11:AY11&lt;&gt;""),U$2:AY$2),"")</f>
        <v/>
      </c>
      <c r="N11" s="59">
        <f>IF(OR(G11="",M11=""),"",G11-M11)</f>
        <v/>
      </c>
      <c r="O11" s="60" t="n"/>
      <c r="P11" s="61" t="n"/>
      <c r="U11" s="62" t="n"/>
      <c r="V11" s="62" t="n"/>
      <c r="W11" s="62" t="n"/>
      <c r="X11" s="62" t="n"/>
      <c r="Y11" s="62" t="n"/>
      <c r="Z11" s="62" t="n"/>
      <c r="AA11" s="62" t="n"/>
      <c r="AB11" s="62" t="n"/>
      <c r="AC11" s="62" t="n"/>
      <c r="AD11" s="62" t="n"/>
      <c r="AE11" s="62" t="n"/>
      <c r="AF11" s="62" t="n"/>
      <c r="AG11" s="62" t="n"/>
      <c r="AH11" s="62" t="n"/>
      <c r="AI11" s="62" t="n"/>
      <c r="AJ11" s="62" t="n"/>
      <c r="AK11" s="62" t="n"/>
      <c r="AL11" s="62" t="n"/>
      <c r="AM11" s="62" t="n"/>
      <c r="AN11" s="62" t="n"/>
      <c r="AO11" s="62" t="n"/>
      <c r="AP11" s="62" t="n"/>
      <c r="AQ11" s="62" t="n"/>
      <c r="AR11" s="62" t="n"/>
      <c r="AS11" s="62" t="n"/>
      <c r="AT11" s="62" t="n"/>
      <c r="AU11" s="62" t="n"/>
      <c r="AV11" s="62" t="n"/>
      <c r="AW11" s="62" t="n"/>
      <c r="AX11" s="62" t="n"/>
      <c r="AY11" s="62" t="n"/>
    </row>
    <row r="12">
      <c r="A12" s="38">
        <f>IF(D12="","",COUNTA($D$9:D12))</f>
        <v/>
      </c>
      <c r="B12" s="52" t="n"/>
      <c r="C12" s="53" t="inlineStr">
        <is>
          <t>마케팅1팀</t>
        </is>
      </c>
      <c r="D12" s="52" t="n"/>
      <c r="E12" s="54" t="n"/>
      <c r="F12" s="52" t="n"/>
      <c r="G12" s="55" t="n"/>
      <c r="H12" s="54" t="n"/>
      <c r="I12" s="54" t="n"/>
      <c r="J12" s="54" t="n"/>
      <c r="K12" s="56">
        <f>IF(SUM(U12:AY12)=0,"",SUM(U12:AY12))</f>
        <v/>
      </c>
      <c r="L12" s="57">
        <f>IFERROR(INDEX(U$2:AY$2,MATCH(TRUE,U12:AY12&lt;&gt;"",0)),"")</f>
        <v/>
      </c>
      <c r="M12" s="58">
        <f>IFERROR(LOOKUP(2,1/(U12:AY12&lt;&gt;""),U$2:AY$2),"")</f>
        <v/>
      </c>
      <c r="N12" s="59">
        <f>IF(OR(G12="",M12=""),"",G12-M12)</f>
        <v/>
      </c>
      <c r="O12" s="60" t="n"/>
      <c r="P12" s="61" t="n"/>
      <c r="U12" s="62" t="n"/>
      <c r="V12" s="62" t="n"/>
      <c r="W12" s="62" t="n"/>
      <c r="X12" s="62" t="n"/>
      <c r="Y12" s="62" t="n"/>
      <c r="Z12" s="62" t="n"/>
      <c r="AA12" s="62" t="n"/>
      <c r="AB12" s="62" t="n"/>
      <c r="AC12" s="62" t="n"/>
      <c r="AD12" s="62" t="n"/>
      <c r="AE12" s="62" t="n"/>
      <c r="AF12" s="62" t="n"/>
      <c r="AG12" s="62" t="n"/>
      <c r="AH12" s="62" t="n"/>
      <c r="AI12" s="62" t="n"/>
      <c r="AJ12" s="62" t="n"/>
      <c r="AK12" s="62" t="n"/>
      <c r="AL12" s="62" t="n"/>
      <c r="AM12" s="62" t="n"/>
      <c r="AN12" s="62" t="n"/>
      <c r="AO12" s="62" t="n"/>
      <c r="AP12" s="62" t="n"/>
      <c r="AQ12" s="62" t="n"/>
      <c r="AR12" s="62" t="n"/>
      <c r="AS12" s="62" t="n"/>
      <c r="AT12" s="62" t="n"/>
      <c r="AU12" s="62" t="n"/>
      <c r="AV12" s="62" t="n"/>
      <c r="AW12" s="62" t="n"/>
      <c r="AX12" s="62" t="n"/>
      <c r="AY12" s="62" t="n"/>
    </row>
    <row r="13">
      <c r="A13" s="38">
        <f>IF(D13="","",COUNTA($D$9:D13))</f>
        <v/>
      </c>
      <c r="B13" s="52" t="n"/>
      <c r="C13" s="53" t="inlineStr">
        <is>
          <t>마케팅1팀</t>
        </is>
      </c>
      <c r="D13" s="52" t="n"/>
      <c r="E13" s="54" t="n"/>
      <c r="F13" s="52" t="n"/>
      <c r="G13" s="55" t="n"/>
      <c r="H13" s="54" t="n"/>
      <c r="I13" s="54" t="n"/>
      <c r="J13" s="54" t="n"/>
      <c r="K13" s="56">
        <f>IF(SUM(U13:AY13)=0,"",SUM(U13:AY13))</f>
        <v/>
      </c>
      <c r="L13" s="57">
        <f>IFERROR(INDEX(U$2:AY$2,MATCH(TRUE,U13:AY13&lt;&gt;"",0)),"")</f>
        <v/>
      </c>
      <c r="M13" s="58">
        <f>IFERROR(LOOKUP(2,1/(U13:AY13&lt;&gt;""),U$2:AY$2),"")</f>
        <v/>
      </c>
      <c r="N13" s="59">
        <f>IF(OR(G13="",M13=""),"",G13-M13)</f>
        <v/>
      </c>
      <c r="O13" s="60" t="n"/>
      <c r="P13" s="61" t="n"/>
      <c r="U13" s="62" t="n"/>
      <c r="V13" s="62" t="n"/>
      <c r="W13" s="62" t="n"/>
      <c r="X13" s="62" t="n"/>
      <c r="Y13" s="62" t="n"/>
      <c r="Z13" s="62" t="n"/>
      <c r="AA13" s="62" t="n"/>
      <c r="AB13" s="62" t="n"/>
      <c r="AC13" s="62" t="n"/>
      <c r="AD13" s="62" t="n"/>
      <c r="AE13" s="62" t="n"/>
      <c r="AF13" s="62" t="n"/>
      <c r="AG13" s="62" t="n"/>
      <c r="AH13" s="62" t="n"/>
      <c r="AI13" s="62" t="n"/>
      <c r="AJ13" s="62" t="n"/>
      <c r="AK13" s="62" t="n"/>
      <c r="AL13" s="62" t="n"/>
      <c r="AM13" s="62" t="n"/>
      <c r="AN13" s="62" t="n"/>
      <c r="AO13" s="62" t="n"/>
      <c r="AP13" s="62" t="n"/>
      <c r="AQ13" s="62" t="n"/>
      <c r="AR13" s="62" t="n"/>
      <c r="AS13" s="62" t="n"/>
      <c r="AT13" s="62" t="n"/>
      <c r="AU13" s="62" t="n"/>
      <c r="AV13" s="62" t="n"/>
      <c r="AW13" s="62" t="n"/>
      <c r="AX13" s="62" t="n"/>
      <c r="AY13" s="62" t="n"/>
    </row>
    <row r="14">
      <c r="A14" s="38">
        <f>IF(D14="","",COUNTA($D$9:D14))</f>
        <v/>
      </c>
      <c r="B14" s="52" t="n"/>
      <c r="C14" s="53" t="inlineStr">
        <is>
          <t>마케팅1팀</t>
        </is>
      </c>
      <c r="D14" s="52" t="n"/>
      <c r="E14" s="54" t="n"/>
      <c r="F14" s="52" t="n"/>
      <c r="G14" s="55" t="n"/>
      <c r="H14" s="54" t="n"/>
      <c r="I14" s="54" t="n"/>
      <c r="J14" s="54" t="n"/>
      <c r="K14" s="56">
        <f>IF(SUM(U14:AY14)=0,"",SUM(U14:AY14))</f>
        <v/>
      </c>
      <c r="L14" s="57">
        <f>IFERROR(INDEX(U$2:AY$2,MATCH(TRUE,U14:AY14&lt;&gt;"",0)),"")</f>
        <v/>
      </c>
      <c r="M14" s="58">
        <f>IFERROR(LOOKUP(2,1/(U14:AY14&lt;&gt;""),U$2:AY$2),"")</f>
        <v/>
      </c>
      <c r="N14" s="59">
        <f>IF(OR(G14="",M14=""),"",G14-M14)</f>
        <v/>
      </c>
      <c r="O14" s="60" t="n"/>
      <c r="P14" s="61" t="n"/>
      <c r="U14" s="62" t="n"/>
      <c r="V14" s="62" t="n"/>
      <c r="W14" s="62" t="n"/>
      <c r="X14" s="62" t="n"/>
      <c r="Y14" s="62" t="n"/>
      <c r="Z14" s="62" t="n"/>
      <c r="AA14" s="62" t="n"/>
      <c r="AB14" s="62" t="n"/>
      <c r="AC14" s="62" t="n"/>
      <c r="AD14" s="62" t="n"/>
      <c r="AE14" s="62" t="n"/>
      <c r="AF14" s="62" t="n"/>
      <c r="AG14" s="62" t="n"/>
      <c r="AH14" s="62" t="n"/>
      <c r="AI14" s="62" t="n"/>
      <c r="AJ14" s="62" t="n"/>
      <c r="AK14" s="62" t="n"/>
      <c r="AL14" s="62" t="n"/>
      <c r="AM14" s="62" t="n"/>
      <c r="AN14" s="62" t="n"/>
      <c r="AO14" s="62" t="n"/>
      <c r="AP14" s="62" t="n"/>
      <c r="AQ14" s="62" t="n"/>
      <c r="AR14" s="62" t="n"/>
      <c r="AS14" s="62" t="n"/>
      <c r="AT14" s="62" t="n"/>
      <c r="AU14" s="62" t="n"/>
      <c r="AV14" s="62" t="n"/>
      <c r="AW14" s="62" t="n"/>
      <c r="AX14" s="62" t="n"/>
      <c r="AY14" s="62" t="n"/>
    </row>
    <row r="15">
      <c r="A15" s="38">
        <f>IF(D15="","",COUNTA($D$9:D15))</f>
        <v/>
      </c>
      <c r="B15" s="52" t="n"/>
      <c r="C15" s="53" t="inlineStr">
        <is>
          <t>마케팅1팀</t>
        </is>
      </c>
      <c r="D15" s="52" t="n"/>
      <c r="E15" s="54" t="n"/>
      <c r="F15" s="52" t="n"/>
      <c r="G15" s="55" t="n"/>
      <c r="H15" s="54" t="n"/>
      <c r="I15" s="54" t="n"/>
      <c r="J15" s="54" t="n"/>
      <c r="K15" s="56">
        <f>IF(SUM(U15:AY15)=0,"",SUM(U15:AY15))</f>
        <v/>
      </c>
      <c r="L15" s="57">
        <f>IFERROR(INDEX(U$2:AY$2,MATCH(TRUE,U15:AY15&lt;&gt;"",0)),"")</f>
        <v/>
      </c>
      <c r="M15" s="58">
        <f>IFERROR(LOOKUP(2,1/(U15:AY15&lt;&gt;""),U$2:AY$2),"")</f>
        <v/>
      </c>
      <c r="N15" s="59">
        <f>IF(OR(G15="",M15=""),"",G15-M15)</f>
        <v/>
      </c>
      <c r="O15" s="60" t="n"/>
      <c r="P15" s="61" t="n"/>
      <c r="U15" s="62" t="n"/>
      <c r="V15" s="62" t="n"/>
      <c r="W15" s="62" t="n"/>
      <c r="X15" s="62" t="n"/>
      <c r="Y15" s="62" t="n"/>
      <c r="Z15" s="62" t="n"/>
      <c r="AA15" s="62" t="n"/>
      <c r="AB15" s="62" t="n"/>
      <c r="AC15" s="62" t="n"/>
      <c r="AD15" s="62" t="n"/>
      <c r="AE15" s="62" t="n"/>
      <c r="AF15" s="62" t="n"/>
      <c r="AG15" s="62" t="n"/>
      <c r="AH15" s="62" t="n"/>
      <c r="AI15" s="62" t="n"/>
      <c r="AJ15" s="62" t="n"/>
      <c r="AK15" s="62" t="n"/>
      <c r="AL15" s="62" t="n"/>
      <c r="AM15" s="62" t="n"/>
      <c r="AN15" s="62" t="n"/>
      <c r="AO15" s="62" t="n"/>
      <c r="AP15" s="62" t="n"/>
      <c r="AQ15" s="62" t="n"/>
      <c r="AR15" s="62" t="n"/>
      <c r="AS15" s="62" t="n"/>
      <c r="AT15" s="62" t="n"/>
      <c r="AU15" s="62" t="n"/>
      <c r="AV15" s="62" t="n"/>
      <c r="AW15" s="62" t="n"/>
      <c r="AX15" s="62" t="n"/>
      <c r="AY15" s="62" t="n"/>
    </row>
    <row r="16">
      <c r="A16" s="38">
        <f>IF(D16="","",COUNTA($D$9:D16))</f>
        <v/>
      </c>
      <c r="B16" s="52" t="n"/>
      <c r="C16" s="53" t="inlineStr">
        <is>
          <t>마케팅1팀</t>
        </is>
      </c>
      <c r="D16" s="52" t="n"/>
      <c r="E16" s="54" t="n"/>
      <c r="F16" s="52" t="n"/>
      <c r="G16" s="55" t="n"/>
      <c r="H16" s="54" t="n"/>
      <c r="I16" s="54" t="n"/>
      <c r="J16" s="54" t="n"/>
      <c r="K16" s="56">
        <f>IF(SUM(U16:AY16)=0,"",SUM(U16:AY16))</f>
        <v/>
      </c>
      <c r="L16" s="57">
        <f>IFERROR(INDEX(U$2:AY$2,MATCH(TRUE,U16:AY16&lt;&gt;"",0)),"")</f>
        <v/>
      </c>
      <c r="M16" s="58">
        <f>IFERROR(LOOKUP(2,1/(U16:AY16&lt;&gt;""),U$2:AY$2),"")</f>
        <v/>
      </c>
      <c r="N16" s="59">
        <f>IF(OR(G16="",M16=""),"",G16-M16)</f>
        <v/>
      </c>
      <c r="O16" s="60" t="n"/>
      <c r="P16" s="61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  <c r="AG16" s="62" t="n"/>
      <c r="AH16" s="62" t="n"/>
      <c r="AI16" s="62" t="n"/>
      <c r="AJ16" s="62" t="n"/>
      <c r="AK16" s="62" t="n"/>
      <c r="AL16" s="62" t="n"/>
      <c r="AM16" s="62" t="n"/>
      <c r="AN16" s="62" t="n"/>
      <c r="AO16" s="62" t="n"/>
      <c r="AP16" s="62" t="n"/>
      <c r="AQ16" s="62" t="n"/>
      <c r="AR16" s="62" t="n"/>
      <c r="AS16" s="62" t="n"/>
      <c r="AT16" s="62" t="n"/>
      <c r="AU16" s="62" t="n"/>
      <c r="AV16" s="62" t="n"/>
      <c r="AW16" s="62" t="n"/>
      <c r="AX16" s="62" t="n"/>
      <c r="AY16" s="62" t="n"/>
    </row>
    <row r="17">
      <c r="A17" s="38">
        <f>IF(D17="","",COUNTA($D$9:D17))</f>
        <v/>
      </c>
      <c r="B17" s="52" t="n"/>
      <c r="C17" s="53" t="inlineStr">
        <is>
          <t>마케팅1팀</t>
        </is>
      </c>
      <c r="D17" s="52" t="n"/>
      <c r="E17" s="54" t="n"/>
      <c r="F17" s="52" t="n"/>
      <c r="G17" s="55" t="n"/>
      <c r="H17" s="54" t="n"/>
      <c r="I17" s="54" t="n"/>
      <c r="J17" s="54" t="n"/>
      <c r="K17" s="56">
        <f>IF(SUM(U17:AY17)=0,"",SUM(U17:AY17))</f>
        <v/>
      </c>
      <c r="L17" s="57">
        <f>IFERROR(INDEX(U$2:AY$2,MATCH(TRUE,U17:AY17&lt;&gt;"",0)),"")</f>
        <v/>
      </c>
      <c r="M17" s="58">
        <f>IFERROR(LOOKUP(2,1/(U17:AY17&lt;&gt;""),U$2:AY$2),"")</f>
        <v/>
      </c>
      <c r="N17" s="59">
        <f>IF(OR(G17="",M17=""),"",G17-M17)</f>
        <v/>
      </c>
      <c r="O17" s="60" t="n"/>
      <c r="P17" s="61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  <c r="AG17" s="62" t="n"/>
      <c r="AH17" s="62" t="n"/>
      <c r="AI17" s="62" t="n"/>
      <c r="AJ17" s="62" t="n"/>
      <c r="AK17" s="62" t="n"/>
      <c r="AL17" s="62" t="n"/>
      <c r="AM17" s="62" t="n"/>
      <c r="AN17" s="62" t="n"/>
      <c r="AO17" s="62" t="n"/>
      <c r="AP17" s="62" t="n"/>
      <c r="AQ17" s="62" t="n"/>
      <c r="AR17" s="62" t="n"/>
      <c r="AS17" s="62" t="n"/>
      <c r="AT17" s="62" t="n"/>
      <c r="AU17" s="62" t="n"/>
      <c r="AV17" s="62" t="n"/>
      <c r="AW17" s="62" t="n"/>
      <c r="AX17" s="62" t="n"/>
      <c r="AY17" s="62" t="n"/>
    </row>
    <row r="18">
      <c r="A18" s="38">
        <f>IF(D18="","",COUNTA($D$9:D18))</f>
        <v/>
      </c>
      <c r="B18" s="52" t="n"/>
      <c r="C18" s="53" t="inlineStr">
        <is>
          <t>마케팅1팀</t>
        </is>
      </c>
      <c r="D18" s="52" t="n"/>
      <c r="E18" s="54" t="n"/>
      <c r="F18" s="52" t="n"/>
      <c r="G18" s="55" t="n"/>
      <c r="H18" s="54" t="n"/>
      <c r="I18" s="54" t="n"/>
      <c r="J18" s="54" t="n"/>
      <c r="K18" s="56">
        <f>IF(SUM(U18:AY18)=0,"",SUM(U18:AY18))</f>
        <v/>
      </c>
      <c r="L18" s="57">
        <f>IFERROR(INDEX(U$2:AY$2,MATCH(TRUE,U18:AY18&lt;&gt;"",0)),"")</f>
        <v/>
      </c>
      <c r="M18" s="58">
        <f>IFERROR(LOOKUP(2,1/(U18:AY18&lt;&gt;""),U$2:AY$2),"")</f>
        <v/>
      </c>
      <c r="N18" s="59">
        <f>IF(OR(G18="",M18=""),"",G18-M18)</f>
        <v/>
      </c>
      <c r="O18" s="60" t="n"/>
      <c r="P18" s="61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  <c r="AG18" s="62" t="n"/>
      <c r="AH18" s="62" t="n"/>
      <c r="AI18" s="62" t="n"/>
      <c r="AJ18" s="62" t="n"/>
      <c r="AK18" s="62" t="n"/>
      <c r="AL18" s="62" t="n"/>
      <c r="AM18" s="62" t="n"/>
      <c r="AN18" s="62" t="n"/>
      <c r="AO18" s="62" t="n"/>
      <c r="AP18" s="62" t="n"/>
      <c r="AQ18" s="62" t="n"/>
      <c r="AR18" s="62" t="n"/>
      <c r="AS18" s="62" t="n"/>
      <c r="AT18" s="62" t="n"/>
      <c r="AU18" s="62" t="n"/>
      <c r="AV18" s="62" t="n"/>
      <c r="AW18" s="62" t="n"/>
      <c r="AX18" s="62" t="n"/>
      <c r="AY18" s="62" t="n"/>
    </row>
    <row r="19">
      <c r="A19" s="38">
        <f>IF(D19="","",COUNTA($D$9:D19))</f>
        <v/>
      </c>
      <c r="B19" s="52" t="n"/>
      <c r="C19" s="53" t="inlineStr">
        <is>
          <t>마케팅1팀</t>
        </is>
      </c>
      <c r="D19" s="52" t="n"/>
      <c r="E19" s="54" t="n"/>
      <c r="F19" s="52" t="n"/>
      <c r="G19" s="55" t="n"/>
      <c r="H19" s="54" t="n"/>
      <c r="I19" s="54" t="n"/>
      <c r="J19" s="54" t="n"/>
      <c r="K19" s="56">
        <f>IF(SUM(U19:AY19)=0,"",SUM(U19:AY19))</f>
        <v/>
      </c>
      <c r="L19" s="57">
        <f>IFERROR(INDEX(U$2:AY$2,MATCH(TRUE,U19:AY19&lt;&gt;"",0)),"")</f>
        <v/>
      </c>
      <c r="M19" s="58">
        <f>IFERROR(LOOKUP(2,1/(U19:AY19&lt;&gt;""),U$2:AY$2),"")</f>
        <v/>
      </c>
      <c r="N19" s="59">
        <f>IF(OR(G19="",M19=""),"",G19-M19)</f>
        <v/>
      </c>
      <c r="O19" s="60" t="n"/>
      <c r="P19" s="61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  <c r="AG19" s="62" t="n"/>
      <c r="AH19" s="62" t="n"/>
      <c r="AI19" s="62" t="n"/>
      <c r="AJ19" s="62" t="n"/>
      <c r="AK19" s="62" t="n"/>
      <c r="AL19" s="62" t="n"/>
      <c r="AM19" s="62" t="n"/>
      <c r="AN19" s="62" t="n"/>
      <c r="AO19" s="62" t="n"/>
      <c r="AP19" s="62" t="n"/>
      <c r="AQ19" s="62" t="n"/>
      <c r="AR19" s="62" t="n"/>
      <c r="AS19" s="62" t="n"/>
      <c r="AT19" s="62" t="n"/>
      <c r="AU19" s="62" t="n"/>
      <c r="AV19" s="62" t="n"/>
      <c r="AW19" s="62" t="n"/>
      <c r="AX19" s="62" t="n"/>
      <c r="AY19" s="62" t="n"/>
    </row>
    <row r="20">
      <c r="A20" s="38">
        <f>IF(D20="","",COUNTA($D$9:D20))</f>
        <v/>
      </c>
      <c r="B20" s="52" t="n"/>
      <c r="C20" s="53" t="inlineStr">
        <is>
          <t>마케팅1팀</t>
        </is>
      </c>
      <c r="D20" s="52" t="n"/>
      <c r="E20" s="54" t="n"/>
      <c r="F20" s="52" t="n"/>
      <c r="G20" s="55" t="n"/>
      <c r="H20" s="54" t="n"/>
      <c r="I20" s="54" t="n"/>
      <c r="J20" s="54" t="n"/>
      <c r="K20" s="56">
        <f>IF(SUM(U20:AY20)=0,"",SUM(U20:AY20))</f>
        <v/>
      </c>
      <c r="L20" s="57">
        <f>IFERROR(INDEX(U$2:AY$2,MATCH(TRUE,U20:AY20&lt;&gt;"",0)),"")</f>
        <v/>
      </c>
      <c r="M20" s="58">
        <f>IFERROR(LOOKUP(2,1/(U20:AY20&lt;&gt;""),U$2:AY$2),"")</f>
        <v/>
      </c>
      <c r="N20" s="59">
        <f>IF(OR(G20="",M20=""),"",G20-M20)</f>
        <v/>
      </c>
      <c r="O20" s="60" t="n"/>
      <c r="P20" s="61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  <c r="AG20" s="62" t="n"/>
      <c r="AH20" s="62" t="n"/>
      <c r="AI20" s="62" t="n"/>
      <c r="AJ20" s="62" t="n"/>
      <c r="AK20" s="62" t="n"/>
      <c r="AL20" s="62" t="n"/>
      <c r="AM20" s="62" t="n"/>
      <c r="AN20" s="62" t="n"/>
      <c r="AO20" s="62" t="n"/>
      <c r="AP20" s="62" t="n"/>
      <c r="AQ20" s="62" t="n"/>
      <c r="AR20" s="62" t="n"/>
      <c r="AS20" s="62" t="n"/>
      <c r="AT20" s="62" t="n"/>
      <c r="AU20" s="62" t="n"/>
      <c r="AV20" s="62" t="n"/>
      <c r="AW20" s="62" t="n"/>
      <c r="AX20" s="62" t="n"/>
      <c r="AY20" s="62" t="n"/>
    </row>
    <row r="21">
      <c r="A21" s="38">
        <f>IF(D21="","",COUNTA($D$9:D21))</f>
        <v/>
      </c>
      <c r="B21" s="52" t="n"/>
      <c r="C21" s="53" t="inlineStr">
        <is>
          <t>마케팅1팀</t>
        </is>
      </c>
      <c r="D21" s="52" t="n"/>
      <c r="E21" s="54" t="n"/>
      <c r="F21" s="52" t="n"/>
      <c r="G21" s="55" t="n"/>
      <c r="H21" s="54" t="n"/>
      <c r="I21" s="54" t="n"/>
      <c r="J21" s="54" t="n"/>
      <c r="K21" s="56">
        <f>IF(SUM(U21:AY21)=0,"",SUM(U21:AY21))</f>
        <v/>
      </c>
      <c r="L21" s="57">
        <f>IFERROR(INDEX(U$2:AY$2,MATCH(TRUE,U21:AY21&lt;&gt;"",0)),"")</f>
        <v/>
      </c>
      <c r="M21" s="58">
        <f>IFERROR(LOOKUP(2,1/(U21:AY21&lt;&gt;""),U$2:AY$2),"")</f>
        <v/>
      </c>
      <c r="N21" s="59">
        <f>IF(OR(G21="",M21=""),"",G21-M21)</f>
        <v/>
      </c>
      <c r="O21" s="60" t="n"/>
      <c r="P21" s="61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  <c r="AG21" s="62" t="n"/>
      <c r="AH21" s="62" t="n"/>
      <c r="AI21" s="62" t="n"/>
      <c r="AJ21" s="62" t="n"/>
      <c r="AK21" s="62" t="n"/>
      <c r="AL21" s="62" t="n"/>
      <c r="AM21" s="62" t="n"/>
      <c r="AN21" s="62" t="n"/>
      <c r="AO21" s="62" t="n"/>
      <c r="AP21" s="62" t="n"/>
      <c r="AQ21" s="62" t="n"/>
      <c r="AR21" s="62" t="n"/>
      <c r="AS21" s="62" t="n"/>
      <c r="AT21" s="62" t="n"/>
      <c r="AU21" s="62" t="n"/>
      <c r="AV21" s="62" t="n"/>
      <c r="AW21" s="62" t="n"/>
      <c r="AX21" s="62" t="n"/>
      <c r="AY21" s="62" t="n"/>
    </row>
    <row r="22">
      <c r="A22" s="38">
        <f>IF(D22="","",COUNTA($D$9:D22))</f>
        <v/>
      </c>
      <c r="B22" s="52" t="n"/>
      <c r="C22" s="53" t="inlineStr">
        <is>
          <t>마케팅1팀</t>
        </is>
      </c>
      <c r="D22" s="52" t="n"/>
      <c r="E22" s="54" t="n"/>
      <c r="F22" s="52" t="n"/>
      <c r="G22" s="55" t="n"/>
      <c r="H22" s="54" t="n"/>
      <c r="I22" s="54" t="n"/>
      <c r="J22" s="54" t="n"/>
      <c r="K22" s="56">
        <f>IF(SUM(U22:AY22)=0,"",SUM(U22:AY22))</f>
        <v/>
      </c>
      <c r="L22" s="57">
        <f>IFERROR(INDEX(U$2:AY$2,MATCH(TRUE,U22:AY22&lt;&gt;"",0)),"")</f>
        <v/>
      </c>
      <c r="M22" s="58">
        <f>IFERROR(LOOKUP(2,1/(U22:AY22&lt;&gt;""),U$2:AY$2),"")</f>
        <v/>
      </c>
      <c r="N22" s="59">
        <f>IF(OR(G22="",M22=""),"",G22-M22)</f>
        <v/>
      </c>
      <c r="O22" s="60" t="n"/>
      <c r="P22" s="61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  <c r="AG22" s="62" t="n"/>
      <c r="AH22" s="62" t="n"/>
      <c r="AI22" s="62" t="n"/>
      <c r="AJ22" s="62" t="n"/>
      <c r="AK22" s="62" t="n"/>
      <c r="AL22" s="62" t="n"/>
      <c r="AM22" s="62" t="n"/>
      <c r="AN22" s="62" t="n"/>
      <c r="AO22" s="62" t="n"/>
      <c r="AP22" s="62" t="n"/>
      <c r="AQ22" s="62" t="n"/>
      <c r="AR22" s="62" t="n"/>
      <c r="AS22" s="62" t="n"/>
      <c r="AT22" s="62" t="n"/>
      <c r="AU22" s="62" t="n"/>
      <c r="AV22" s="62" t="n"/>
      <c r="AW22" s="62" t="n"/>
      <c r="AX22" s="62" t="n"/>
      <c r="AY22" s="62" t="n"/>
    </row>
    <row r="23">
      <c r="A23" s="38">
        <f>IF(D23="","",COUNTA($D$9:D23))</f>
        <v/>
      </c>
      <c r="B23" s="52" t="n"/>
      <c r="C23" s="53" t="inlineStr">
        <is>
          <t>마케팅1팀</t>
        </is>
      </c>
      <c r="D23" s="52" t="n"/>
      <c r="E23" s="54" t="n"/>
      <c r="F23" s="52" t="n"/>
      <c r="G23" s="55" t="n"/>
      <c r="H23" s="54" t="n"/>
      <c r="I23" s="54" t="n"/>
      <c r="J23" s="54" t="n"/>
      <c r="K23" s="56">
        <f>IF(SUM(U23:AY23)=0,"",SUM(U23:AY23))</f>
        <v/>
      </c>
      <c r="L23" s="57">
        <f>IFERROR(INDEX(U$2:AY$2,MATCH(TRUE,U23:AY23&lt;&gt;"",0)),"")</f>
        <v/>
      </c>
      <c r="M23" s="58">
        <f>IFERROR(LOOKUP(2,1/(U23:AY23&lt;&gt;""),U$2:AY$2),"")</f>
        <v/>
      </c>
      <c r="N23" s="59">
        <f>IF(OR(G23="",M23=""),"",G23-M23)</f>
        <v/>
      </c>
      <c r="O23" s="60" t="n"/>
      <c r="P23" s="61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  <c r="AG23" s="62" t="n"/>
      <c r="AH23" s="62" t="n"/>
      <c r="AI23" s="62" t="n"/>
      <c r="AJ23" s="62" t="n"/>
      <c r="AK23" s="62" t="n"/>
      <c r="AL23" s="62" t="n"/>
      <c r="AM23" s="62" t="n"/>
      <c r="AN23" s="62" t="n"/>
      <c r="AO23" s="62" t="n"/>
      <c r="AP23" s="62" t="n"/>
      <c r="AQ23" s="62" t="n"/>
      <c r="AR23" s="62" t="n"/>
      <c r="AS23" s="62" t="n"/>
      <c r="AT23" s="62" t="n"/>
      <c r="AU23" s="62" t="n"/>
      <c r="AV23" s="62" t="n"/>
      <c r="AW23" s="62" t="n"/>
      <c r="AX23" s="62" t="n"/>
      <c r="AY23" s="62" t="n"/>
    </row>
    <row r="24">
      <c r="A24" s="38">
        <f>IF(D24="","",COUNTA($D$9:D24))</f>
        <v/>
      </c>
      <c r="B24" s="52" t="n"/>
      <c r="C24" s="53" t="inlineStr">
        <is>
          <t>마케팅1팀</t>
        </is>
      </c>
      <c r="D24" s="52" t="n"/>
      <c r="E24" s="54" t="n"/>
      <c r="F24" s="52" t="n"/>
      <c r="G24" s="55" t="n"/>
      <c r="H24" s="54" t="n"/>
      <c r="I24" s="54" t="n"/>
      <c r="J24" s="54" t="n"/>
      <c r="K24" s="56">
        <f>IF(SUM(U24:AY24)=0,"",SUM(U24:AY24))</f>
        <v/>
      </c>
      <c r="L24" s="57">
        <f>IFERROR(INDEX(U$2:AY$2,MATCH(TRUE,U24:AY24&lt;&gt;"",0)),"")</f>
        <v/>
      </c>
      <c r="M24" s="58">
        <f>IFERROR(LOOKUP(2,1/(U24:AY24&lt;&gt;""),U$2:AY$2),"")</f>
        <v/>
      </c>
      <c r="N24" s="59">
        <f>IF(OR(G24="",M24=""),"",G24-M24)</f>
        <v/>
      </c>
      <c r="O24" s="60" t="n"/>
      <c r="P24" s="61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  <c r="AG24" s="62" t="n"/>
      <c r="AH24" s="62" t="n"/>
      <c r="AI24" s="62" t="n"/>
      <c r="AJ24" s="62" t="n"/>
      <c r="AK24" s="62" t="n"/>
      <c r="AL24" s="62" t="n"/>
      <c r="AM24" s="62" t="n"/>
      <c r="AN24" s="62" t="n"/>
      <c r="AO24" s="62" t="n"/>
      <c r="AP24" s="62" t="n"/>
      <c r="AQ24" s="62" t="n"/>
      <c r="AR24" s="62" t="n"/>
      <c r="AS24" s="62" t="n"/>
      <c r="AT24" s="62" t="n"/>
      <c r="AU24" s="62" t="n"/>
      <c r="AV24" s="62" t="n"/>
      <c r="AW24" s="62" t="n"/>
      <c r="AX24" s="62" t="n"/>
      <c r="AY24" s="62" t="n"/>
    </row>
    <row r="25">
      <c r="A25" s="38">
        <f>IF(D25="","",COUNTA($D$9:D25))</f>
        <v/>
      </c>
      <c r="B25" s="52" t="n"/>
      <c r="C25" s="53" t="inlineStr">
        <is>
          <t>마케팅1팀</t>
        </is>
      </c>
      <c r="D25" s="52" t="n"/>
      <c r="E25" s="54" t="n"/>
      <c r="F25" s="52" t="n"/>
      <c r="G25" s="55" t="n"/>
      <c r="H25" s="54" t="n"/>
      <c r="I25" s="54" t="n"/>
      <c r="J25" s="54" t="n"/>
      <c r="K25" s="56">
        <f>IF(SUM(U25:AY25)=0,"",SUM(U25:AY25))</f>
        <v/>
      </c>
      <c r="L25" s="57">
        <f>IFERROR(INDEX(U$2:AY$2,MATCH(TRUE,U25:AY25&lt;&gt;"",0)),"")</f>
        <v/>
      </c>
      <c r="M25" s="58">
        <f>IFERROR(LOOKUP(2,1/(U25:AY25&lt;&gt;""),U$2:AY$2),"")</f>
        <v/>
      </c>
      <c r="N25" s="59">
        <f>IF(OR(G25="",M25=""),"",G25-M25)</f>
        <v/>
      </c>
      <c r="O25" s="60" t="n"/>
      <c r="P25" s="61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  <c r="AG25" s="62" t="n"/>
      <c r="AH25" s="62" t="n"/>
      <c r="AI25" s="62" t="n"/>
      <c r="AJ25" s="62" t="n"/>
      <c r="AK25" s="62" t="n"/>
      <c r="AL25" s="62" t="n"/>
      <c r="AM25" s="62" t="n"/>
      <c r="AN25" s="62" t="n"/>
      <c r="AO25" s="62" t="n"/>
      <c r="AP25" s="62" t="n"/>
      <c r="AQ25" s="62" t="n"/>
      <c r="AR25" s="62" t="n"/>
      <c r="AS25" s="62" t="n"/>
      <c r="AT25" s="62" t="n"/>
      <c r="AU25" s="62" t="n"/>
      <c r="AV25" s="62" t="n"/>
      <c r="AW25" s="62" t="n"/>
      <c r="AX25" s="62" t="n"/>
      <c r="AY25" s="62" t="n"/>
    </row>
    <row r="26">
      <c r="A26" s="38">
        <f>IF(D26="","",COUNTA($D$9:D26))</f>
        <v/>
      </c>
      <c r="B26" s="52" t="n"/>
      <c r="C26" s="53" t="inlineStr">
        <is>
          <t>마케팅1팀</t>
        </is>
      </c>
      <c r="D26" s="52" t="n"/>
      <c r="E26" s="54" t="n"/>
      <c r="F26" s="52" t="n"/>
      <c r="G26" s="55" t="n"/>
      <c r="H26" s="54" t="n"/>
      <c r="I26" s="54" t="n"/>
      <c r="J26" s="54" t="n"/>
      <c r="K26" s="56">
        <f>IF(SUM(U26:AY26)=0,"",SUM(U26:AY26))</f>
        <v/>
      </c>
      <c r="L26" s="57">
        <f>IFERROR(INDEX(U$2:AY$2,MATCH(TRUE,U26:AY26&lt;&gt;"",0)),"")</f>
        <v/>
      </c>
      <c r="M26" s="58">
        <f>IFERROR(LOOKUP(2,1/(U26:AY26&lt;&gt;""),U$2:AY$2),"")</f>
        <v/>
      </c>
      <c r="N26" s="59">
        <f>IF(OR(G26="",M26=""),"",G26-M26)</f>
        <v/>
      </c>
      <c r="O26" s="60" t="n"/>
      <c r="P26" s="61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  <c r="AG26" s="62" t="n"/>
      <c r="AH26" s="62" t="n"/>
      <c r="AI26" s="62" t="n"/>
      <c r="AJ26" s="62" t="n"/>
      <c r="AK26" s="62" t="n"/>
      <c r="AL26" s="62" t="n"/>
      <c r="AM26" s="62" t="n"/>
      <c r="AN26" s="62" t="n"/>
      <c r="AO26" s="62" t="n"/>
      <c r="AP26" s="62" t="n"/>
      <c r="AQ26" s="62" t="n"/>
      <c r="AR26" s="62" t="n"/>
      <c r="AS26" s="62" t="n"/>
      <c r="AT26" s="62" t="n"/>
      <c r="AU26" s="62" t="n"/>
      <c r="AV26" s="62" t="n"/>
      <c r="AW26" s="62" t="n"/>
      <c r="AX26" s="62" t="n"/>
      <c r="AY26" s="62" t="n"/>
    </row>
    <row r="27">
      <c r="A27" s="38">
        <f>IF(D27="","",COUNTA($D$9:D27))</f>
        <v/>
      </c>
      <c r="B27" s="52" t="n"/>
      <c r="C27" s="53" t="inlineStr">
        <is>
          <t>마케팅1팀</t>
        </is>
      </c>
      <c r="D27" s="52" t="n"/>
      <c r="E27" s="54" t="n"/>
      <c r="F27" s="52" t="n"/>
      <c r="G27" s="55" t="n"/>
      <c r="H27" s="54" t="n"/>
      <c r="I27" s="54" t="n"/>
      <c r="J27" s="54" t="n"/>
      <c r="K27" s="56">
        <f>IF(SUM(U27:AY27)=0,"",SUM(U27:AY27))</f>
        <v/>
      </c>
      <c r="L27" s="57">
        <f>IFERROR(INDEX(U$2:AY$2,MATCH(TRUE,U27:AY27&lt;&gt;"",0)),"")</f>
        <v/>
      </c>
      <c r="M27" s="58">
        <f>IFERROR(LOOKUP(2,1/(U27:AY27&lt;&gt;""),U$2:AY$2),"")</f>
        <v/>
      </c>
      <c r="N27" s="59">
        <f>IF(OR(G27="",M27=""),"",G27-M27)</f>
        <v/>
      </c>
      <c r="O27" s="60" t="n"/>
      <c r="P27" s="61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  <c r="AG27" s="62" t="n"/>
      <c r="AH27" s="62" t="n"/>
      <c r="AI27" s="62" t="n"/>
      <c r="AJ27" s="62" t="n"/>
      <c r="AK27" s="62" t="n"/>
      <c r="AL27" s="62" t="n"/>
      <c r="AM27" s="62" t="n"/>
      <c r="AN27" s="62" t="n"/>
      <c r="AO27" s="62" t="n"/>
      <c r="AP27" s="62" t="n"/>
      <c r="AQ27" s="62" t="n"/>
      <c r="AR27" s="62" t="n"/>
      <c r="AS27" s="62" t="n"/>
      <c r="AT27" s="62" t="n"/>
      <c r="AU27" s="62" t="n"/>
      <c r="AV27" s="62" t="n"/>
      <c r="AW27" s="62" t="n"/>
      <c r="AX27" s="62" t="n"/>
      <c r="AY27" s="62" t="n"/>
    </row>
    <row r="28">
      <c r="A28" s="38">
        <f>IF(D28="","",COUNTA($D$9:D28))</f>
        <v/>
      </c>
      <c r="B28" s="52" t="n"/>
      <c r="C28" s="53" t="inlineStr">
        <is>
          <t>마케팅1팀</t>
        </is>
      </c>
      <c r="D28" s="52" t="n"/>
      <c r="E28" s="54" t="n"/>
      <c r="F28" s="52" t="n"/>
      <c r="G28" s="55" t="n"/>
      <c r="H28" s="54" t="n"/>
      <c r="I28" s="54" t="n"/>
      <c r="J28" s="54" t="n"/>
      <c r="K28" s="56">
        <f>IF(SUM(U28:AY28)=0,"",SUM(U28:AY28))</f>
        <v/>
      </c>
      <c r="L28" s="57">
        <f>IFERROR(INDEX(U$2:AY$2,MATCH(TRUE,U28:AY28&lt;&gt;"",0)),"")</f>
        <v/>
      </c>
      <c r="M28" s="58">
        <f>IFERROR(LOOKUP(2,1/(U28:AY28&lt;&gt;""),U$2:AY$2),"")</f>
        <v/>
      </c>
      <c r="N28" s="59">
        <f>IF(OR(G28="",M28=""),"",G28-M28)</f>
        <v/>
      </c>
      <c r="O28" s="60" t="n"/>
      <c r="P28" s="61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  <c r="AG28" s="62" t="n"/>
      <c r="AH28" s="62" t="n"/>
      <c r="AI28" s="62" t="n"/>
      <c r="AJ28" s="62" t="n"/>
      <c r="AK28" s="62" t="n"/>
      <c r="AL28" s="62" t="n"/>
      <c r="AM28" s="62" t="n"/>
      <c r="AN28" s="62" t="n"/>
      <c r="AO28" s="62" t="n"/>
      <c r="AP28" s="62" t="n"/>
      <c r="AQ28" s="62" t="n"/>
      <c r="AR28" s="62" t="n"/>
      <c r="AS28" s="62" t="n"/>
      <c r="AT28" s="62" t="n"/>
      <c r="AU28" s="62" t="n"/>
      <c r="AV28" s="62" t="n"/>
      <c r="AW28" s="62" t="n"/>
      <c r="AX28" s="62" t="n"/>
      <c r="AY28" s="62" t="n"/>
    </row>
    <row r="29">
      <c r="A29" s="38">
        <f>IF(D29="","",COUNTA($D$9:D29))</f>
        <v/>
      </c>
      <c r="B29" s="52" t="n"/>
      <c r="C29" s="53" t="inlineStr">
        <is>
          <t>마케팅1팀</t>
        </is>
      </c>
      <c r="D29" s="52" t="n"/>
      <c r="E29" s="54" t="n"/>
      <c r="F29" s="52" t="n"/>
      <c r="G29" s="55" t="n"/>
      <c r="H29" s="54" t="n"/>
      <c r="I29" s="54" t="n"/>
      <c r="J29" s="54" t="n"/>
      <c r="K29" s="56">
        <f>IF(SUM(U29:AY29)=0,"",SUM(U29:AY29))</f>
        <v/>
      </c>
      <c r="L29" s="57">
        <f>IFERROR(INDEX(U$2:AY$2,MATCH(TRUE,U29:AY29&lt;&gt;"",0)),"")</f>
        <v/>
      </c>
      <c r="M29" s="58">
        <f>IFERROR(LOOKUP(2,1/(U29:AY29&lt;&gt;""),U$2:AY$2),"")</f>
        <v/>
      </c>
      <c r="N29" s="59">
        <f>IF(OR(G29="",M29=""),"",G29-M29)</f>
        <v/>
      </c>
      <c r="O29" s="60" t="n"/>
      <c r="P29" s="61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  <c r="AG29" s="62" t="n"/>
      <c r="AH29" s="62" t="n"/>
      <c r="AI29" s="62" t="n"/>
      <c r="AJ29" s="62" t="n"/>
      <c r="AK29" s="62" t="n"/>
      <c r="AL29" s="62" t="n"/>
      <c r="AM29" s="62" t="n"/>
      <c r="AN29" s="62" t="n"/>
      <c r="AO29" s="62" t="n"/>
      <c r="AP29" s="62" t="n"/>
      <c r="AQ29" s="62" t="n"/>
      <c r="AR29" s="62" t="n"/>
      <c r="AS29" s="62" t="n"/>
      <c r="AT29" s="62" t="n"/>
      <c r="AU29" s="62" t="n"/>
      <c r="AV29" s="62" t="n"/>
      <c r="AW29" s="62" t="n"/>
      <c r="AX29" s="62" t="n"/>
      <c r="AY29" s="62" t="n"/>
    </row>
    <row r="30">
      <c r="A30" s="38">
        <f>IF(D30="","",COUNTA($D$9:D30))</f>
        <v/>
      </c>
      <c r="B30" s="52" t="n"/>
      <c r="C30" s="53" t="inlineStr">
        <is>
          <t>마케팅1팀</t>
        </is>
      </c>
      <c r="D30" s="52" t="n"/>
      <c r="E30" s="54" t="n"/>
      <c r="F30" s="52" t="n"/>
      <c r="G30" s="55" t="n"/>
      <c r="H30" s="54" t="n"/>
      <c r="I30" s="54" t="n"/>
      <c r="J30" s="54" t="n"/>
      <c r="K30" s="56">
        <f>IF(SUM(U30:AY30)=0,"",SUM(U30:AY30))</f>
        <v/>
      </c>
      <c r="L30" s="57">
        <f>IFERROR(INDEX(U$2:AY$2,MATCH(TRUE,U30:AY30&lt;&gt;"",0)),"")</f>
        <v/>
      </c>
      <c r="M30" s="58">
        <f>IFERROR(LOOKUP(2,1/(U30:AY30&lt;&gt;""),U$2:AY$2),"")</f>
        <v/>
      </c>
      <c r="N30" s="59">
        <f>IF(OR(G30="",M30=""),"",G30-M30)</f>
        <v/>
      </c>
      <c r="O30" s="60" t="n"/>
      <c r="P30" s="61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  <c r="AG30" s="62" t="n"/>
      <c r="AH30" s="62" t="n"/>
      <c r="AI30" s="62" t="n"/>
      <c r="AJ30" s="62" t="n"/>
      <c r="AK30" s="62" t="n"/>
      <c r="AL30" s="62" t="n"/>
      <c r="AM30" s="62" t="n"/>
      <c r="AN30" s="62" t="n"/>
      <c r="AO30" s="62" t="n"/>
      <c r="AP30" s="62" t="n"/>
      <c r="AQ30" s="62" t="n"/>
      <c r="AR30" s="62" t="n"/>
      <c r="AS30" s="62" t="n"/>
      <c r="AT30" s="62" t="n"/>
      <c r="AU30" s="62" t="n"/>
      <c r="AV30" s="62" t="n"/>
      <c r="AW30" s="62" t="n"/>
      <c r="AX30" s="62" t="n"/>
      <c r="AY30" s="62" t="n"/>
    </row>
    <row r="31">
      <c r="A31" s="38">
        <f>IF(D31="","",COUNTA($D$9:D31))</f>
        <v/>
      </c>
      <c r="B31" s="52" t="n"/>
      <c r="C31" s="53" t="inlineStr">
        <is>
          <t>마케팅1팀</t>
        </is>
      </c>
      <c r="D31" s="52" t="n"/>
      <c r="E31" s="54" t="n"/>
      <c r="F31" s="52" t="n"/>
      <c r="G31" s="55" t="n"/>
      <c r="H31" s="54" t="n"/>
      <c r="I31" s="54" t="n"/>
      <c r="J31" s="54" t="n"/>
      <c r="K31" s="56">
        <f>IF(SUM(U31:AY31)=0,"",SUM(U31:AY31))</f>
        <v/>
      </c>
      <c r="L31" s="57">
        <f>IFERROR(INDEX(U$2:AY$2,MATCH(TRUE,U31:AY31&lt;&gt;"",0)),"")</f>
        <v/>
      </c>
      <c r="M31" s="58">
        <f>IFERROR(LOOKUP(2,1/(U31:AY31&lt;&gt;""),U$2:AY$2),"")</f>
        <v/>
      </c>
      <c r="N31" s="59">
        <f>IF(OR(G31="",M31=""),"",G31-M31)</f>
        <v/>
      </c>
      <c r="O31" s="60" t="n"/>
      <c r="P31" s="61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  <c r="AG31" s="62" t="n"/>
      <c r="AH31" s="62" t="n"/>
      <c r="AI31" s="62" t="n"/>
      <c r="AJ31" s="62" t="n"/>
      <c r="AK31" s="62" t="n"/>
      <c r="AL31" s="62" t="n"/>
      <c r="AM31" s="62" t="n"/>
      <c r="AN31" s="62" t="n"/>
      <c r="AO31" s="62" t="n"/>
      <c r="AP31" s="62" t="n"/>
      <c r="AQ31" s="62" t="n"/>
      <c r="AR31" s="62" t="n"/>
      <c r="AS31" s="62" t="n"/>
      <c r="AT31" s="62" t="n"/>
      <c r="AU31" s="62" t="n"/>
      <c r="AV31" s="62" t="n"/>
      <c r="AW31" s="62" t="n"/>
      <c r="AX31" s="62" t="n"/>
      <c r="AY31" s="62" t="n"/>
    </row>
    <row r="32">
      <c r="A32" s="38">
        <f>IF(D32="","",COUNTA($D$9:D32))</f>
        <v/>
      </c>
      <c r="B32" s="52" t="n"/>
      <c r="C32" s="53" t="inlineStr">
        <is>
          <t>마케팅1팀</t>
        </is>
      </c>
      <c r="D32" s="52" t="n"/>
      <c r="E32" s="54" t="n"/>
      <c r="F32" s="52" t="n"/>
      <c r="G32" s="55" t="n"/>
      <c r="H32" s="54" t="n"/>
      <c r="I32" s="54" t="n"/>
      <c r="J32" s="54" t="n"/>
      <c r="K32" s="56">
        <f>IF(SUM(U32:AY32)=0,"",SUM(U32:AY32))</f>
        <v/>
      </c>
      <c r="L32" s="57">
        <f>IFERROR(INDEX(U$2:AY$2,MATCH(TRUE,U32:AY32&lt;&gt;"",0)),"")</f>
        <v/>
      </c>
      <c r="M32" s="58">
        <f>IFERROR(LOOKUP(2,1/(U32:AY32&lt;&gt;""),U$2:AY$2),"")</f>
        <v/>
      </c>
      <c r="N32" s="59">
        <f>IF(OR(G32="",M32=""),"",G32-M32)</f>
        <v/>
      </c>
      <c r="O32" s="60" t="n"/>
      <c r="P32" s="61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  <c r="AG32" s="62" t="n"/>
      <c r="AH32" s="62" t="n"/>
      <c r="AI32" s="62" t="n"/>
      <c r="AJ32" s="62" t="n"/>
      <c r="AK32" s="62" t="n"/>
      <c r="AL32" s="62" t="n"/>
      <c r="AM32" s="62" t="n"/>
      <c r="AN32" s="62" t="n"/>
      <c r="AO32" s="62" t="n"/>
      <c r="AP32" s="62" t="n"/>
      <c r="AQ32" s="62" t="n"/>
      <c r="AR32" s="62" t="n"/>
      <c r="AS32" s="62" t="n"/>
      <c r="AT32" s="62" t="n"/>
      <c r="AU32" s="62" t="n"/>
      <c r="AV32" s="62" t="n"/>
      <c r="AW32" s="62" t="n"/>
      <c r="AX32" s="62" t="n"/>
      <c r="AY32" s="62" t="n"/>
    </row>
    <row r="33">
      <c r="A33" s="38">
        <f>IF(D33="","",COUNTA($D$9:D33))</f>
        <v/>
      </c>
      <c r="B33" s="52" t="n"/>
      <c r="C33" s="53" t="inlineStr">
        <is>
          <t>마케팅1팀</t>
        </is>
      </c>
      <c r="D33" s="52" t="n"/>
      <c r="E33" s="54" t="n"/>
      <c r="F33" s="52" t="n"/>
      <c r="G33" s="55" t="n"/>
      <c r="H33" s="54" t="n"/>
      <c r="I33" s="54" t="n"/>
      <c r="J33" s="54" t="n"/>
      <c r="K33" s="56">
        <f>IF(SUM(U33:AY33)=0,"",SUM(U33:AY33))</f>
        <v/>
      </c>
      <c r="L33" s="57">
        <f>IFERROR(INDEX(U$2:AY$2,MATCH(TRUE,U33:AY33&lt;&gt;"",0)),"")</f>
        <v/>
      </c>
      <c r="M33" s="58">
        <f>IFERROR(LOOKUP(2,1/(U33:AY33&lt;&gt;""),U$2:AY$2),"")</f>
        <v/>
      </c>
      <c r="N33" s="59">
        <f>IF(OR(G33="",M33=""),"",G33-M33)</f>
        <v/>
      </c>
      <c r="O33" s="60" t="n"/>
      <c r="P33" s="61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  <c r="AG33" s="62" t="n"/>
      <c r="AH33" s="62" t="n"/>
      <c r="AI33" s="62" t="n"/>
      <c r="AJ33" s="62" t="n"/>
      <c r="AK33" s="62" t="n"/>
      <c r="AL33" s="62" t="n"/>
      <c r="AM33" s="62" t="n"/>
      <c r="AN33" s="62" t="n"/>
      <c r="AO33" s="62" t="n"/>
      <c r="AP33" s="62" t="n"/>
      <c r="AQ33" s="62" t="n"/>
      <c r="AR33" s="62" t="n"/>
      <c r="AS33" s="62" t="n"/>
      <c r="AT33" s="62" t="n"/>
      <c r="AU33" s="62" t="n"/>
      <c r="AV33" s="62" t="n"/>
      <c r="AW33" s="62" t="n"/>
      <c r="AX33" s="62" t="n"/>
      <c r="AY33" s="62" t="n"/>
    </row>
    <row r="34">
      <c r="A34" s="38">
        <f>IF(D34="","",COUNTA($D$9:D34))</f>
        <v/>
      </c>
      <c r="B34" s="52" t="n"/>
      <c r="C34" s="53" t="inlineStr">
        <is>
          <t>마케팅1팀</t>
        </is>
      </c>
      <c r="D34" s="52" t="n"/>
      <c r="E34" s="54" t="n"/>
      <c r="F34" s="52" t="n"/>
      <c r="G34" s="55" t="n"/>
      <c r="H34" s="54" t="n"/>
      <c r="I34" s="54" t="n"/>
      <c r="J34" s="54" t="n"/>
      <c r="K34" s="56">
        <f>IF(SUM(U34:AY34)=0,"",SUM(U34:AY34))</f>
        <v/>
      </c>
      <c r="L34" s="57">
        <f>IFERROR(INDEX(U$2:AY$2,MATCH(TRUE,U34:AY34&lt;&gt;"",0)),"")</f>
        <v/>
      </c>
      <c r="M34" s="58">
        <f>IFERROR(LOOKUP(2,1/(U34:AY34&lt;&gt;""),U$2:AY$2),"")</f>
        <v/>
      </c>
      <c r="N34" s="59">
        <f>IF(OR(G34="",M34=""),"",G34-M34)</f>
        <v/>
      </c>
      <c r="O34" s="60" t="n"/>
      <c r="P34" s="61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  <c r="AG34" s="62" t="n"/>
      <c r="AH34" s="62" t="n"/>
      <c r="AI34" s="62" t="n"/>
      <c r="AJ34" s="62" t="n"/>
      <c r="AK34" s="62" t="n"/>
      <c r="AL34" s="62" t="n"/>
      <c r="AM34" s="62" t="n"/>
      <c r="AN34" s="62" t="n"/>
      <c r="AO34" s="62" t="n"/>
      <c r="AP34" s="62" t="n"/>
      <c r="AQ34" s="62" t="n"/>
      <c r="AR34" s="62" t="n"/>
      <c r="AS34" s="62" t="n"/>
      <c r="AT34" s="62" t="n"/>
      <c r="AU34" s="62" t="n"/>
      <c r="AV34" s="62" t="n"/>
      <c r="AW34" s="62" t="n"/>
      <c r="AX34" s="62" t="n"/>
      <c r="AY34" s="62" t="n"/>
    </row>
    <row r="35">
      <c r="A35" s="38">
        <f>IF(D35="","",COUNTA($D$9:D35))</f>
        <v/>
      </c>
      <c r="B35" s="52" t="n"/>
      <c r="C35" s="53" t="inlineStr">
        <is>
          <t>마케팅1팀</t>
        </is>
      </c>
      <c r="D35" s="52" t="n"/>
      <c r="E35" s="54" t="n"/>
      <c r="F35" s="52" t="n"/>
      <c r="G35" s="55" t="n"/>
      <c r="H35" s="54" t="n"/>
      <c r="I35" s="54" t="n"/>
      <c r="J35" s="54" t="n"/>
      <c r="K35" s="56">
        <f>IF(SUM(U35:AY35)=0,"",SUM(U35:AY35))</f>
        <v/>
      </c>
      <c r="L35" s="57">
        <f>IFERROR(INDEX(U$2:AY$2,MATCH(TRUE,U35:AY35&lt;&gt;"",0)),"")</f>
        <v/>
      </c>
      <c r="M35" s="58">
        <f>IFERROR(LOOKUP(2,1/(U35:AY35&lt;&gt;""),U$2:AY$2),"")</f>
        <v/>
      </c>
      <c r="N35" s="59">
        <f>IF(OR(G35="",M35=""),"",G35-M35)</f>
        <v/>
      </c>
      <c r="O35" s="60" t="n"/>
      <c r="P35" s="61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  <c r="AG35" s="62" t="n"/>
      <c r="AH35" s="62" t="n"/>
      <c r="AI35" s="62" t="n"/>
      <c r="AJ35" s="62" t="n"/>
      <c r="AK35" s="62" t="n"/>
      <c r="AL35" s="62" t="n"/>
      <c r="AM35" s="62" t="n"/>
      <c r="AN35" s="62" t="n"/>
      <c r="AO35" s="62" t="n"/>
      <c r="AP35" s="62" t="n"/>
      <c r="AQ35" s="62" t="n"/>
      <c r="AR35" s="62" t="n"/>
      <c r="AS35" s="62" t="n"/>
      <c r="AT35" s="62" t="n"/>
      <c r="AU35" s="62" t="n"/>
      <c r="AV35" s="62" t="n"/>
      <c r="AW35" s="62" t="n"/>
      <c r="AX35" s="62" t="n"/>
      <c r="AY35" s="62" t="n"/>
    </row>
    <row r="36">
      <c r="A36" s="38">
        <f>IF(D36="","",COUNTA($D$9:D36))</f>
        <v/>
      </c>
      <c r="B36" s="52" t="n"/>
      <c r="C36" s="53" t="inlineStr">
        <is>
          <t>마케팅1팀</t>
        </is>
      </c>
      <c r="D36" s="52" t="n"/>
      <c r="E36" s="54" t="n"/>
      <c r="F36" s="52" t="n"/>
      <c r="G36" s="55" t="n"/>
      <c r="H36" s="54" t="n"/>
      <c r="I36" s="54" t="n"/>
      <c r="J36" s="54" t="n"/>
      <c r="K36" s="56">
        <f>IF(SUM(U36:AY36)=0,"",SUM(U36:AY36))</f>
        <v/>
      </c>
      <c r="L36" s="57">
        <f>IFERROR(INDEX(U$2:AY$2,MATCH(TRUE,U36:AY36&lt;&gt;"",0)),"")</f>
        <v/>
      </c>
      <c r="M36" s="58">
        <f>IFERROR(LOOKUP(2,1/(U36:AY36&lt;&gt;""),U$2:AY$2),"")</f>
        <v/>
      </c>
      <c r="N36" s="59">
        <f>IF(OR(G36="",M36=""),"",G36-M36)</f>
        <v/>
      </c>
      <c r="O36" s="60" t="n"/>
      <c r="P36" s="61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  <c r="AG36" s="62" t="n"/>
      <c r="AH36" s="62" t="n"/>
      <c r="AI36" s="62" t="n"/>
      <c r="AJ36" s="62" t="n"/>
      <c r="AK36" s="62" t="n"/>
      <c r="AL36" s="62" t="n"/>
      <c r="AM36" s="62" t="n"/>
      <c r="AN36" s="62" t="n"/>
      <c r="AO36" s="62" t="n"/>
      <c r="AP36" s="62" t="n"/>
      <c r="AQ36" s="62" t="n"/>
      <c r="AR36" s="62" t="n"/>
      <c r="AS36" s="62" t="n"/>
      <c r="AT36" s="62" t="n"/>
      <c r="AU36" s="62" t="n"/>
      <c r="AV36" s="62" t="n"/>
      <c r="AW36" s="62" t="n"/>
      <c r="AX36" s="62" t="n"/>
      <c r="AY36" s="62" t="n"/>
    </row>
    <row r="37">
      <c r="A37" s="38">
        <f>IF(D37="","",COUNTA($D$9:D37))</f>
        <v/>
      </c>
      <c r="B37" s="52" t="n"/>
      <c r="C37" s="53" t="inlineStr">
        <is>
          <t>마케팅1팀</t>
        </is>
      </c>
      <c r="D37" s="52" t="n"/>
      <c r="E37" s="54" t="n"/>
      <c r="F37" s="52" t="n"/>
      <c r="G37" s="55" t="n"/>
      <c r="H37" s="54" t="n"/>
      <c r="I37" s="54" t="n"/>
      <c r="J37" s="54" t="n"/>
      <c r="K37" s="56">
        <f>IF(SUM(U37:AY37)=0,"",SUM(U37:AY37))</f>
        <v/>
      </c>
      <c r="L37" s="57">
        <f>IFERROR(INDEX(U$2:AY$2,MATCH(TRUE,U37:AY37&lt;&gt;"",0)),"")</f>
        <v/>
      </c>
      <c r="M37" s="58">
        <f>IFERROR(LOOKUP(2,1/(U37:AY37&lt;&gt;""),U$2:AY$2),"")</f>
        <v/>
      </c>
      <c r="N37" s="59">
        <f>IF(OR(G37="",M37=""),"",G37-M37)</f>
        <v/>
      </c>
      <c r="O37" s="60" t="n"/>
      <c r="P37" s="61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  <c r="AG37" s="62" t="n"/>
      <c r="AH37" s="62" t="n"/>
      <c r="AI37" s="62" t="n"/>
      <c r="AJ37" s="62" t="n"/>
      <c r="AK37" s="62" t="n"/>
      <c r="AL37" s="62" t="n"/>
      <c r="AM37" s="62" t="n"/>
      <c r="AN37" s="62" t="n"/>
      <c r="AO37" s="62" t="n"/>
      <c r="AP37" s="62" t="n"/>
      <c r="AQ37" s="62" t="n"/>
      <c r="AR37" s="62" t="n"/>
      <c r="AS37" s="62" t="n"/>
      <c r="AT37" s="62" t="n"/>
      <c r="AU37" s="62" t="n"/>
      <c r="AV37" s="62" t="n"/>
      <c r="AW37" s="62" t="n"/>
      <c r="AX37" s="62" t="n"/>
      <c r="AY37" s="62" t="n"/>
    </row>
    <row r="38">
      <c r="A38" s="38">
        <f>IF(D38="","",COUNTA($D$9:D38))</f>
        <v/>
      </c>
      <c r="B38" s="52" t="n"/>
      <c r="C38" s="53" t="inlineStr">
        <is>
          <t>마케팅1팀</t>
        </is>
      </c>
      <c r="D38" s="52" t="n"/>
      <c r="E38" s="54" t="n"/>
      <c r="F38" s="52" t="n"/>
      <c r="G38" s="55" t="n"/>
      <c r="H38" s="54" t="n"/>
      <c r="I38" s="54" t="n"/>
      <c r="J38" s="54" t="n"/>
      <c r="K38" s="56">
        <f>IF(SUM(U38:AY38)=0,"",SUM(U38:AY38))</f>
        <v/>
      </c>
      <c r="L38" s="57">
        <f>IFERROR(INDEX(U$2:AY$2,MATCH(TRUE,U38:AY38&lt;&gt;"",0)),"")</f>
        <v/>
      </c>
      <c r="M38" s="58">
        <f>IFERROR(LOOKUP(2,1/(U38:AY38&lt;&gt;""),U$2:AY$2),"")</f>
        <v/>
      </c>
      <c r="N38" s="59">
        <f>IF(OR(G38="",M38=""),"",G38-M38)</f>
        <v/>
      </c>
      <c r="O38" s="60" t="n"/>
      <c r="P38" s="61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  <c r="AG38" s="62" t="n"/>
      <c r="AH38" s="62" t="n"/>
      <c r="AI38" s="62" t="n"/>
      <c r="AJ38" s="62" t="n"/>
      <c r="AK38" s="62" t="n"/>
      <c r="AL38" s="62" t="n"/>
      <c r="AM38" s="62" t="n"/>
      <c r="AN38" s="62" t="n"/>
      <c r="AO38" s="62" t="n"/>
      <c r="AP38" s="62" t="n"/>
      <c r="AQ38" s="62" t="n"/>
      <c r="AR38" s="62" t="n"/>
      <c r="AS38" s="62" t="n"/>
      <c r="AT38" s="62" t="n"/>
      <c r="AU38" s="62" t="n"/>
      <c r="AV38" s="62" t="n"/>
      <c r="AW38" s="62" t="n"/>
      <c r="AX38" s="62" t="n"/>
      <c r="AY38" s="62" t="n"/>
    </row>
    <row r="39">
      <c r="A39" s="63" t="inlineStr">
        <is>
          <t>마케팅2팀  (40~69행)</t>
        </is>
      </c>
      <c r="U39" s="64" t="n"/>
      <c r="V39" s="64" t="n"/>
      <c r="W39" s="64" t="n"/>
      <c r="X39" s="64" t="n"/>
      <c r="Y39" s="64" t="n"/>
      <c r="Z39" s="64" t="n"/>
      <c r="AA39" s="64" t="n"/>
      <c r="AB39" s="64" t="n"/>
      <c r="AC39" s="64" t="n"/>
      <c r="AD39" s="64" t="n"/>
      <c r="AE39" s="64" t="n"/>
      <c r="AF39" s="64" t="n"/>
      <c r="AG39" s="64" t="n"/>
      <c r="AH39" s="64" t="n"/>
      <c r="AI39" s="64" t="n"/>
      <c r="AJ39" s="64" t="n"/>
      <c r="AK39" s="64" t="n"/>
      <c r="AL39" s="64" t="n"/>
      <c r="AM39" s="64" t="n"/>
      <c r="AN39" s="64" t="n"/>
      <c r="AO39" s="64" t="n"/>
      <c r="AP39" s="64" t="n"/>
      <c r="AQ39" s="64" t="n"/>
      <c r="AR39" s="64" t="n"/>
      <c r="AS39" s="64" t="n"/>
      <c r="AT39" s="64" t="n"/>
      <c r="AU39" s="64" t="n"/>
      <c r="AV39" s="64" t="n"/>
      <c r="AW39" s="64" t="n"/>
      <c r="AX39" s="64" t="n"/>
      <c r="AY39" s="64" t="n"/>
    </row>
    <row r="40">
      <c r="A40" s="38">
        <f>IF(D40="","",COUNTA($D$40:D40))</f>
        <v/>
      </c>
      <c r="B40" s="52" t="n"/>
      <c r="C40" s="65" t="inlineStr">
        <is>
          <t>마케팅2팀</t>
        </is>
      </c>
      <c r="D40" s="52" t="n"/>
      <c r="E40" s="54" t="n"/>
      <c r="F40" s="52" t="n"/>
      <c r="G40" s="55" t="n"/>
      <c r="H40" s="54" t="n"/>
      <c r="I40" s="54" t="n"/>
      <c r="J40" s="54" t="n"/>
      <c r="K40" s="56">
        <f>IF(SUM(U40:AY40)=0,"",SUM(U40:AY40))</f>
        <v/>
      </c>
      <c r="L40" s="57">
        <f>IFERROR(INDEX(U$2:AY$2,MATCH(TRUE,U40:AY40&lt;&gt;"",0)),"")</f>
        <v/>
      </c>
      <c r="M40" s="58">
        <f>IFERROR(LOOKUP(2,1/(U40:AY40&lt;&gt;""),U$2:AY$2),"")</f>
        <v/>
      </c>
      <c r="N40" s="59">
        <f>IF(OR(G40="",M40=""),"",G40-M40)</f>
        <v/>
      </c>
      <c r="O40" s="60" t="n"/>
      <c r="P40" s="61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  <c r="AG40" s="62" t="n"/>
      <c r="AH40" s="62" t="n"/>
      <c r="AI40" s="62" t="n"/>
      <c r="AJ40" s="62" t="n"/>
      <c r="AK40" s="62" t="n"/>
      <c r="AL40" s="62" t="n"/>
      <c r="AM40" s="62" t="n"/>
      <c r="AN40" s="62" t="n"/>
      <c r="AO40" s="62" t="n"/>
      <c r="AP40" s="62" t="n"/>
      <c r="AQ40" s="62" t="n"/>
      <c r="AR40" s="62" t="n"/>
      <c r="AS40" s="62" t="n"/>
      <c r="AT40" s="62" t="n"/>
      <c r="AU40" s="62" t="n"/>
      <c r="AV40" s="62" t="n"/>
      <c r="AW40" s="62" t="n"/>
      <c r="AX40" s="62" t="n"/>
      <c r="AY40" s="62" t="n"/>
    </row>
    <row r="41">
      <c r="A41" s="38">
        <f>IF(D41="","",COUNTA($D$40:D41))</f>
        <v/>
      </c>
      <c r="B41" s="52" t="n"/>
      <c r="C41" s="65" t="inlineStr">
        <is>
          <t>마케팅2팀</t>
        </is>
      </c>
      <c r="D41" s="52" t="n"/>
      <c r="E41" s="54" t="n"/>
      <c r="F41" s="52" t="n"/>
      <c r="G41" s="55" t="n"/>
      <c r="H41" s="54" t="n"/>
      <c r="I41" s="54" t="n"/>
      <c r="J41" s="54" t="n"/>
      <c r="K41" s="56">
        <f>IF(SUM(U41:AY41)=0,"",SUM(U41:AY41))</f>
        <v/>
      </c>
      <c r="L41" s="57">
        <f>IFERROR(INDEX(U$2:AY$2,MATCH(TRUE,U41:AY41&lt;&gt;"",0)),"")</f>
        <v/>
      </c>
      <c r="M41" s="58">
        <f>IFERROR(LOOKUP(2,1/(U41:AY41&lt;&gt;""),U$2:AY$2),"")</f>
        <v/>
      </c>
      <c r="N41" s="59">
        <f>IF(OR(G41="",M41=""),"",G41-M41)</f>
        <v/>
      </c>
      <c r="O41" s="60" t="n"/>
      <c r="P41" s="61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  <c r="AG41" s="62" t="n"/>
      <c r="AH41" s="62" t="n"/>
      <c r="AI41" s="62" t="n"/>
      <c r="AJ41" s="62" t="n"/>
      <c r="AK41" s="62" t="n"/>
      <c r="AL41" s="62" t="n"/>
      <c r="AM41" s="62" t="n"/>
      <c r="AN41" s="62" t="n"/>
      <c r="AO41" s="62" t="n"/>
      <c r="AP41" s="62" t="n"/>
      <c r="AQ41" s="62" t="n"/>
      <c r="AR41" s="62" t="n"/>
      <c r="AS41" s="62" t="n"/>
      <c r="AT41" s="62" t="n"/>
      <c r="AU41" s="62" t="n"/>
      <c r="AV41" s="62" t="n"/>
      <c r="AW41" s="62" t="n"/>
      <c r="AX41" s="62" t="n"/>
      <c r="AY41" s="62" t="n"/>
    </row>
    <row r="42">
      <c r="A42" s="38">
        <f>IF(D42="","",COUNTA($D$40:D42))</f>
        <v/>
      </c>
      <c r="B42" s="52" t="n"/>
      <c r="C42" s="65" t="inlineStr">
        <is>
          <t>마케팅2팀</t>
        </is>
      </c>
      <c r="D42" s="52" t="n"/>
      <c r="E42" s="54" t="n"/>
      <c r="F42" s="52" t="n"/>
      <c r="G42" s="55" t="n"/>
      <c r="H42" s="54" t="n"/>
      <c r="I42" s="54" t="n"/>
      <c r="J42" s="54" t="n"/>
      <c r="K42" s="56">
        <f>IF(SUM(U42:AY42)=0,"",SUM(U42:AY42))</f>
        <v/>
      </c>
      <c r="L42" s="57">
        <f>IFERROR(INDEX(U$2:AY$2,MATCH(TRUE,U42:AY42&lt;&gt;"",0)),"")</f>
        <v/>
      </c>
      <c r="M42" s="58">
        <f>IFERROR(LOOKUP(2,1/(U42:AY42&lt;&gt;""),U$2:AY$2),"")</f>
        <v/>
      </c>
      <c r="N42" s="59">
        <f>IF(OR(G42="",M42=""),"",G42-M42)</f>
        <v/>
      </c>
      <c r="O42" s="60" t="n"/>
      <c r="P42" s="61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  <c r="AG42" s="62" t="n"/>
      <c r="AH42" s="62" t="n"/>
      <c r="AI42" s="62" t="n"/>
      <c r="AJ42" s="62" t="n"/>
      <c r="AK42" s="62" t="n"/>
      <c r="AL42" s="62" t="n"/>
      <c r="AM42" s="62" t="n"/>
      <c r="AN42" s="62" t="n"/>
      <c r="AO42" s="62" t="n"/>
      <c r="AP42" s="62" t="n"/>
      <c r="AQ42" s="62" t="n"/>
      <c r="AR42" s="62" t="n"/>
      <c r="AS42" s="62" t="n"/>
      <c r="AT42" s="62" t="n"/>
      <c r="AU42" s="62" t="n"/>
      <c r="AV42" s="62" t="n"/>
      <c r="AW42" s="62" t="n"/>
      <c r="AX42" s="62" t="n"/>
      <c r="AY42" s="62" t="n"/>
    </row>
    <row r="43">
      <c r="A43" s="38">
        <f>IF(D43="","",COUNTA($D$40:D43))</f>
        <v/>
      </c>
      <c r="B43" s="52" t="n"/>
      <c r="C43" s="65" t="inlineStr">
        <is>
          <t>마케팅2팀</t>
        </is>
      </c>
      <c r="D43" s="52" t="n"/>
      <c r="E43" s="54" t="n"/>
      <c r="F43" s="52" t="n"/>
      <c r="G43" s="55" t="n"/>
      <c r="H43" s="54" t="n"/>
      <c r="I43" s="54" t="n"/>
      <c r="J43" s="54" t="n"/>
      <c r="K43" s="56">
        <f>IF(SUM(U43:AY43)=0,"",SUM(U43:AY43))</f>
        <v/>
      </c>
      <c r="L43" s="57">
        <f>IFERROR(INDEX(U$2:AY$2,MATCH(TRUE,U43:AY43&lt;&gt;"",0)),"")</f>
        <v/>
      </c>
      <c r="M43" s="58">
        <f>IFERROR(LOOKUP(2,1/(U43:AY43&lt;&gt;""),U$2:AY$2),"")</f>
        <v/>
      </c>
      <c r="N43" s="59">
        <f>IF(OR(G43="",M43=""),"",G43-M43)</f>
        <v/>
      </c>
      <c r="O43" s="60" t="n"/>
      <c r="P43" s="61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  <c r="AG43" s="62" t="n"/>
      <c r="AH43" s="62" t="n"/>
      <c r="AI43" s="62" t="n"/>
      <c r="AJ43" s="62" t="n"/>
      <c r="AK43" s="62" t="n"/>
      <c r="AL43" s="62" t="n"/>
      <c r="AM43" s="62" t="n"/>
      <c r="AN43" s="62" t="n"/>
      <c r="AO43" s="62" t="n"/>
      <c r="AP43" s="62" t="n"/>
      <c r="AQ43" s="62" t="n"/>
      <c r="AR43" s="62" t="n"/>
      <c r="AS43" s="62" t="n"/>
      <c r="AT43" s="62" t="n"/>
      <c r="AU43" s="62" t="n"/>
      <c r="AV43" s="62" t="n"/>
      <c r="AW43" s="62" t="n"/>
      <c r="AX43" s="62" t="n"/>
      <c r="AY43" s="62" t="n"/>
    </row>
    <row r="44">
      <c r="A44" s="38">
        <f>IF(D44="","",COUNTA($D$40:D44))</f>
        <v/>
      </c>
      <c r="B44" s="52" t="n"/>
      <c r="C44" s="65" t="inlineStr">
        <is>
          <t>마케팅2팀</t>
        </is>
      </c>
      <c r="D44" s="52" t="n"/>
      <c r="E44" s="54" t="n"/>
      <c r="F44" s="52" t="n"/>
      <c r="G44" s="55" t="n"/>
      <c r="H44" s="54" t="n"/>
      <c r="I44" s="54" t="n"/>
      <c r="J44" s="54" t="n"/>
      <c r="K44" s="56">
        <f>IF(SUM(U44:AY44)=0,"",SUM(U44:AY44))</f>
        <v/>
      </c>
      <c r="L44" s="57">
        <f>IFERROR(INDEX(U$2:AY$2,MATCH(TRUE,U44:AY44&lt;&gt;"",0)),"")</f>
        <v/>
      </c>
      <c r="M44" s="58">
        <f>IFERROR(LOOKUP(2,1/(U44:AY44&lt;&gt;""),U$2:AY$2),"")</f>
        <v/>
      </c>
      <c r="N44" s="59">
        <f>IF(OR(G44="",M44=""),"",G44-M44)</f>
        <v/>
      </c>
      <c r="O44" s="60" t="n"/>
      <c r="P44" s="61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  <c r="AG44" s="62" t="n"/>
      <c r="AH44" s="62" t="n"/>
      <c r="AI44" s="62" t="n"/>
      <c r="AJ44" s="62" t="n"/>
      <c r="AK44" s="62" t="n"/>
      <c r="AL44" s="62" t="n"/>
      <c r="AM44" s="62" t="n"/>
      <c r="AN44" s="62" t="n"/>
      <c r="AO44" s="62" t="n"/>
      <c r="AP44" s="62" t="n"/>
      <c r="AQ44" s="62" t="n"/>
      <c r="AR44" s="62" t="n"/>
      <c r="AS44" s="62" t="n"/>
      <c r="AT44" s="62" t="n"/>
      <c r="AU44" s="62" t="n"/>
      <c r="AV44" s="62" t="n"/>
      <c r="AW44" s="62" t="n"/>
      <c r="AX44" s="62" t="n"/>
      <c r="AY44" s="62" t="n"/>
    </row>
    <row r="45">
      <c r="A45" s="38">
        <f>IF(D45="","",COUNTA($D$40:D45))</f>
        <v/>
      </c>
      <c r="B45" s="52" t="n"/>
      <c r="C45" s="65" t="inlineStr">
        <is>
          <t>마케팅2팀</t>
        </is>
      </c>
      <c r="D45" s="52" t="n"/>
      <c r="E45" s="54" t="n"/>
      <c r="F45" s="52" t="n"/>
      <c r="G45" s="55" t="n"/>
      <c r="H45" s="54" t="n"/>
      <c r="I45" s="54" t="n"/>
      <c r="J45" s="54" t="n"/>
      <c r="K45" s="56">
        <f>IF(SUM(U45:AY45)=0,"",SUM(U45:AY45))</f>
        <v/>
      </c>
      <c r="L45" s="57">
        <f>IFERROR(INDEX(U$2:AY$2,MATCH(TRUE,U45:AY45&lt;&gt;"",0)),"")</f>
        <v/>
      </c>
      <c r="M45" s="58">
        <f>IFERROR(LOOKUP(2,1/(U45:AY45&lt;&gt;""),U$2:AY$2),"")</f>
        <v/>
      </c>
      <c r="N45" s="59">
        <f>IF(OR(G45="",M45=""),"",G45-M45)</f>
        <v/>
      </c>
      <c r="O45" s="60" t="n"/>
      <c r="P45" s="61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  <c r="AG45" s="62" t="n"/>
      <c r="AH45" s="62" t="n"/>
      <c r="AI45" s="62" t="n"/>
      <c r="AJ45" s="62" t="n"/>
      <c r="AK45" s="62" t="n"/>
      <c r="AL45" s="62" t="n"/>
      <c r="AM45" s="62" t="n"/>
      <c r="AN45" s="62" t="n"/>
      <c r="AO45" s="62" t="n"/>
      <c r="AP45" s="62" t="n"/>
      <c r="AQ45" s="62" t="n"/>
      <c r="AR45" s="62" t="n"/>
      <c r="AS45" s="62" t="n"/>
      <c r="AT45" s="62" t="n"/>
      <c r="AU45" s="62" t="n"/>
      <c r="AV45" s="62" t="n"/>
      <c r="AW45" s="62" t="n"/>
      <c r="AX45" s="62" t="n"/>
      <c r="AY45" s="62" t="n"/>
    </row>
    <row r="46">
      <c r="A46" s="38">
        <f>IF(D46="","",COUNTA($D$40:D46))</f>
        <v/>
      </c>
      <c r="B46" s="52" t="n"/>
      <c r="C46" s="65" t="inlineStr">
        <is>
          <t>마케팅2팀</t>
        </is>
      </c>
      <c r="D46" s="52" t="n"/>
      <c r="E46" s="54" t="n"/>
      <c r="F46" s="52" t="n"/>
      <c r="G46" s="55" t="n"/>
      <c r="H46" s="54" t="n"/>
      <c r="I46" s="54" t="n"/>
      <c r="J46" s="54" t="n"/>
      <c r="K46" s="56">
        <f>IF(SUM(U46:AY46)=0,"",SUM(U46:AY46))</f>
        <v/>
      </c>
      <c r="L46" s="57">
        <f>IFERROR(INDEX(U$2:AY$2,MATCH(TRUE,U46:AY46&lt;&gt;"",0)),"")</f>
        <v/>
      </c>
      <c r="M46" s="58">
        <f>IFERROR(LOOKUP(2,1/(U46:AY46&lt;&gt;""),U$2:AY$2),"")</f>
        <v/>
      </c>
      <c r="N46" s="59">
        <f>IF(OR(G46="",M46=""),"",G46-M46)</f>
        <v/>
      </c>
      <c r="O46" s="60" t="n"/>
      <c r="P46" s="61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  <c r="AG46" s="62" t="n"/>
      <c r="AH46" s="62" t="n"/>
      <c r="AI46" s="62" t="n"/>
      <c r="AJ46" s="62" t="n"/>
      <c r="AK46" s="62" t="n"/>
      <c r="AL46" s="62" t="n"/>
      <c r="AM46" s="62" t="n"/>
      <c r="AN46" s="62" t="n"/>
      <c r="AO46" s="62" t="n"/>
      <c r="AP46" s="62" t="n"/>
      <c r="AQ46" s="62" t="n"/>
      <c r="AR46" s="62" t="n"/>
      <c r="AS46" s="62" t="n"/>
      <c r="AT46" s="62" t="n"/>
      <c r="AU46" s="62" t="n"/>
      <c r="AV46" s="62" t="n"/>
      <c r="AW46" s="62" t="n"/>
      <c r="AX46" s="62" t="n"/>
      <c r="AY46" s="62" t="n"/>
    </row>
    <row r="47">
      <c r="A47" s="38">
        <f>IF(D47="","",COUNTA($D$40:D47))</f>
        <v/>
      </c>
      <c r="B47" s="52" t="n"/>
      <c r="C47" s="65" t="inlineStr">
        <is>
          <t>마케팅2팀</t>
        </is>
      </c>
      <c r="D47" s="52" t="n"/>
      <c r="E47" s="54" t="n"/>
      <c r="F47" s="52" t="n"/>
      <c r="G47" s="55" t="n"/>
      <c r="H47" s="54" t="n"/>
      <c r="I47" s="54" t="n"/>
      <c r="J47" s="54" t="n"/>
      <c r="K47" s="56">
        <f>IF(SUM(U47:AY47)=0,"",SUM(U47:AY47))</f>
        <v/>
      </c>
      <c r="L47" s="57">
        <f>IFERROR(INDEX(U$2:AY$2,MATCH(TRUE,U47:AY47&lt;&gt;"",0)),"")</f>
        <v/>
      </c>
      <c r="M47" s="58">
        <f>IFERROR(LOOKUP(2,1/(U47:AY47&lt;&gt;""),U$2:AY$2),"")</f>
        <v/>
      </c>
      <c r="N47" s="59">
        <f>IF(OR(G47="",M47=""),"",G47-M47)</f>
        <v/>
      </c>
      <c r="O47" s="60" t="n"/>
      <c r="P47" s="61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  <c r="AG47" s="62" t="n"/>
      <c r="AH47" s="62" t="n"/>
      <c r="AI47" s="62" t="n"/>
      <c r="AJ47" s="62" t="n"/>
      <c r="AK47" s="62" t="n"/>
      <c r="AL47" s="62" t="n"/>
      <c r="AM47" s="62" t="n"/>
      <c r="AN47" s="62" t="n"/>
      <c r="AO47" s="62" t="n"/>
      <c r="AP47" s="62" t="n"/>
      <c r="AQ47" s="62" t="n"/>
      <c r="AR47" s="62" t="n"/>
      <c r="AS47" s="62" t="n"/>
      <c r="AT47" s="62" t="n"/>
      <c r="AU47" s="62" t="n"/>
      <c r="AV47" s="62" t="n"/>
      <c r="AW47" s="62" t="n"/>
      <c r="AX47" s="62" t="n"/>
      <c r="AY47" s="62" t="n"/>
    </row>
    <row r="48">
      <c r="A48" s="38">
        <f>IF(D48="","",COUNTA($D$40:D48))</f>
        <v/>
      </c>
      <c r="B48" s="52" t="n"/>
      <c r="C48" s="65" t="inlineStr">
        <is>
          <t>마케팅2팀</t>
        </is>
      </c>
      <c r="D48" s="52" t="n"/>
      <c r="E48" s="54" t="n"/>
      <c r="F48" s="52" t="n"/>
      <c r="G48" s="55" t="n"/>
      <c r="H48" s="54" t="n"/>
      <c r="I48" s="54" t="n"/>
      <c r="J48" s="54" t="n"/>
      <c r="K48" s="56">
        <f>IF(SUM(U48:AY48)=0,"",SUM(U48:AY48))</f>
        <v/>
      </c>
      <c r="L48" s="57">
        <f>IFERROR(INDEX(U$2:AY$2,MATCH(TRUE,U48:AY48&lt;&gt;"",0)),"")</f>
        <v/>
      </c>
      <c r="M48" s="58">
        <f>IFERROR(LOOKUP(2,1/(U48:AY48&lt;&gt;""),U$2:AY$2),"")</f>
        <v/>
      </c>
      <c r="N48" s="59">
        <f>IF(OR(G48="",M48=""),"",G48-M48)</f>
        <v/>
      </c>
      <c r="O48" s="60" t="n"/>
      <c r="P48" s="61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  <c r="AG48" s="62" t="n"/>
      <c r="AH48" s="62" t="n"/>
      <c r="AI48" s="62" t="n"/>
      <c r="AJ48" s="62" t="n"/>
      <c r="AK48" s="62" t="n"/>
      <c r="AL48" s="62" t="n"/>
      <c r="AM48" s="62" t="n"/>
      <c r="AN48" s="62" t="n"/>
      <c r="AO48" s="62" t="n"/>
      <c r="AP48" s="62" t="n"/>
      <c r="AQ48" s="62" t="n"/>
      <c r="AR48" s="62" t="n"/>
      <c r="AS48" s="62" t="n"/>
      <c r="AT48" s="62" t="n"/>
      <c r="AU48" s="62" t="n"/>
      <c r="AV48" s="62" t="n"/>
      <c r="AW48" s="62" t="n"/>
      <c r="AX48" s="62" t="n"/>
      <c r="AY48" s="62" t="n"/>
    </row>
    <row r="49">
      <c r="A49" s="38">
        <f>IF(D49="","",COUNTA($D$40:D49))</f>
        <v/>
      </c>
      <c r="B49" s="52" t="n"/>
      <c r="C49" s="65" t="inlineStr">
        <is>
          <t>마케팅2팀</t>
        </is>
      </c>
      <c r="D49" s="52" t="n"/>
      <c r="E49" s="54" t="n"/>
      <c r="F49" s="52" t="n"/>
      <c r="G49" s="55" t="n"/>
      <c r="H49" s="54" t="n"/>
      <c r="I49" s="54" t="n"/>
      <c r="J49" s="54" t="n"/>
      <c r="K49" s="56">
        <f>IF(SUM(U49:AY49)=0,"",SUM(U49:AY49))</f>
        <v/>
      </c>
      <c r="L49" s="57">
        <f>IFERROR(INDEX(U$2:AY$2,MATCH(TRUE,U49:AY49&lt;&gt;"",0)),"")</f>
        <v/>
      </c>
      <c r="M49" s="58">
        <f>IFERROR(LOOKUP(2,1/(U49:AY49&lt;&gt;""),U$2:AY$2),"")</f>
        <v/>
      </c>
      <c r="N49" s="59">
        <f>IF(OR(G49="",M49=""),"",G49-M49)</f>
        <v/>
      </c>
      <c r="O49" s="60" t="n"/>
      <c r="P49" s="61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  <c r="AG49" s="62" t="n"/>
      <c r="AH49" s="62" t="n"/>
      <c r="AI49" s="62" t="n"/>
      <c r="AJ49" s="62" t="n"/>
      <c r="AK49" s="62" t="n"/>
      <c r="AL49" s="62" t="n"/>
      <c r="AM49" s="62" t="n"/>
      <c r="AN49" s="62" t="n"/>
      <c r="AO49" s="62" t="n"/>
      <c r="AP49" s="62" t="n"/>
      <c r="AQ49" s="62" t="n"/>
      <c r="AR49" s="62" t="n"/>
      <c r="AS49" s="62" t="n"/>
      <c r="AT49" s="62" t="n"/>
      <c r="AU49" s="62" t="n"/>
      <c r="AV49" s="62" t="n"/>
      <c r="AW49" s="62" t="n"/>
      <c r="AX49" s="62" t="n"/>
      <c r="AY49" s="62" t="n"/>
    </row>
    <row r="50">
      <c r="A50" s="38">
        <f>IF(D50="","",COUNTA($D$40:D50))</f>
        <v/>
      </c>
      <c r="B50" s="52" t="n"/>
      <c r="C50" s="65" t="inlineStr">
        <is>
          <t>마케팅2팀</t>
        </is>
      </c>
      <c r="D50" s="52" t="n"/>
      <c r="E50" s="54" t="n"/>
      <c r="F50" s="52" t="n"/>
      <c r="G50" s="55" t="n"/>
      <c r="H50" s="54" t="n"/>
      <c r="I50" s="54" t="n"/>
      <c r="J50" s="54" t="n"/>
      <c r="K50" s="56">
        <f>IF(SUM(U50:AY50)=0,"",SUM(U50:AY50))</f>
        <v/>
      </c>
      <c r="L50" s="57">
        <f>IFERROR(INDEX(U$2:AY$2,MATCH(TRUE,U50:AY50&lt;&gt;"",0)),"")</f>
        <v/>
      </c>
      <c r="M50" s="58">
        <f>IFERROR(LOOKUP(2,1/(U50:AY50&lt;&gt;""),U$2:AY$2),"")</f>
        <v/>
      </c>
      <c r="N50" s="59">
        <f>IF(OR(G50="",M50=""),"",G50-M50)</f>
        <v/>
      </c>
      <c r="O50" s="60" t="n"/>
      <c r="P50" s="61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  <c r="AG50" s="62" t="n"/>
      <c r="AH50" s="62" t="n"/>
      <c r="AI50" s="62" t="n"/>
      <c r="AJ50" s="62" t="n"/>
      <c r="AK50" s="62" t="n"/>
      <c r="AL50" s="62" t="n"/>
      <c r="AM50" s="62" t="n"/>
      <c r="AN50" s="62" t="n"/>
      <c r="AO50" s="62" t="n"/>
      <c r="AP50" s="62" t="n"/>
      <c r="AQ50" s="62" t="n"/>
      <c r="AR50" s="62" t="n"/>
      <c r="AS50" s="62" t="n"/>
      <c r="AT50" s="62" t="n"/>
      <c r="AU50" s="62" t="n"/>
      <c r="AV50" s="62" t="n"/>
      <c r="AW50" s="62" t="n"/>
      <c r="AX50" s="62" t="n"/>
      <c r="AY50" s="62" t="n"/>
    </row>
    <row r="51">
      <c r="A51" s="38">
        <f>IF(D51="","",COUNTA($D$40:D51))</f>
        <v/>
      </c>
      <c r="B51" s="52" t="n"/>
      <c r="C51" s="65" t="inlineStr">
        <is>
          <t>마케팅2팀</t>
        </is>
      </c>
      <c r="D51" s="52" t="n"/>
      <c r="E51" s="54" t="n"/>
      <c r="F51" s="52" t="n"/>
      <c r="G51" s="55" t="n"/>
      <c r="H51" s="54" t="n"/>
      <c r="I51" s="54" t="n"/>
      <c r="J51" s="54" t="n"/>
      <c r="K51" s="56">
        <f>IF(SUM(U51:AY51)=0,"",SUM(U51:AY51))</f>
        <v/>
      </c>
      <c r="L51" s="57">
        <f>IFERROR(INDEX(U$2:AY$2,MATCH(TRUE,U51:AY51&lt;&gt;"",0)),"")</f>
        <v/>
      </c>
      <c r="M51" s="58">
        <f>IFERROR(LOOKUP(2,1/(U51:AY51&lt;&gt;""),U$2:AY$2),"")</f>
        <v/>
      </c>
      <c r="N51" s="59">
        <f>IF(OR(G51="",M51=""),"",G51-M51)</f>
        <v/>
      </c>
      <c r="O51" s="60" t="n"/>
      <c r="P51" s="61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  <c r="AG51" s="62" t="n"/>
      <c r="AH51" s="62" t="n"/>
      <c r="AI51" s="62" t="n"/>
      <c r="AJ51" s="62" t="n"/>
      <c r="AK51" s="62" t="n"/>
      <c r="AL51" s="62" t="n"/>
      <c r="AM51" s="62" t="n"/>
      <c r="AN51" s="62" t="n"/>
      <c r="AO51" s="62" t="n"/>
      <c r="AP51" s="62" t="n"/>
      <c r="AQ51" s="62" t="n"/>
      <c r="AR51" s="62" t="n"/>
      <c r="AS51" s="62" t="n"/>
      <c r="AT51" s="62" t="n"/>
      <c r="AU51" s="62" t="n"/>
      <c r="AV51" s="62" t="n"/>
      <c r="AW51" s="62" t="n"/>
      <c r="AX51" s="62" t="n"/>
      <c r="AY51" s="62" t="n"/>
    </row>
    <row r="52">
      <c r="A52" s="38">
        <f>IF(D52="","",COUNTA($D$40:D52))</f>
        <v/>
      </c>
      <c r="B52" s="52" t="n"/>
      <c r="C52" s="65" t="inlineStr">
        <is>
          <t>마케팅2팀</t>
        </is>
      </c>
      <c r="D52" s="52" t="n"/>
      <c r="E52" s="54" t="n"/>
      <c r="F52" s="52" t="n"/>
      <c r="G52" s="55" t="n"/>
      <c r="H52" s="54" t="n"/>
      <c r="I52" s="54" t="n"/>
      <c r="J52" s="54" t="n"/>
      <c r="K52" s="56">
        <f>IF(SUM(U52:AY52)=0,"",SUM(U52:AY52))</f>
        <v/>
      </c>
      <c r="L52" s="57">
        <f>IFERROR(INDEX(U$2:AY$2,MATCH(TRUE,U52:AY52&lt;&gt;"",0)),"")</f>
        <v/>
      </c>
      <c r="M52" s="58">
        <f>IFERROR(LOOKUP(2,1/(U52:AY52&lt;&gt;""),U$2:AY$2),"")</f>
        <v/>
      </c>
      <c r="N52" s="59">
        <f>IF(OR(G52="",M52=""),"",G52-M52)</f>
        <v/>
      </c>
      <c r="O52" s="60" t="n"/>
      <c r="P52" s="61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  <c r="AG52" s="62" t="n"/>
      <c r="AH52" s="62" t="n"/>
      <c r="AI52" s="62" t="n"/>
      <c r="AJ52" s="62" t="n"/>
      <c r="AK52" s="62" t="n"/>
      <c r="AL52" s="62" t="n"/>
      <c r="AM52" s="62" t="n"/>
      <c r="AN52" s="62" t="n"/>
      <c r="AO52" s="62" t="n"/>
      <c r="AP52" s="62" t="n"/>
      <c r="AQ52" s="62" t="n"/>
      <c r="AR52" s="62" t="n"/>
      <c r="AS52" s="62" t="n"/>
      <c r="AT52" s="62" t="n"/>
      <c r="AU52" s="62" t="n"/>
      <c r="AV52" s="62" t="n"/>
      <c r="AW52" s="62" t="n"/>
      <c r="AX52" s="62" t="n"/>
      <c r="AY52" s="62" t="n"/>
    </row>
    <row r="53">
      <c r="A53" s="38">
        <f>IF(D53="","",COUNTA($D$40:D53))</f>
        <v/>
      </c>
      <c r="B53" s="52" t="n"/>
      <c r="C53" s="65" t="inlineStr">
        <is>
          <t>마케팅2팀</t>
        </is>
      </c>
      <c r="D53" s="52" t="n"/>
      <c r="E53" s="54" t="n"/>
      <c r="F53" s="52" t="n"/>
      <c r="G53" s="55" t="n"/>
      <c r="H53" s="54" t="n"/>
      <c r="I53" s="54" t="n"/>
      <c r="J53" s="54" t="n"/>
      <c r="K53" s="56">
        <f>IF(SUM(U53:AY53)=0,"",SUM(U53:AY53))</f>
        <v/>
      </c>
      <c r="L53" s="57">
        <f>IFERROR(INDEX(U$2:AY$2,MATCH(TRUE,U53:AY53&lt;&gt;"",0)),"")</f>
        <v/>
      </c>
      <c r="M53" s="58">
        <f>IFERROR(LOOKUP(2,1/(U53:AY53&lt;&gt;""),U$2:AY$2),"")</f>
        <v/>
      </c>
      <c r="N53" s="59">
        <f>IF(OR(G53="",M53=""),"",G53-M53)</f>
        <v/>
      </c>
      <c r="O53" s="60" t="n"/>
      <c r="P53" s="61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  <c r="AG53" s="62" t="n"/>
      <c r="AH53" s="62" t="n"/>
      <c r="AI53" s="62" t="n"/>
      <c r="AJ53" s="62" t="n"/>
      <c r="AK53" s="62" t="n"/>
      <c r="AL53" s="62" t="n"/>
      <c r="AM53" s="62" t="n"/>
      <c r="AN53" s="62" t="n"/>
      <c r="AO53" s="62" t="n"/>
      <c r="AP53" s="62" t="n"/>
      <c r="AQ53" s="62" t="n"/>
      <c r="AR53" s="62" t="n"/>
      <c r="AS53" s="62" t="n"/>
      <c r="AT53" s="62" t="n"/>
      <c r="AU53" s="62" t="n"/>
      <c r="AV53" s="62" t="n"/>
      <c r="AW53" s="62" t="n"/>
      <c r="AX53" s="62" t="n"/>
      <c r="AY53" s="62" t="n"/>
    </row>
    <row r="54">
      <c r="A54" s="38">
        <f>IF(D54="","",COUNTA($D$40:D54))</f>
        <v/>
      </c>
      <c r="B54" s="52" t="n"/>
      <c r="C54" s="65" t="inlineStr">
        <is>
          <t>마케팅2팀</t>
        </is>
      </c>
      <c r="D54" s="52" t="n"/>
      <c r="E54" s="54" t="n"/>
      <c r="F54" s="52" t="n"/>
      <c r="G54" s="55" t="n"/>
      <c r="H54" s="54" t="n"/>
      <c r="I54" s="54" t="n"/>
      <c r="J54" s="54" t="n"/>
      <c r="K54" s="56">
        <f>IF(SUM(U54:AY54)=0,"",SUM(U54:AY54))</f>
        <v/>
      </c>
      <c r="L54" s="57">
        <f>IFERROR(INDEX(U$2:AY$2,MATCH(TRUE,U54:AY54&lt;&gt;"",0)),"")</f>
        <v/>
      </c>
      <c r="M54" s="58">
        <f>IFERROR(LOOKUP(2,1/(U54:AY54&lt;&gt;""),U$2:AY$2),"")</f>
        <v/>
      </c>
      <c r="N54" s="59">
        <f>IF(OR(G54="",M54=""),"",G54-M54)</f>
        <v/>
      </c>
      <c r="O54" s="60" t="n"/>
      <c r="P54" s="61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  <c r="AG54" s="62" t="n"/>
      <c r="AH54" s="62" t="n"/>
      <c r="AI54" s="62" t="n"/>
      <c r="AJ54" s="62" t="n"/>
      <c r="AK54" s="62" t="n"/>
      <c r="AL54" s="62" t="n"/>
      <c r="AM54" s="62" t="n"/>
      <c r="AN54" s="62" t="n"/>
      <c r="AO54" s="62" t="n"/>
      <c r="AP54" s="62" t="n"/>
      <c r="AQ54" s="62" t="n"/>
      <c r="AR54" s="62" t="n"/>
      <c r="AS54" s="62" t="n"/>
      <c r="AT54" s="62" t="n"/>
      <c r="AU54" s="62" t="n"/>
      <c r="AV54" s="62" t="n"/>
      <c r="AW54" s="62" t="n"/>
      <c r="AX54" s="62" t="n"/>
      <c r="AY54" s="62" t="n"/>
    </row>
    <row r="55">
      <c r="A55" s="38">
        <f>IF(D55="","",COUNTA($D$40:D55))</f>
        <v/>
      </c>
      <c r="B55" s="52" t="n"/>
      <c r="C55" s="65" t="inlineStr">
        <is>
          <t>마케팅2팀</t>
        </is>
      </c>
      <c r="D55" s="52" t="n"/>
      <c r="E55" s="54" t="n"/>
      <c r="F55" s="52" t="n"/>
      <c r="G55" s="55" t="n"/>
      <c r="H55" s="54" t="n"/>
      <c r="I55" s="54" t="n"/>
      <c r="J55" s="54" t="n"/>
      <c r="K55" s="56">
        <f>IF(SUM(U55:AY55)=0,"",SUM(U55:AY55))</f>
        <v/>
      </c>
      <c r="L55" s="57">
        <f>IFERROR(INDEX(U$2:AY$2,MATCH(TRUE,U55:AY55&lt;&gt;"",0)),"")</f>
        <v/>
      </c>
      <c r="M55" s="58">
        <f>IFERROR(LOOKUP(2,1/(U55:AY55&lt;&gt;""),U$2:AY$2),"")</f>
        <v/>
      </c>
      <c r="N55" s="59">
        <f>IF(OR(G55="",M55=""),"",G55-M55)</f>
        <v/>
      </c>
      <c r="O55" s="60" t="n"/>
      <c r="P55" s="61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  <c r="AG55" s="62" t="n"/>
      <c r="AH55" s="62" t="n"/>
      <c r="AI55" s="62" t="n"/>
      <c r="AJ55" s="62" t="n"/>
      <c r="AK55" s="62" t="n"/>
      <c r="AL55" s="62" t="n"/>
      <c r="AM55" s="62" t="n"/>
      <c r="AN55" s="62" t="n"/>
      <c r="AO55" s="62" t="n"/>
      <c r="AP55" s="62" t="n"/>
      <c r="AQ55" s="62" t="n"/>
      <c r="AR55" s="62" t="n"/>
      <c r="AS55" s="62" t="n"/>
      <c r="AT55" s="62" t="n"/>
      <c r="AU55" s="62" t="n"/>
      <c r="AV55" s="62" t="n"/>
      <c r="AW55" s="62" t="n"/>
      <c r="AX55" s="62" t="n"/>
      <c r="AY55" s="62" t="n"/>
    </row>
    <row r="56">
      <c r="A56" s="38">
        <f>IF(D56="","",COUNTA($D$40:D56))</f>
        <v/>
      </c>
      <c r="B56" s="52" t="n"/>
      <c r="C56" s="65" t="inlineStr">
        <is>
          <t>마케팅2팀</t>
        </is>
      </c>
      <c r="D56" s="52" t="n"/>
      <c r="E56" s="54" t="n"/>
      <c r="F56" s="52" t="n"/>
      <c r="G56" s="55" t="n"/>
      <c r="H56" s="54" t="n"/>
      <c r="I56" s="54" t="n"/>
      <c r="J56" s="54" t="n"/>
      <c r="K56" s="56">
        <f>IF(SUM(U56:AY56)=0,"",SUM(U56:AY56))</f>
        <v/>
      </c>
      <c r="L56" s="57">
        <f>IFERROR(INDEX(U$2:AY$2,MATCH(TRUE,U56:AY56&lt;&gt;"",0)),"")</f>
        <v/>
      </c>
      <c r="M56" s="58">
        <f>IFERROR(LOOKUP(2,1/(U56:AY56&lt;&gt;""),U$2:AY$2),"")</f>
        <v/>
      </c>
      <c r="N56" s="59">
        <f>IF(OR(G56="",M56=""),"",G56-M56)</f>
        <v/>
      </c>
      <c r="O56" s="60" t="n"/>
      <c r="P56" s="61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  <c r="AG56" s="62" t="n"/>
      <c r="AH56" s="62" t="n"/>
      <c r="AI56" s="62" t="n"/>
      <c r="AJ56" s="62" t="n"/>
      <c r="AK56" s="62" t="n"/>
      <c r="AL56" s="62" t="n"/>
      <c r="AM56" s="62" t="n"/>
      <c r="AN56" s="62" t="n"/>
      <c r="AO56" s="62" t="n"/>
      <c r="AP56" s="62" t="n"/>
      <c r="AQ56" s="62" t="n"/>
      <c r="AR56" s="62" t="n"/>
      <c r="AS56" s="62" t="n"/>
      <c r="AT56" s="62" t="n"/>
      <c r="AU56" s="62" t="n"/>
      <c r="AV56" s="62" t="n"/>
      <c r="AW56" s="62" t="n"/>
      <c r="AX56" s="62" t="n"/>
      <c r="AY56" s="62" t="n"/>
    </row>
    <row r="57">
      <c r="A57" s="38">
        <f>IF(D57="","",COUNTA($D$40:D57))</f>
        <v/>
      </c>
      <c r="B57" s="52" t="n"/>
      <c r="C57" s="65" t="inlineStr">
        <is>
          <t>마케팅2팀</t>
        </is>
      </c>
      <c r="D57" s="52" t="n"/>
      <c r="E57" s="54" t="n"/>
      <c r="F57" s="52" t="n"/>
      <c r="G57" s="55" t="n"/>
      <c r="H57" s="54" t="n"/>
      <c r="I57" s="54" t="n"/>
      <c r="J57" s="54" t="n"/>
      <c r="K57" s="56">
        <f>IF(SUM(U57:AY57)=0,"",SUM(U57:AY57))</f>
        <v/>
      </c>
      <c r="L57" s="57">
        <f>IFERROR(INDEX(U$2:AY$2,MATCH(TRUE,U57:AY57&lt;&gt;"",0)),"")</f>
        <v/>
      </c>
      <c r="M57" s="58">
        <f>IFERROR(LOOKUP(2,1/(U57:AY57&lt;&gt;""),U$2:AY$2),"")</f>
        <v/>
      </c>
      <c r="N57" s="59">
        <f>IF(OR(G57="",M57=""),"",G57-M57)</f>
        <v/>
      </c>
      <c r="O57" s="60" t="n"/>
      <c r="P57" s="61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  <c r="AG57" s="62" t="n"/>
      <c r="AH57" s="62" t="n"/>
      <c r="AI57" s="62" t="n"/>
      <c r="AJ57" s="62" t="n"/>
      <c r="AK57" s="62" t="n"/>
      <c r="AL57" s="62" t="n"/>
      <c r="AM57" s="62" t="n"/>
      <c r="AN57" s="62" t="n"/>
      <c r="AO57" s="62" t="n"/>
      <c r="AP57" s="62" t="n"/>
      <c r="AQ57" s="62" t="n"/>
      <c r="AR57" s="62" t="n"/>
      <c r="AS57" s="62" t="n"/>
      <c r="AT57" s="62" t="n"/>
      <c r="AU57" s="62" t="n"/>
      <c r="AV57" s="62" t="n"/>
      <c r="AW57" s="62" t="n"/>
      <c r="AX57" s="62" t="n"/>
      <c r="AY57" s="62" t="n"/>
    </row>
    <row r="58">
      <c r="A58" s="38">
        <f>IF(D58="","",COUNTA($D$40:D58))</f>
        <v/>
      </c>
      <c r="B58" s="52" t="n"/>
      <c r="C58" s="65" t="inlineStr">
        <is>
          <t>마케팅2팀</t>
        </is>
      </c>
      <c r="D58" s="52" t="n"/>
      <c r="E58" s="54" t="n"/>
      <c r="F58" s="52" t="n"/>
      <c r="G58" s="55" t="n"/>
      <c r="H58" s="54" t="n"/>
      <c r="I58" s="54" t="n"/>
      <c r="J58" s="54" t="n"/>
      <c r="K58" s="56">
        <f>IF(SUM(U58:AY58)=0,"",SUM(U58:AY58))</f>
        <v/>
      </c>
      <c r="L58" s="57">
        <f>IFERROR(INDEX(U$2:AY$2,MATCH(TRUE,U58:AY58&lt;&gt;"",0)),"")</f>
        <v/>
      </c>
      <c r="M58" s="58">
        <f>IFERROR(LOOKUP(2,1/(U58:AY58&lt;&gt;""),U$2:AY$2),"")</f>
        <v/>
      </c>
      <c r="N58" s="59">
        <f>IF(OR(G58="",M58=""),"",G58-M58)</f>
        <v/>
      </c>
      <c r="O58" s="60" t="n"/>
      <c r="P58" s="61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  <c r="AG58" s="62" t="n"/>
      <c r="AH58" s="62" t="n"/>
      <c r="AI58" s="62" t="n"/>
      <c r="AJ58" s="62" t="n"/>
      <c r="AK58" s="62" t="n"/>
      <c r="AL58" s="62" t="n"/>
      <c r="AM58" s="62" t="n"/>
      <c r="AN58" s="62" t="n"/>
      <c r="AO58" s="62" t="n"/>
      <c r="AP58" s="62" t="n"/>
      <c r="AQ58" s="62" t="n"/>
      <c r="AR58" s="62" t="n"/>
      <c r="AS58" s="62" t="n"/>
      <c r="AT58" s="62" t="n"/>
      <c r="AU58" s="62" t="n"/>
      <c r="AV58" s="62" t="n"/>
      <c r="AW58" s="62" t="n"/>
      <c r="AX58" s="62" t="n"/>
      <c r="AY58" s="62" t="n"/>
    </row>
    <row r="59">
      <c r="A59" s="38">
        <f>IF(D59="","",COUNTA($D$40:D59))</f>
        <v/>
      </c>
      <c r="B59" s="52" t="n"/>
      <c r="C59" s="65" t="inlineStr">
        <is>
          <t>마케팅2팀</t>
        </is>
      </c>
      <c r="D59" s="52" t="n"/>
      <c r="E59" s="54" t="n"/>
      <c r="F59" s="52" t="n"/>
      <c r="G59" s="55" t="n"/>
      <c r="H59" s="54" t="n"/>
      <c r="I59" s="54" t="n"/>
      <c r="J59" s="54" t="n"/>
      <c r="K59" s="56">
        <f>IF(SUM(U59:AY59)=0,"",SUM(U59:AY59))</f>
        <v/>
      </c>
      <c r="L59" s="57">
        <f>IFERROR(INDEX(U$2:AY$2,MATCH(TRUE,U59:AY59&lt;&gt;"",0)),"")</f>
        <v/>
      </c>
      <c r="M59" s="58">
        <f>IFERROR(LOOKUP(2,1/(U59:AY59&lt;&gt;""),U$2:AY$2),"")</f>
        <v/>
      </c>
      <c r="N59" s="59">
        <f>IF(OR(G59="",M59=""),"",G59-M59)</f>
        <v/>
      </c>
      <c r="O59" s="60" t="n"/>
      <c r="P59" s="61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  <c r="AG59" s="62" t="n"/>
      <c r="AH59" s="62" t="n"/>
      <c r="AI59" s="62" t="n"/>
      <c r="AJ59" s="62" t="n"/>
      <c r="AK59" s="62" t="n"/>
      <c r="AL59" s="62" t="n"/>
      <c r="AM59" s="62" t="n"/>
      <c r="AN59" s="62" t="n"/>
      <c r="AO59" s="62" t="n"/>
      <c r="AP59" s="62" t="n"/>
      <c r="AQ59" s="62" t="n"/>
      <c r="AR59" s="62" t="n"/>
      <c r="AS59" s="62" t="n"/>
      <c r="AT59" s="62" t="n"/>
      <c r="AU59" s="62" t="n"/>
      <c r="AV59" s="62" t="n"/>
      <c r="AW59" s="62" t="n"/>
      <c r="AX59" s="62" t="n"/>
      <c r="AY59" s="62" t="n"/>
    </row>
    <row r="60">
      <c r="A60" s="38">
        <f>IF(D60="","",COUNTA($D$40:D60))</f>
        <v/>
      </c>
      <c r="B60" s="52" t="n"/>
      <c r="C60" s="65" t="inlineStr">
        <is>
          <t>마케팅2팀</t>
        </is>
      </c>
      <c r="D60" s="52" t="n"/>
      <c r="E60" s="54" t="n"/>
      <c r="F60" s="52" t="n"/>
      <c r="G60" s="55" t="n"/>
      <c r="H60" s="54" t="n"/>
      <c r="I60" s="54" t="n"/>
      <c r="J60" s="54" t="n"/>
      <c r="K60" s="56">
        <f>IF(SUM(U60:AY60)=0,"",SUM(U60:AY60))</f>
        <v/>
      </c>
      <c r="L60" s="57">
        <f>IFERROR(INDEX(U$2:AY$2,MATCH(TRUE,U60:AY60&lt;&gt;"",0)),"")</f>
        <v/>
      </c>
      <c r="M60" s="58">
        <f>IFERROR(LOOKUP(2,1/(U60:AY60&lt;&gt;""),U$2:AY$2),"")</f>
        <v/>
      </c>
      <c r="N60" s="59">
        <f>IF(OR(G60="",M60=""),"",G60-M60)</f>
        <v/>
      </c>
      <c r="O60" s="60" t="n"/>
      <c r="P60" s="61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  <c r="AG60" s="62" t="n"/>
      <c r="AH60" s="62" t="n"/>
      <c r="AI60" s="62" t="n"/>
      <c r="AJ60" s="62" t="n"/>
      <c r="AK60" s="62" t="n"/>
      <c r="AL60" s="62" t="n"/>
      <c r="AM60" s="62" t="n"/>
      <c r="AN60" s="62" t="n"/>
      <c r="AO60" s="62" t="n"/>
      <c r="AP60" s="62" t="n"/>
      <c r="AQ60" s="62" t="n"/>
      <c r="AR60" s="62" t="n"/>
      <c r="AS60" s="62" t="n"/>
      <c r="AT60" s="62" t="n"/>
      <c r="AU60" s="62" t="n"/>
      <c r="AV60" s="62" t="n"/>
      <c r="AW60" s="62" t="n"/>
      <c r="AX60" s="62" t="n"/>
      <c r="AY60" s="62" t="n"/>
    </row>
    <row r="61">
      <c r="A61" s="38">
        <f>IF(D61="","",COUNTA($D$40:D61))</f>
        <v/>
      </c>
      <c r="B61" s="52" t="n"/>
      <c r="C61" s="65" t="inlineStr">
        <is>
          <t>마케팅2팀</t>
        </is>
      </c>
      <c r="D61" s="52" t="n"/>
      <c r="E61" s="54" t="n"/>
      <c r="F61" s="52" t="n"/>
      <c r="G61" s="55" t="n"/>
      <c r="H61" s="54" t="n"/>
      <c r="I61" s="54" t="n"/>
      <c r="J61" s="54" t="n"/>
      <c r="K61" s="56">
        <f>IF(SUM(U61:AY61)=0,"",SUM(U61:AY61))</f>
        <v/>
      </c>
      <c r="L61" s="57">
        <f>IFERROR(INDEX(U$2:AY$2,MATCH(TRUE,U61:AY61&lt;&gt;"",0)),"")</f>
        <v/>
      </c>
      <c r="M61" s="58">
        <f>IFERROR(LOOKUP(2,1/(U61:AY61&lt;&gt;""),U$2:AY$2),"")</f>
        <v/>
      </c>
      <c r="N61" s="59">
        <f>IF(OR(G61="",M61=""),"",G61-M61)</f>
        <v/>
      </c>
      <c r="O61" s="60" t="n"/>
      <c r="P61" s="61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  <c r="AG61" s="62" t="n"/>
      <c r="AH61" s="62" t="n"/>
      <c r="AI61" s="62" t="n"/>
      <c r="AJ61" s="62" t="n"/>
      <c r="AK61" s="62" t="n"/>
      <c r="AL61" s="62" t="n"/>
      <c r="AM61" s="62" t="n"/>
      <c r="AN61" s="62" t="n"/>
      <c r="AO61" s="62" t="n"/>
      <c r="AP61" s="62" t="n"/>
      <c r="AQ61" s="62" t="n"/>
      <c r="AR61" s="62" t="n"/>
      <c r="AS61" s="62" t="n"/>
      <c r="AT61" s="62" t="n"/>
      <c r="AU61" s="62" t="n"/>
      <c r="AV61" s="62" t="n"/>
      <c r="AW61" s="62" t="n"/>
      <c r="AX61" s="62" t="n"/>
      <c r="AY61" s="62" t="n"/>
    </row>
    <row r="62">
      <c r="A62" s="38">
        <f>IF(D62="","",COUNTA($D$40:D62))</f>
        <v/>
      </c>
      <c r="B62" s="52" t="n"/>
      <c r="C62" s="65" t="inlineStr">
        <is>
          <t>마케팅2팀</t>
        </is>
      </c>
      <c r="D62" s="52" t="n"/>
      <c r="E62" s="54" t="n"/>
      <c r="F62" s="52" t="n"/>
      <c r="G62" s="55" t="n"/>
      <c r="H62" s="54" t="n"/>
      <c r="I62" s="54" t="n"/>
      <c r="J62" s="54" t="n"/>
      <c r="K62" s="56">
        <f>IF(SUM(U62:AY62)=0,"",SUM(U62:AY62))</f>
        <v/>
      </c>
      <c r="L62" s="57">
        <f>IFERROR(INDEX(U$2:AY$2,MATCH(TRUE,U62:AY62&lt;&gt;"",0)),"")</f>
        <v/>
      </c>
      <c r="M62" s="58">
        <f>IFERROR(LOOKUP(2,1/(U62:AY62&lt;&gt;""),U$2:AY$2),"")</f>
        <v/>
      </c>
      <c r="N62" s="59">
        <f>IF(OR(G62="",M62=""),"",G62-M62)</f>
        <v/>
      </c>
      <c r="O62" s="60" t="n"/>
      <c r="P62" s="61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  <c r="AG62" s="62" t="n"/>
      <c r="AH62" s="62" t="n"/>
      <c r="AI62" s="62" t="n"/>
      <c r="AJ62" s="62" t="n"/>
      <c r="AK62" s="62" t="n"/>
      <c r="AL62" s="62" t="n"/>
      <c r="AM62" s="62" t="n"/>
      <c r="AN62" s="62" t="n"/>
      <c r="AO62" s="62" t="n"/>
      <c r="AP62" s="62" t="n"/>
      <c r="AQ62" s="62" t="n"/>
      <c r="AR62" s="62" t="n"/>
      <c r="AS62" s="62" t="n"/>
      <c r="AT62" s="62" t="n"/>
      <c r="AU62" s="62" t="n"/>
      <c r="AV62" s="62" t="n"/>
      <c r="AW62" s="62" t="n"/>
      <c r="AX62" s="62" t="n"/>
      <c r="AY62" s="62" t="n"/>
    </row>
    <row r="63">
      <c r="A63" s="38">
        <f>IF(D63="","",COUNTA($D$40:D63))</f>
        <v/>
      </c>
      <c r="B63" s="52" t="n"/>
      <c r="C63" s="65" t="inlineStr">
        <is>
          <t>마케팅2팀</t>
        </is>
      </c>
      <c r="D63" s="52" t="n"/>
      <c r="E63" s="54" t="n"/>
      <c r="F63" s="52" t="n"/>
      <c r="G63" s="55" t="n"/>
      <c r="H63" s="54" t="n"/>
      <c r="I63" s="54" t="n"/>
      <c r="J63" s="54" t="n"/>
      <c r="K63" s="56">
        <f>IF(SUM(U63:AY63)=0,"",SUM(U63:AY63))</f>
        <v/>
      </c>
      <c r="L63" s="57">
        <f>IFERROR(INDEX(U$2:AY$2,MATCH(TRUE,U63:AY63&lt;&gt;"",0)),"")</f>
        <v/>
      </c>
      <c r="M63" s="58">
        <f>IFERROR(LOOKUP(2,1/(U63:AY63&lt;&gt;""),U$2:AY$2),"")</f>
        <v/>
      </c>
      <c r="N63" s="59">
        <f>IF(OR(G63="",M63=""),"",G63-M63)</f>
        <v/>
      </c>
      <c r="O63" s="60" t="n"/>
      <c r="P63" s="61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  <c r="AG63" s="62" t="n"/>
      <c r="AH63" s="62" t="n"/>
      <c r="AI63" s="62" t="n"/>
      <c r="AJ63" s="62" t="n"/>
      <c r="AK63" s="62" t="n"/>
      <c r="AL63" s="62" t="n"/>
      <c r="AM63" s="62" t="n"/>
      <c r="AN63" s="62" t="n"/>
      <c r="AO63" s="62" t="n"/>
      <c r="AP63" s="62" t="n"/>
      <c r="AQ63" s="62" t="n"/>
      <c r="AR63" s="62" t="n"/>
      <c r="AS63" s="62" t="n"/>
      <c r="AT63" s="62" t="n"/>
      <c r="AU63" s="62" t="n"/>
      <c r="AV63" s="62" t="n"/>
      <c r="AW63" s="62" t="n"/>
      <c r="AX63" s="62" t="n"/>
      <c r="AY63" s="62" t="n"/>
    </row>
    <row r="64">
      <c r="A64" s="38">
        <f>IF(D64="","",COUNTA($D$40:D64))</f>
        <v/>
      </c>
      <c r="B64" s="52" t="n"/>
      <c r="C64" s="65" t="inlineStr">
        <is>
          <t>마케팅2팀</t>
        </is>
      </c>
      <c r="D64" s="52" t="n"/>
      <c r="E64" s="54" t="n"/>
      <c r="F64" s="52" t="n"/>
      <c r="G64" s="55" t="n"/>
      <c r="H64" s="54" t="n"/>
      <c r="I64" s="54" t="n"/>
      <c r="J64" s="54" t="n"/>
      <c r="K64" s="56">
        <f>IF(SUM(U64:AY64)=0,"",SUM(U64:AY64))</f>
        <v/>
      </c>
      <c r="L64" s="57">
        <f>IFERROR(INDEX(U$2:AY$2,MATCH(TRUE,U64:AY64&lt;&gt;"",0)),"")</f>
        <v/>
      </c>
      <c r="M64" s="58">
        <f>IFERROR(LOOKUP(2,1/(U64:AY64&lt;&gt;""),U$2:AY$2),"")</f>
        <v/>
      </c>
      <c r="N64" s="59">
        <f>IF(OR(G64="",M64=""),"",G64-M64)</f>
        <v/>
      </c>
      <c r="O64" s="60" t="n"/>
      <c r="P64" s="61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  <c r="AG64" s="62" t="n"/>
      <c r="AH64" s="62" t="n"/>
      <c r="AI64" s="62" t="n"/>
      <c r="AJ64" s="62" t="n"/>
      <c r="AK64" s="62" t="n"/>
      <c r="AL64" s="62" t="n"/>
      <c r="AM64" s="62" t="n"/>
      <c r="AN64" s="62" t="n"/>
      <c r="AO64" s="62" t="n"/>
      <c r="AP64" s="62" t="n"/>
      <c r="AQ64" s="62" t="n"/>
      <c r="AR64" s="62" t="n"/>
      <c r="AS64" s="62" t="n"/>
      <c r="AT64" s="62" t="n"/>
      <c r="AU64" s="62" t="n"/>
      <c r="AV64" s="62" t="n"/>
      <c r="AW64" s="62" t="n"/>
      <c r="AX64" s="62" t="n"/>
      <c r="AY64" s="62" t="n"/>
    </row>
    <row r="65">
      <c r="A65" s="38">
        <f>IF(D65="","",COUNTA($D$40:D65))</f>
        <v/>
      </c>
      <c r="B65" s="52" t="n"/>
      <c r="C65" s="65" t="inlineStr">
        <is>
          <t>마케팅2팀</t>
        </is>
      </c>
      <c r="D65" s="52" t="n"/>
      <c r="E65" s="54" t="n"/>
      <c r="F65" s="52" t="n"/>
      <c r="G65" s="55" t="n"/>
      <c r="H65" s="54" t="n"/>
      <c r="I65" s="54" t="n"/>
      <c r="J65" s="54" t="n"/>
      <c r="K65" s="56">
        <f>IF(SUM(U65:AY65)=0,"",SUM(U65:AY65))</f>
        <v/>
      </c>
      <c r="L65" s="57">
        <f>IFERROR(INDEX(U$2:AY$2,MATCH(TRUE,U65:AY65&lt;&gt;"",0)),"")</f>
        <v/>
      </c>
      <c r="M65" s="58">
        <f>IFERROR(LOOKUP(2,1/(U65:AY65&lt;&gt;""),U$2:AY$2),"")</f>
        <v/>
      </c>
      <c r="N65" s="59">
        <f>IF(OR(G65="",M65=""),"",G65-M65)</f>
        <v/>
      </c>
      <c r="O65" s="60" t="n"/>
      <c r="P65" s="61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  <c r="AG65" s="62" t="n"/>
      <c r="AH65" s="62" t="n"/>
      <c r="AI65" s="62" t="n"/>
      <c r="AJ65" s="62" t="n"/>
      <c r="AK65" s="62" t="n"/>
      <c r="AL65" s="62" t="n"/>
      <c r="AM65" s="62" t="n"/>
      <c r="AN65" s="62" t="n"/>
      <c r="AO65" s="62" t="n"/>
      <c r="AP65" s="62" t="n"/>
      <c r="AQ65" s="62" t="n"/>
      <c r="AR65" s="62" t="n"/>
      <c r="AS65" s="62" t="n"/>
      <c r="AT65" s="62" t="n"/>
      <c r="AU65" s="62" t="n"/>
      <c r="AV65" s="62" t="n"/>
      <c r="AW65" s="62" t="n"/>
      <c r="AX65" s="62" t="n"/>
      <c r="AY65" s="62" t="n"/>
    </row>
    <row r="66">
      <c r="A66" s="38">
        <f>IF(D66="","",COUNTA($D$40:D66))</f>
        <v/>
      </c>
      <c r="B66" s="52" t="n"/>
      <c r="C66" s="65" t="inlineStr">
        <is>
          <t>마케팅2팀</t>
        </is>
      </c>
      <c r="D66" s="52" t="n"/>
      <c r="E66" s="54" t="n"/>
      <c r="F66" s="52" t="n"/>
      <c r="G66" s="55" t="n"/>
      <c r="H66" s="54" t="n"/>
      <c r="I66" s="54" t="n"/>
      <c r="J66" s="54" t="n"/>
      <c r="K66" s="56">
        <f>IF(SUM(U66:AY66)=0,"",SUM(U66:AY66))</f>
        <v/>
      </c>
      <c r="L66" s="57">
        <f>IFERROR(INDEX(U$2:AY$2,MATCH(TRUE,U66:AY66&lt;&gt;"",0)),"")</f>
        <v/>
      </c>
      <c r="M66" s="58">
        <f>IFERROR(LOOKUP(2,1/(U66:AY66&lt;&gt;""),U$2:AY$2),"")</f>
        <v/>
      </c>
      <c r="N66" s="59">
        <f>IF(OR(G66="",M66=""),"",G66-M66)</f>
        <v/>
      </c>
      <c r="O66" s="60" t="n"/>
      <c r="P66" s="61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  <c r="AG66" s="62" t="n"/>
      <c r="AH66" s="62" t="n"/>
      <c r="AI66" s="62" t="n"/>
      <c r="AJ66" s="62" t="n"/>
      <c r="AK66" s="62" t="n"/>
      <c r="AL66" s="62" t="n"/>
      <c r="AM66" s="62" t="n"/>
      <c r="AN66" s="62" t="n"/>
      <c r="AO66" s="62" t="n"/>
      <c r="AP66" s="62" t="n"/>
      <c r="AQ66" s="62" t="n"/>
      <c r="AR66" s="62" t="n"/>
      <c r="AS66" s="62" t="n"/>
      <c r="AT66" s="62" t="n"/>
      <c r="AU66" s="62" t="n"/>
      <c r="AV66" s="62" t="n"/>
      <c r="AW66" s="62" t="n"/>
      <c r="AX66" s="62" t="n"/>
      <c r="AY66" s="62" t="n"/>
    </row>
    <row r="67">
      <c r="A67" s="38">
        <f>IF(D67="","",COUNTA($D$40:D67))</f>
        <v/>
      </c>
      <c r="B67" s="52" t="n"/>
      <c r="C67" s="65" t="inlineStr">
        <is>
          <t>마케팅2팀</t>
        </is>
      </c>
      <c r="D67" s="52" t="n"/>
      <c r="E67" s="54" t="n"/>
      <c r="F67" s="52" t="n"/>
      <c r="G67" s="55" t="n"/>
      <c r="H67" s="54" t="n"/>
      <c r="I67" s="54" t="n"/>
      <c r="J67" s="54" t="n"/>
      <c r="K67" s="56">
        <f>IF(SUM(U67:AY67)=0,"",SUM(U67:AY67))</f>
        <v/>
      </c>
      <c r="L67" s="57">
        <f>IFERROR(INDEX(U$2:AY$2,MATCH(TRUE,U67:AY67&lt;&gt;"",0)),"")</f>
        <v/>
      </c>
      <c r="M67" s="58">
        <f>IFERROR(LOOKUP(2,1/(U67:AY67&lt;&gt;""),U$2:AY$2),"")</f>
        <v/>
      </c>
      <c r="N67" s="59">
        <f>IF(OR(G67="",M67=""),"",G67-M67)</f>
        <v/>
      </c>
      <c r="O67" s="60" t="n"/>
      <c r="P67" s="61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  <c r="AG67" s="62" t="n"/>
      <c r="AH67" s="62" t="n"/>
      <c r="AI67" s="62" t="n"/>
      <c r="AJ67" s="62" t="n"/>
      <c r="AK67" s="62" t="n"/>
      <c r="AL67" s="62" t="n"/>
      <c r="AM67" s="62" t="n"/>
      <c r="AN67" s="62" t="n"/>
      <c r="AO67" s="62" t="n"/>
      <c r="AP67" s="62" t="n"/>
      <c r="AQ67" s="62" t="n"/>
      <c r="AR67" s="62" t="n"/>
      <c r="AS67" s="62" t="n"/>
      <c r="AT67" s="62" t="n"/>
      <c r="AU67" s="62" t="n"/>
      <c r="AV67" s="62" t="n"/>
      <c r="AW67" s="62" t="n"/>
      <c r="AX67" s="62" t="n"/>
      <c r="AY67" s="62" t="n"/>
    </row>
    <row r="68">
      <c r="A68" s="38">
        <f>IF(D68="","",COUNTA($D$40:D68))</f>
        <v/>
      </c>
      <c r="B68" s="52" t="n"/>
      <c r="C68" s="65" t="inlineStr">
        <is>
          <t>마케팅2팀</t>
        </is>
      </c>
      <c r="D68" s="52" t="n"/>
      <c r="E68" s="54" t="n"/>
      <c r="F68" s="52" t="n"/>
      <c r="G68" s="55" t="n"/>
      <c r="H68" s="54" t="n"/>
      <c r="I68" s="54" t="n"/>
      <c r="J68" s="54" t="n"/>
      <c r="K68" s="56">
        <f>IF(SUM(U68:AY68)=0,"",SUM(U68:AY68))</f>
        <v/>
      </c>
      <c r="L68" s="57">
        <f>IFERROR(INDEX(U$2:AY$2,MATCH(TRUE,U68:AY68&lt;&gt;"",0)),"")</f>
        <v/>
      </c>
      <c r="M68" s="58">
        <f>IFERROR(LOOKUP(2,1/(U68:AY68&lt;&gt;""),U$2:AY$2),"")</f>
        <v/>
      </c>
      <c r="N68" s="59">
        <f>IF(OR(G68="",M68=""),"",G68-M68)</f>
        <v/>
      </c>
      <c r="O68" s="60" t="n"/>
      <c r="P68" s="61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  <c r="AG68" s="62" t="n"/>
      <c r="AH68" s="62" t="n"/>
      <c r="AI68" s="62" t="n"/>
      <c r="AJ68" s="62" t="n"/>
      <c r="AK68" s="62" t="n"/>
      <c r="AL68" s="62" t="n"/>
      <c r="AM68" s="62" t="n"/>
      <c r="AN68" s="62" t="n"/>
      <c r="AO68" s="62" t="n"/>
      <c r="AP68" s="62" t="n"/>
      <c r="AQ68" s="62" t="n"/>
      <c r="AR68" s="62" t="n"/>
      <c r="AS68" s="62" t="n"/>
      <c r="AT68" s="62" t="n"/>
      <c r="AU68" s="62" t="n"/>
      <c r="AV68" s="62" t="n"/>
      <c r="AW68" s="62" t="n"/>
      <c r="AX68" s="62" t="n"/>
      <c r="AY68" s="62" t="n"/>
    </row>
    <row r="69">
      <c r="A69" s="38">
        <f>IF(D69="","",COUNTA($D$40:D69))</f>
        <v/>
      </c>
      <c r="B69" s="52" t="n"/>
      <c r="C69" s="65" t="inlineStr">
        <is>
          <t>마케팅2팀</t>
        </is>
      </c>
      <c r="D69" s="52" t="n"/>
      <c r="E69" s="54" t="n"/>
      <c r="F69" s="52" t="n"/>
      <c r="G69" s="55" t="n"/>
      <c r="H69" s="54" t="n"/>
      <c r="I69" s="54" t="n"/>
      <c r="J69" s="54" t="n"/>
      <c r="K69" s="56">
        <f>IF(SUM(U69:AY69)=0,"",SUM(U69:AY69))</f>
        <v/>
      </c>
      <c r="L69" s="57">
        <f>IFERROR(INDEX(U$2:AY$2,MATCH(TRUE,U69:AY69&lt;&gt;"",0)),"")</f>
        <v/>
      </c>
      <c r="M69" s="58">
        <f>IFERROR(LOOKUP(2,1/(U69:AY69&lt;&gt;""),U$2:AY$2),"")</f>
        <v/>
      </c>
      <c r="N69" s="59">
        <f>IF(OR(G69="",M69=""),"",G69-M69)</f>
        <v/>
      </c>
      <c r="O69" s="60" t="n"/>
      <c r="P69" s="61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  <c r="AG69" s="62" t="n"/>
      <c r="AH69" s="62" t="n"/>
      <c r="AI69" s="62" t="n"/>
      <c r="AJ69" s="62" t="n"/>
      <c r="AK69" s="62" t="n"/>
      <c r="AL69" s="62" t="n"/>
      <c r="AM69" s="62" t="n"/>
      <c r="AN69" s="62" t="n"/>
      <c r="AO69" s="62" t="n"/>
      <c r="AP69" s="62" t="n"/>
      <c r="AQ69" s="62" t="n"/>
      <c r="AR69" s="62" t="n"/>
      <c r="AS69" s="62" t="n"/>
      <c r="AT69" s="62" t="n"/>
      <c r="AU69" s="62" t="n"/>
      <c r="AV69" s="62" t="n"/>
      <c r="AW69" s="62" t="n"/>
      <c r="AX69" s="62" t="n"/>
      <c r="AY69" s="62" t="n"/>
    </row>
    <row r="70">
      <c r="A70" s="66" t="inlineStr">
        <is>
          <t>마케팅3팀  (71~100행)</t>
        </is>
      </c>
      <c r="U70" s="67" t="n"/>
      <c r="V70" s="67" t="n"/>
      <c r="W70" s="67" t="n"/>
      <c r="X70" s="67" t="n"/>
      <c r="Y70" s="67" t="n"/>
      <c r="Z70" s="67" t="n"/>
      <c r="AA70" s="67" t="n"/>
      <c r="AB70" s="67" t="n"/>
      <c r="AC70" s="67" t="n"/>
      <c r="AD70" s="67" t="n"/>
      <c r="AE70" s="67" t="n"/>
      <c r="AF70" s="67" t="n"/>
      <c r="AG70" s="67" t="n"/>
      <c r="AH70" s="67" t="n"/>
      <c r="AI70" s="67" t="n"/>
      <c r="AJ70" s="67" t="n"/>
      <c r="AK70" s="67" t="n"/>
      <c r="AL70" s="67" t="n"/>
      <c r="AM70" s="67" t="n"/>
      <c r="AN70" s="67" t="n"/>
      <c r="AO70" s="67" t="n"/>
      <c r="AP70" s="67" t="n"/>
      <c r="AQ70" s="67" t="n"/>
      <c r="AR70" s="67" t="n"/>
      <c r="AS70" s="67" t="n"/>
      <c r="AT70" s="67" t="n"/>
      <c r="AU70" s="67" t="n"/>
      <c r="AV70" s="67" t="n"/>
      <c r="AW70" s="67" t="n"/>
      <c r="AX70" s="67" t="n"/>
      <c r="AY70" s="67" t="n"/>
    </row>
    <row r="71">
      <c r="A71" s="38">
        <f>IF(D71="","",COUNTA($D$71:D71))</f>
        <v/>
      </c>
      <c r="B71" s="52" t="n"/>
      <c r="C71" s="68" t="inlineStr">
        <is>
          <t>마케팅3팀</t>
        </is>
      </c>
      <c r="D71" s="52" t="n"/>
      <c r="E71" s="54" t="n"/>
      <c r="F71" s="52" t="n"/>
      <c r="G71" s="55" t="n"/>
      <c r="H71" s="54" t="n"/>
      <c r="I71" s="54" t="n"/>
      <c r="J71" s="54" t="n"/>
      <c r="K71" s="56">
        <f>IF(SUM(U71:AY71)=0,"",SUM(U71:AY71))</f>
        <v/>
      </c>
      <c r="L71" s="57">
        <f>IFERROR(INDEX(U$2:AY$2,MATCH(TRUE,U71:AY71&lt;&gt;"",0)),"")</f>
        <v/>
      </c>
      <c r="M71" s="58">
        <f>IFERROR(LOOKUP(2,1/(U71:AY71&lt;&gt;""),U$2:AY$2),"")</f>
        <v/>
      </c>
      <c r="N71" s="59">
        <f>IF(OR(G71="",M71=""),"",G71-M71)</f>
        <v/>
      </c>
      <c r="O71" s="60" t="n"/>
      <c r="P71" s="61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  <c r="AG71" s="62" t="n"/>
      <c r="AH71" s="62" t="n"/>
      <c r="AI71" s="62" t="n"/>
      <c r="AJ71" s="62" t="n"/>
      <c r="AK71" s="62" t="n"/>
      <c r="AL71" s="62" t="n"/>
      <c r="AM71" s="62" t="n"/>
      <c r="AN71" s="62" t="n"/>
      <c r="AO71" s="62" t="n"/>
      <c r="AP71" s="62" t="n"/>
      <c r="AQ71" s="62" t="n"/>
      <c r="AR71" s="62" t="n"/>
      <c r="AS71" s="62" t="n"/>
      <c r="AT71" s="62" t="n"/>
      <c r="AU71" s="62" t="n"/>
      <c r="AV71" s="62" t="n"/>
      <c r="AW71" s="62" t="n"/>
      <c r="AX71" s="62" t="n"/>
      <c r="AY71" s="62" t="n"/>
    </row>
    <row r="72">
      <c r="A72" s="38">
        <f>IF(D72="","",COUNTA($D$71:D72))</f>
        <v/>
      </c>
      <c r="B72" s="52" t="n"/>
      <c r="C72" s="68" t="inlineStr">
        <is>
          <t>마케팅3팀</t>
        </is>
      </c>
      <c r="D72" s="52" t="n"/>
      <c r="E72" s="54" t="n"/>
      <c r="F72" s="52" t="n"/>
      <c r="G72" s="55" t="n"/>
      <c r="H72" s="54" t="n"/>
      <c r="I72" s="54" t="n"/>
      <c r="J72" s="54" t="n"/>
      <c r="K72" s="56">
        <f>IF(SUM(U72:AY72)=0,"",SUM(U72:AY72))</f>
        <v/>
      </c>
      <c r="L72" s="57">
        <f>IFERROR(INDEX(U$2:AY$2,MATCH(TRUE,U72:AY72&lt;&gt;"",0)),"")</f>
        <v/>
      </c>
      <c r="M72" s="58">
        <f>IFERROR(LOOKUP(2,1/(U72:AY72&lt;&gt;""),U$2:AY$2),"")</f>
        <v/>
      </c>
      <c r="N72" s="59">
        <f>IF(OR(G72="",M72=""),"",G72-M72)</f>
        <v/>
      </c>
      <c r="O72" s="60" t="n"/>
      <c r="P72" s="61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  <c r="AG72" s="62" t="n"/>
      <c r="AH72" s="62" t="n"/>
      <c r="AI72" s="62" t="n"/>
      <c r="AJ72" s="62" t="n"/>
      <c r="AK72" s="62" t="n"/>
      <c r="AL72" s="62" t="n"/>
      <c r="AM72" s="62" t="n"/>
      <c r="AN72" s="62" t="n"/>
      <c r="AO72" s="62" t="n"/>
      <c r="AP72" s="62" t="n"/>
      <c r="AQ72" s="62" t="n"/>
      <c r="AR72" s="62" t="n"/>
      <c r="AS72" s="62" t="n"/>
      <c r="AT72" s="62" t="n"/>
      <c r="AU72" s="62" t="n"/>
      <c r="AV72" s="62" t="n"/>
      <c r="AW72" s="62" t="n"/>
      <c r="AX72" s="62" t="n"/>
      <c r="AY72" s="62" t="n"/>
    </row>
    <row r="73">
      <c r="A73" s="38">
        <f>IF(D73="","",COUNTA($D$71:D73))</f>
        <v/>
      </c>
      <c r="B73" s="52" t="n"/>
      <c r="C73" s="68" t="inlineStr">
        <is>
          <t>마케팅3팀</t>
        </is>
      </c>
      <c r="D73" s="52" t="n"/>
      <c r="E73" s="54" t="n"/>
      <c r="F73" s="52" t="n"/>
      <c r="G73" s="55" t="n"/>
      <c r="H73" s="54" t="n"/>
      <c r="I73" s="54" t="n"/>
      <c r="J73" s="54" t="n"/>
      <c r="K73" s="56">
        <f>IF(SUM(U73:AY73)=0,"",SUM(U73:AY73))</f>
        <v/>
      </c>
      <c r="L73" s="57">
        <f>IFERROR(INDEX(U$2:AY$2,MATCH(TRUE,U73:AY73&lt;&gt;"",0)),"")</f>
        <v/>
      </c>
      <c r="M73" s="58">
        <f>IFERROR(LOOKUP(2,1/(U73:AY73&lt;&gt;""),U$2:AY$2),"")</f>
        <v/>
      </c>
      <c r="N73" s="59">
        <f>IF(OR(G73="",M73=""),"",G73-M73)</f>
        <v/>
      </c>
      <c r="O73" s="60" t="n"/>
      <c r="P73" s="61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  <c r="AG73" s="62" t="n"/>
      <c r="AH73" s="62" t="n"/>
      <c r="AI73" s="62" t="n"/>
      <c r="AJ73" s="62" t="n"/>
      <c r="AK73" s="62" t="n"/>
      <c r="AL73" s="62" t="n"/>
      <c r="AM73" s="62" t="n"/>
      <c r="AN73" s="62" t="n"/>
      <c r="AO73" s="62" t="n"/>
      <c r="AP73" s="62" t="n"/>
      <c r="AQ73" s="62" t="n"/>
      <c r="AR73" s="62" t="n"/>
      <c r="AS73" s="62" t="n"/>
      <c r="AT73" s="62" t="n"/>
      <c r="AU73" s="62" t="n"/>
      <c r="AV73" s="62" t="n"/>
      <c r="AW73" s="62" t="n"/>
      <c r="AX73" s="62" t="n"/>
      <c r="AY73" s="62" t="n"/>
    </row>
    <row r="74">
      <c r="A74" s="38">
        <f>IF(D74="","",COUNTA($D$71:D74))</f>
        <v/>
      </c>
      <c r="B74" s="52" t="n"/>
      <c r="C74" s="68" t="inlineStr">
        <is>
          <t>마케팅3팀</t>
        </is>
      </c>
      <c r="D74" s="52" t="n"/>
      <c r="E74" s="54" t="n"/>
      <c r="F74" s="52" t="n"/>
      <c r="G74" s="55" t="n"/>
      <c r="H74" s="54" t="n"/>
      <c r="I74" s="54" t="n"/>
      <c r="J74" s="54" t="n"/>
      <c r="K74" s="56">
        <f>IF(SUM(U74:AY74)=0,"",SUM(U74:AY74))</f>
        <v/>
      </c>
      <c r="L74" s="57">
        <f>IFERROR(INDEX(U$2:AY$2,MATCH(TRUE,U74:AY74&lt;&gt;"",0)),"")</f>
        <v/>
      </c>
      <c r="M74" s="58">
        <f>IFERROR(LOOKUP(2,1/(U74:AY74&lt;&gt;""),U$2:AY$2),"")</f>
        <v/>
      </c>
      <c r="N74" s="59">
        <f>IF(OR(G74="",M74=""),"",G74-M74)</f>
        <v/>
      </c>
      <c r="O74" s="60" t="n"/>
      <c r="P74" s="61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  <c r="AG74" s="62" t="n"/>
      <c r="AH74" s="62" t="n"/>
      <c r="AI74" s="62" t="n"/>
      <c r="AJ74" s="62" t="n"/>
      <c r="AK74" s="62" t="n"/>
      <c r="AL74" s="62" t="n"/>
      <c r="AM74" s="62" t="n"/>
      <c r="AN74" s="62" t="n"/>
      <c r="AO74" s="62" t="n"/>
      <c r="AP74" s="62" t="n"/>
      <c r="AQ74" s="62" t="n"/>
      <c r="AR74" s="62" t="n"/>
      <c r="AS74" s="62" t="n"/>
      <c r="AT74" s="62" t="n"/>
      <c r="AU74" s="62" t="n"/>
      <c r="AV74" s="62" t="n"/>
      <c r="AW74" s="62" t="n"/>
      <c r="AX74" s="62" t="n"/>
      <c r="AY74" s="62" t="n"/>
    </row>
    <row r="75">
      <c r="A75" s="38">
        <f>IF(D75="","",COUNTA($D$71:D75))</f>
        <v/>
      </c>
      <c r="B75" s="52" t="n"/>
      <c r="C75" s="68" t="inlineStr">
        <is>
          <t>마케팅3팀</t>
        </is>
      </c>
      <c r="D75" s="52" t="n"/>
      <c r="E75" s="54" t="n"/>
      <c r="F75" s="52" t="n"/>
      <c r="G75" s="55" t="n"/>
      <c r="H75" s="54" t="n"/>
      <c r="I75" s="54" t="n"/>
      <c r="J75" s="54" t="n"/>
      <c r="K75" s="56">
        <f>IF(SUM(U75:AY75)=0,"",SUM(U75:AY75))</f>
        <v/>
      </c>
      <c r="L75" s="57">
        <f>IFERROR(INDEX(U$2:AY$2,MATCH(TRUE,U75:AY75&lt;&gt;"",0)),"")</f>
        <v/>
      </c>
      <c r="M75" s="58">
        <f>IFERROR(LOOKUP(2,1/(U75:AY75&lt;&gt;""),U$2:AY$2),"")</f>
        <v/>
      </c>
      <c r="N75" s="59">
        <f>IF(OR(G75="",M75=""),"",G75-M75)</f>
        <v/>
      </c>
      <c r="O75" s="60" t="n"/>
      <c r="P75" s="61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  <c r="AG75" s="62" t="n"/>
      <c r="AH75" s="62" t="n"/>
      <c r="AI75" s="62" t="n"/>
      <c r="AJ75" s="62" t="n"/>
      <c r="AK75" s="62" t="n"/>
      <c r="AL75" s="62" t="n"/>
      <c r="AM75" s="62" t="n"/>
      <c r="AN75" s="62" t="n"/>
      <c r="AO75" s="62" t="n"/>
      <c r="AP75" s="62" t="n"/>
      <c r="AQ75" s="62" t="n"/>
      <c r="AR75" s="62" t="n"/>
      <c r="AS75" s="62" t="n"/>
      <c r="AT75" s="62" t="n"/>
      <c r="AU75" s="62" t="n"/>
      <c r="AV75" s="62" t="n"/>
      <c r="AW75" s="62" t="n"/>
      <c r="AX75" s="62" t="n"/>
      <c r="AY75" s="62" t="n"/>
    </row>
    <row r="76">
      <c r="A76" s="38">
        <f>IF(D76="","",COUNTA($D$71:D76))</f>
        <v/>
      </c>
      <c r="B76" s="52" t="n"/>
      <c r="C76" s="68" t="inlineStr">
        <is>
          <t>마케팅3팀</t>
        </is>
      </c>
      <c r="D76" s="52" t="n"/>
      <c r="E76" s="54" t="n"/>
      <c r="F76" s="52" t="n"/>
      <c r="G76" s="55" t="n"/>
      <c r="H76" s="54" t="n"/>
      <c r="I76" s="54" t="n"/>
      <c r="J76" s="54" t="n"/>
      <c r="K76" s="56">
        <f>IF(SUM(U76:AY76)=0,"",SUM(U76:AY76))</f>
        <v/>
      </c>
      <c r="L76" s="57">
        <f>IFERROR(INDEX(U$2:AY$2,MATCH(TRUE,U76:AY76&lt;&gt;"",0)),"")</f>
        <v/>
      </c>
      <c r="M76" s="58">
        <f>IFERROR(LOOKUP(2,1/(U76:AY76&lt;&gt;""),U$2:AY$2),"")</f>
        <v/>
      </c>
      <c r="N76" s="59">
        <f>IF(OR(G76="",M76=""),"",G76-M76)</f>
        <v/>
      </c>
      <c r="O76" s="60" t="n"/>
      <c r="P76" s="61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  <c r="AG76" s="62" t="n"/>
      <c r="AH76" s="62" t="n"/>
      <c r="AI76" s="62" t="n"/>
      <c r="AJ76" s="62" t="n"/>
      <c r="AK76" s="62" t="n"/>
      <c r="AL76" s="62" t="n"/>
      <c r="AM76" s="62" t="n"/>
      <c r="AN76" s="62" t="n"/>
      <c r="AO76" s="62" t="n"/>
      <c r="AP76" s="62" t="n"/>
      <c r="AQ76" s="62" t="n"/>
      <c r="AR76" s="62" t="n"/>
      <c r="AS76" s="62" t="n"/>
      <c r="AT76" s="62" t="n"/>
      <c r="AU76" s="62" t="n"/>
      <c r="AV76" s="62" t="n"/>
      <c r="AW76" s="62" t="n"/>
      <c r="AX76" s="62" t="n"/>
      <c r="AY76" s="62" t="n"/>
    </row>
    <row r="77">
      <c r="A77" s="38">
        <f>IF(D77="","",COUNTA($D$71:D77))</f>
        <v/>
      </c>
      <c r="B77" s="52" t="n"/>
      <c r="C77" s="68" t="inlineStr">
        <is>
          <t>마케팅3팀</t>
        </is>
      </c>
      <c r="D77" s="52" t="n"/>
      <c r="E77" s="54" t="n"/>
      <c r="F77" s="52" t="n"/>
      <c r="G77" s="55" t="n"/>
      <c r="H77" s="54" t="n"/>
      <c r="I77" s="54" t="n"/>
      <c r="J77" s="54" t="n"/>
      <c r="K77" s="56">
        <f>IF(SUM(U77:AY77)=0,"",SUM(U77:AY77))</f>
        <v/>
      </c>
      <c r="L77" s="57">
        <f>IFERROR(INDEX(U$2:AY$2,MATCH(TRUE,U77:AY77&lt;&gt;"",0)),"")</f>
        <v/>
      </c>
      <c r="M77" s="58">
        <f>IFERROR(LOOKUP(2,1/(U77:AY77&lt;&gt;""),U$2:AY$2),"")</f>
        <v/>
      </c>
      <c r="N77" s="59">
        <f>IF(OR(G77="",M77=""),"",G77-M77)</f>
        <v/>
      </c>
      <c r="O77" s="60" t="n"/>
      <c r="P77" s="61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  <c r="AG77" s="62" t="n"/>
      <c r="AH77" s="62" t="n"/>
      <c r="AI77" s="62" t="n"/>
      <c r="AJ77" s="62" t="n"/>
      <c r="AK77" s="62" t="n"/>
      <c r="AL77" s="62" t="n"/>
      <c r="AM77" s="62" t="n"/>
      <c r="AN77" s="62" t="n"/>
      <c r="AO77" s="62" t="n"/>
      <c r="AP77" s="62" t="n"/>
      <c r="AQ77" s="62" t="n"/>
      <c r="AR77" s="62" t="n"/>
      <c r="AS77" s="62" t="n"/>
      <c r="AT77" s="62" t="n"/>
      <c r="AU77" s="62" t="n"/>
      <c r="AV77" s="62" t="n"/>
      <c r="AW77" s="62" t="n"/>
      <c r="AX77" s="62" t="n"/>
      <c r="AY77" s="62" t="n"/>
    </row>
    <row r="78">
      <c r="A78" s="38">
        <f>IF(D78="","",COUNTA($D$71:D78))</f>
        <v/>
      </c>
      <c r="B78" s="52" t="n"/>
      <c r="C78" s="68" t="inlineStr">
        <is>
          <t>마케팅3팀</t>
        </is>
      </c>
      <c r="D78" s="52" t="n"/>
      <c r="E78" s="54" t="n"/>
      <c r="F78" s="52" t="n"/>
      <c r="G78" s="55" t="n"/>
      <c r="H78" s="54" t="n"/>
      <c r="I78" s="54" t="n"/>
      <c r="J78" s="54" t="n"/>
      <c r="K78" s="56">
        <f>IF(SUM(U78:AY78)=0,"",SUM(U78:AY78))</f>
        <v/>
      </c>
      <c r="L78" s="57">
        <f>IFERROR(INDEX(U$2:AY$2,MATCH(TRUE,U78:AY78&lt;&gt;"",0)),"")</f>
        <v/>
      </c>
      <c r="M78" s="58">
        <f>IFERROR(LOOKUP(2,1/(U78:AY78&lt;&gt;""),U$2:AY$2),"")</f>
        <v/>
      </c>
      <c r="N78" s="59">
        <f>IF(OR(G78="",M78=""),"",G78-M78)</f>
        <v/>
      </c>
      <c r="O78" s="60" t="n"/>
      <c r="P78" s="61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  <c r="AG78" s="62" t="n"/>
      <c r="AH78" s="62" t="n"/>
      <c r="AI78" s="62" t="n"/>
      <c r="AJ78" s="62" t="n"/>
      <c r="AK78" s="62" t="n"/>
      <c r="AL78" s="62" t="n"/>
      <c r="AM78" s="62" t="n"/>
      <c r="AN78" s="62" t="n"/>
      <c r="AO78" s="62" t="n"/>
      <c r="AP78" s="62" t="n"/>
      <c r="AQ78" s="62" t="n"/>
      <c r="AR78" s="62" t="n"/>
      <c r="AS78" s="62" t="n"/>
      <c r="AT78" s="62" t="n"/>
      <c r="AU78" s="62" t="n"/>
      <c r="AV78" s="62" t="n"/>
      <c r="AW78" s="62" t="n"/>
      <c r="AX78" s="62" t="n"/>
      <c r="AY78" s="62" t="n"/>
    </row>
    <row r="79">
      <c r="A79" s="38">
        <f>IF(D79="","",COUNTA($D$71:D79))</f>
        <v/>
      </c>
      <c r="B79" s="52" t="n"/>
      <c r="C79" s="68" t="inlineStr">
        <is>
          <t>마케팅3팀</t>
        </is>
      </c>
      <c r="D79" s="52" t="n"/>
      <c r="E79" s="54" t="n"/>
      <c r="F79" s="52" t="n"/>
      <c r="G79" s="55" t="n"/>
      <c r="H79" s="54" t="n"/>
      <c r="I79" s="54" t="n"/>
      <c r="J79" s="54" t="n"/>
      <c r="K79" s="56">
        <f>IF(SUM(U79:AY79)=0,"",SUM(U79:AY79))</f>
        <v/>
      </c>
      <c r="L79" s="57">
        <f>IFERROR(INDEX(U$2:AY$2,MATCH(TRUE,U79:AY79&lt;&gt;"",0)),"")</f>
        <v/>
      </c>
      <c r="M79" s="58">
        <f>IFERROR(LOOKUP(2,1/(U79:AY79&lt;&gt;""),U$2:AY$2),"")</f>
        <v/>
      </c>
      <c r="N79" s="59">
        <f>IF(OR(G79="",M79=""),"",G79-M79)</f>
        <v/>
      </c>
      <c r="O79" s="60" t="n"/>
      <c r="P79" s="61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  <c r="AG79" s="62" t="n"/>
      <c r="AH79" s="62" t="n"/>
      <c r="AI79" s="62" t="n"/>
      <c r="AJ79" s="62" t="n"/>
      <c r="AK79" s="62" t="n"/>
      <c r="AL79" s="62" t="n"/>
      <c r="AM79" s="62" t="n"/>
      <c r="AN79" s="62" t="n"/>
      <c r="AO79" s="62" t="n"/>
      <c r="AP79" s="62" t="n"/>
      <c r="AQ79" s="62" t="n"/>
      <c r="AR79" s="62" t="n"/>
      <c r="AS79" s="62" t="n"/>
      <c r="AT79" s="62" t="n"/>
      <c r="AU79" s="62" t="n"/>
      <c r="AV79" s="62" t="n"/>
      <c r="AW79" s="62" t="n"/>
      <c r="AX79" s="62" t="n"/>
      <c r="AY79" s="62" t="n"/>
    </row>
    <row r="80">
      <c r="A80" s="38">
        <f>IF(D80="","",COUNTA($D$71:D80))</f>
        <v/>
      </c>
      <c r="B80" s="52" t="n"/>
      <c r="C80" s="68" t="inlineStr">
        <is>
          <t>마케팅3팀</t>
        </is>
      </c>
      <c r="D80" s="52" t="n"/>
      <c r="E80" s="54" t="n"/>
      <c r="F80" s="52" t="n"/>
      <c r="G80" s="55" t="n"/>
      <c r="H80" s="54" t="n"/>
      <c r="I80" s="54" t="n"/>
      <c r="J80" s="54" t="n"/>
      <c r="K80" s="56">
        <f>IF(SUM(U80:AY80)=0,"",SUM(U80:AY80))</f>
        <v/>
      </c>
      <c r="L80" s="57">
        <f>IFERROR(INDEX(U$2:AY$2,MATCH(TRUE,U80:AY80&lt;&gt;"",0)),"")</f>
        <v/>
      </c>
      <c r="M80" s="58">
        <f>IFERROR(LOOKUP(2,1/(U80:AY80&lt;&gt;""),U$2:AY$2),"")</f>
        <v/>
      </c>
      <c r="N80" s="59">
        <f>IF(OR(G80="",M80=""),"",G80-M80)</f>
        <v/>
      </c>
      <c r="O80" s="60" t="n"/>
      <c r="P80" s="61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  <c r="AG80" s="62" t="n"/>
      <c r="AH80" s="62" t="n"/>
      <c r="AI80" s="62" t="n"/>
      <c r="AJ80" s="62" t="n"/>
      <c r="AK80" s="62" t="n"/>
      <c r="AL80" s="62" t="n"/>
      <c r="AM80" s="62" t="n"/>
      <c r="AN80" s="62" t="n"/>
      <c r="AO80" s="62" t="n"/>
      <c r="AP80" s="62" t="n"/>
      <c r="AQ80" s="62" t="n"/>
      <c r="AR80" s="62" t="n"/>
      <c r="AS80" s="62" t="n"/>
      <c r="AT80" s="62" t="n"/>
      <c r="AU80" s="62" t="n"/>
      <c r="AV80" s="62" t="n"/>
      <c r="AW80" s="62" t="n"/>
      <c r="AX80" s="62" t="n"/>
      <c r="AY80" s="62" t="n"/>
    </row>
    <row r="81">
      <c r="A81" s="38">
        <f>IF(D81="","",COUNTA($D$71:D81))</f>
        <v/>
      </c>
      <c r="B81" s="52" t="n"/>
      <c r="C81" s="68" t="inlineStr">
        <is>
          <t>마케팅3팀</t>
        </is>
      </c>
      <c r="D81" s="52" t="n"/>
      <c r="E81" s="54" t="n"/>
      <c r="F81" s="52" t="n"/>
      <c r="G81" s="55" t="n"/>
      <c r="H81" s="54" t="n"/>
      <c r="I81" s="54" t="n"/>
      <c r="J81" s="54" t="n"/>
      <c r="K81" s="56">
        <f>IF(SUM(U81:AY81)=0,"",SUM(U81:AY81))</f>
        <v/>
      </c>
      <c r="L81" s="57">
        <f>IFERROR(INDEX(U$2:AY$2,MATCH(TRUE,U81:AY81&lt;&gt;"",0)),"")</f>
        <v/>
      </c>
      <c r="M81" s="58">
        <f>IFERROR(LOOKUP(2,1/(U81:AY81&lt;&gt;""),U$2:AY$2),"")</f>
        <v/>
      </c>
      <c r="N81" s="59">
        <f>IF(OR(G81="",M81=""),"",G81-M81)</f>
        <v/>
      </c>
      <c r="O81" s="60" t="n"/>
      <c r="P81" s="61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  <c r="AG81" s="62" t="n"/>
      <c r="AH81" s="62" t="n"/>
      <c r="AI81" s="62" t="n"/>
      <c r="AJ81" s="62" t="n"/>
      <c r="AK81" s="62" t="n"/>
      <c r="AL81" s="62" t="n"/>
      <c r="AM81" s="62" t="n"/>
      <c r="AN81" s="62" t="n"/>
      <c r="AO81" s="62" t="n"/>
      <c r="AP81" s="62" t="n"/>
      <c r="AQ81" s="62" t="n"/>
      <c r="AR81" s="62" t="n"/>
      <c r="AS81" s="62" t="n"/>
      <c r="AT81" s="62" t="n"/>
      <c r="AU81" s="62" t="n"/>
      <c r="AV81" s="62" t="n"/>
      <c r="AW81" s="62" t="n"/>
      <c r="AX81" s="62" t="n"/>
      <c r="AY81" s="62" t="n"/>
    </row>
    <row r="82">
      <c r="A82" s="38">
        <f>IF(D82="","",COUNTA($D$71:D82))</f>
        <v/>
      </c>
      <c r="B82" s="52" t="n"/>
      <c r="C82" s="68" t="inlineStr">
        <is>
          <t>마케팅3팀</t>
        </is>
      </c>
      <c r="D82" s="52" t="n"/>
      <c r="E82" s="54" t="n"/>
      <c r="F82" s="52" t="n"/>
      <c r="G82" s="55" t="n"/>
      <c r="H82" s="54" t="n"/>
      <c r="I82" s="54" t="n"/>
      <c r="J82" s="54" t="n"/>
      <c r="K82" s="56">
        <f>IF(SUM(U82:AY82)=0,"",SUM(U82:AY82))</f>
        <v/>
      </c>
      <c r="L82" s="57">
        <f>IFERROR(INDEX(U$2:AY$2,MATCH(TRUE,U82:AY82&lt;&gt;"",0)),"")</f>
        <v/>
      </c>
      <c r="M82" s="58">
        <f>IFERROR(LOOKUP(2,1/(U82:AY82&lt;&gt;""),U$2:AY$2),"")</f>
        <v/>
      </c>
      <c r="N82" s="59">
        <f>IF(OR(G82="",M82=""),"",G82-M82)</f>
        <v/>
      </c>
      <c r="O82" s="60" t="n"/>
      <c r="P82" s="61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  <c r="AG82" s="62" t="n"/>
      <c r="AH82" s="62" t="n"/>
      <c r="AI82" s="62" t="n"/>
      <c r="AJ82" s="62" t="n"/>
      <c r="AK82" s="62" t="n"/>
      <c r="AL82" s="62" t="n"/>
      <c r="AM82" s="62" t="n"/>
      <c r="AN82" s="62" t="n"/>
      <c r="AO82" s="62" t="n"/>
      <c r="AP82" s="62" t="n"/>
      <c r="AQ82" s="62" t="n"/>
      <c r="AR82" s="62" t="n"/>
      <c r="AS82" s="62" t="n"/>
      <c r="AT82" s="62" t="n"/>
      <c r="AU82" s="62" t="n"/>
      <c r="AV82" s="62" t="n"/>
      <c r="AW82" s="62" t="n"/>
      <c r="AX82" s="62" t="n"/>
      <c r="AY82" s="62" t="n"/>
    </row>
    <row r="83">
      <c r="A83" s="38">
        <f>IF(D83="","",COUNTA($D$71:D83))</f>
        <v/>
      </c>
      <c r="B83" s="52" t="n"/>
      <c r="C83" s="68" t="inlineStr">
        <is>
          <t>마케팅3팀</t>
        </is>
      </c>
      <c r="D83" s="52" t="n"/>
      <c r="E83" s="54" t="n"/>
      <c r="F83" s="52" t="n"/>
      <c r="G83" s="55" t="n"/>
      <c r="H83" s="54" t="n"/>
      <c r="I83" s="54" t="n"/>
      <c r="J83" s="54" t="n"/>
      <c r="K83" s="56">
        <f>IF(SUM(U83:AY83)=0,"",SUM(U83:AY83))</f>
        <v/>
      </c>
      <c r="L83" s="57">
        <f>IFERROR(INDEX(U$2:AY$2,MATCH(TRUE,U83:AY83&lt;&gt;"",0)),"")</f>
        <v/>
      </c>
      <c r="M83" s="58">
        <f>IFERROR(LOOKUP(2,1/(U83:AY83&lt;&gt;""),U$2:AY$2),"")</f>
        <v/>
      </c>
      <c r="N83" s="59">
        <f>IF(OR(G83="",M83=""),"",G83-M83)</f>
        <v/>
      </c>
      <c r="O83" s="60" t="n"/>
      <c r="P83" s="61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  <c r="AG83" s="62" t="n"/>
      <c r="AH83" s="62" t="n"/>
      <c r="AI83" s="62" t="n"/>
      <c r="AJ83" s="62" t="n"/>
      <c r="AK83" s="62" t="n"/>
      <c r="AL83" s="62" t="n"/>
      <c r="AM83" s="62" t="n"/>
      <c r="AN83" s="62" t="n"/>
      <c r="AO83" s="62" t="n"/>
      <c r="AP83" s="62" t="n"/>
      <c r="AQ83" s="62" t="n"/>
      <c r="AR83" s="62" t="n"/>
      <c r="AS83" s="62" t="n"/>
      <c r="AT83" s="62" t="n"/>
      <c r="AU83" s="62" t="n"/>
      <c r="AV83" s="62" t="n"/>
      <c r="AW83" s="62" t="n"/>
      <c r="AX83" s="62" t="n"/>
      <c r="AY83" s="62" t="n"/>
    </row>
    <row r="84">
      <c r="A84" s="38">
        <f>IF(D84="","",COUNTA($D$71:D84))</f>
        <v/>
      </c>
      <c r="B84" s="52" t="n"/>
      <c r="C84" s="68" t="inlineStr">
        <is>
          <t>마케팅3팀</t>
        </is>
      </c>
      <c r="D84" s="52" t="n"/>
      <c r="E84" s="54" t="n"/>
      <c r="F84" s="52" t="n"/>
      <c r="G84" s="55" t="n"/>
      <c r="H84" s="54" t="n"/>
      <c r="I84" s="54" t="n"/>
      <c r="J84" s="54" t="n"/>
      <c r="K84" s="56">
        <f>IF(SUM(U84:AY84)=0,"",SUM(U84:AY84))</f>
        <v/>
      </c>
      <c r="L84" s="57">
        <f>IFERROR(INDEX(U$2:AY$2,MATCH(TRUE,U84:AY84&lt;&gt;"",0)),"")</f>
        <v/>
      </c>
      <c r="M84" s="58">
        <f>IFERROR(LOOKUP(2,1/(U84:AY84&lt;&gt;""),U$2:AY$2),"")</f>
        <v/>
      </c>
      <c r="N84" s="59">
        <f>IF(OR(G84="",M84=""),"",G84-M84)</f>
        <v/>
      </c>
      <c r="O84" s="60" t="n"/>
      <c r="P84" s="61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  <c r="AG84" s="62" t="n"/>
      <c r="AH84" s="62" t="n"/>
      <c r="AI84" s="62" t="n"/>
      <c r="AJ84" s="62" t="n"/>
      <c r="AK84" s="62" t="n"/>
      <c r="AL84" s="62" t="n"/>
      <c r="AM84" s="62" t="n"/>
      <c r="AN84" s="62" t="n"/>
      <c r="AO84" s="62" t="n"/>
      <c r="AP84" s="62" t="n"/>
      <c r="AQ84" s="62" t="n"/>
      <c r="AR84" s="62" t="n"/>
      <c r="AS84" s="62" t="n"/>
      <c r="AT84" s="62" t="n"/>
      <c r="AU84" s="62" t="n"/>
      <c r="AV84" s="62" t="n"/>
      <c r="AW84" s="62" t="n"/>
      <c r="AX84" s="62" t="n"/>
      <c r="AY84" s="62" t="n"/>
    </row>
    <row r="85">
      <c r="A85" s="38">
        <f>IF(D85="","",COUNTA($D$71:D85))</f>
        <v/>
      </c>
      <c r="B85" s="52" t="n"/>
      <c r="C85" s="68" t="inlineStr">
        <is>
          <t>마케팅3팀</t>
        </is>
      </c>
      <c r="D85" s="52" t="n"/>
      <c r="E85" s="54" t="n"/>
      <c r="F85" s="52" t="n"/>
      <c r="G85" s="55" t="n"/>
      <c r="H85" s="54" t="n"/>
      <c r="I85" s="54" t="n"/>
      <c r="J85" s="54" t="n"/>
      <c r="K85" s="56">
        <f>IF(SUM(U85:AY85)=0,"",SUM(U85:AY85))</f>
        <v/>
      </c>
      <c r="L85" s="57">
        <f>IFERROR(INDEX(U$2:AY$2,MATCH(TRUE,U85:AY85&lt;&gt;"",0)),"")</f>
        <v/>
      </c>
      <c r="M85" s="58">
        <f>IFERROR(LOOKUP(2,1/(U85:AY85&lt;&gt;""),U$2:AY$2),"")</f>
        <v/>
      </c>
      <c r="N85" s="59">
        <f>IF(OR(G85="",M85=""),"",G85-M85)</f>
        <v/>
      </c>
      <c r="O85" s="60" t="n"/>
      <c r="P85" s="61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  <c r="AG85" s="62" t="n"/>
      <c r="AH85" s="62" t="n"/>
      <c r="AI85" s="62" t="n"/>
      <c r="AJ85" s="62" t="n"/>
      <c r="AK85" s="62" t="n"/>
      <c r="AL85" s="62" t="n"/>
      <c r="AM85" s="62" t="n"/>
      <c r="AN85" s="62" t="n"/>
      <c r="AO85" s="62" t="n"/>
      <c r="AP85" s="62" t="n"/>
      <c r="AQ85" s="62" t="n"/>
      <c r="AR85" s="62" t="n"/>
      <c r="AS85" s="62" t="n"/>
      <c r="AT85" s="62" t="n"/>
      <c r="AU85" s="62" t="n"/>
      <c r="AV85" s="62" t="n"/>
      <c r="AW85" s="62" t="n"/>
      <c r="AX85" s="62" t="n"/>
      <c r="AY85" s="62" t="n"/>
    </row>
    <row r="86">
      <c r="A86" s="38">
        <f>IF(D86="","",COUNTA($D$71:D86))</f>
        <v/>
      </c>
      <c r="B86" s="52" t="n"/>
      <c r="C86" s="68" t="inlineStr">
        <is>
          <t>마케팅3팀</t>
        </is>
      </c>
      <c r="D86" s="52" t="n"/>
      <c r="E86" s="54" t="n"/>
      <c r="F86" s="52" t="n"/>
      <c r="G86" s="55" t="n"/>
      <c r="H86" s="54" t="n"/>
      <c r="I86" s="54" t="n"/>
      <c r="J86" s="54" t="n"/>
      <c r="K86" s="56">
        <f>IF(SUM(U86:AY86)=0,"",SUM(U86:AY86))</f>
        <v/>
      </c>
      <c r="L86" s="57">
        <f>IFERROR(INDEX(U$2:AY$2,MATCH(TRUE,U86:AY86&lt;&gt;"",0)),"")</f>
        <v/>
      </c>
      <c r="M86" s="58">
        <f>IFERROR(LOOKUP(2,1/(U86:AY86&lt;&gt;""),U$2:AY$2),"")</f>
        <v/>
      </c>
      <c r="N86" s="59">
        <f>IF(OR(G86="",M86=""),"",G86-M86)</f>
        <v/>
      </c>
      <c r="O86" s="60" t="n"/>
      <c r="P86" s="61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  <c r="AG86" s="62" t="n"/>
      <c r="AH86" s="62" t="n"/>
      <c r="AI86" s="62" t="n"/>
      <c r="AJ86" s="62" t="n"/>
      <c r="AK86" s="62" t="n"/>
      <c r="AL86" s="62" t="n"/>
      <c r="AM86" s="62" t="n"/>
      <c r="AN86" s="62" t="n"/>
      <c r="AO86" s="62" t="n"/>
      <c r="AP86" s="62" t="n"/>
      <c r="AQ86" s="62" t="n"/>
      <c r="AR86" s="62" t="n"/>
      <c r="AS86" s="62" t="n"/>
      <c r="AT86" s="62" t="n"/>
      <c r="AU86" s="62" t="n"/>
      <c r="AV86" s="62" t="n"/>
      <c r="AW86" s="62" t="n"/>
      <c r="AX86" s="62" t="n"/>
      <c r="AY86" s="62" t="n"/>
    </row>
    <row r="87">
      <c r="A87" s="38">
        <f>IF(D87="","",COUNTA($D$71:D87))</f>
        <v/>
      </c>
      <c r="B87" s="52" t="n"/>
      <c r="C87" s="68" t="inlineStr">
        <is>
          <t>마케팅3팀</t>
        </is>
      </c>
      <c r="D87" s="52" t="n"/>
      <c r="E87" s="54" t="n"/>
      <c r="F87" s="52" t="n"/>
      <c r="G87" s="55" t="n"/>
      <c r="H87" s="54" t="n"/>
      <c r="I87" s="54" t="n"/>
      <c r="J87" s="54" t="n"/>
      <c r="K87" s="56">
        <f>IF(SUM(U87:AY87)=0,"",SUM(U87:AY87))</f>
        <v/>
      </c>
      <c r="L87" s="57">
        <f>IFERROR(INDEX(U$2:AY$2,MATCH(TRUE,U87:AY87&lt;&gt;"",0)),"")</f>
        <v/>
      </c>
      <c r="M87" s="58">
        <f>IFERROR(LOOKUP(2,1/(U87:AY87&lt;&gt;""),U$2:AY$2),"")</f>
        <v/>
      </c>
      <c r="N87" s="59">
        <f>IF(OR(G87="",M87=""),"",G87-M87)</f>
        <v/>
      </c>
      <c r="O87" s="60" t="n"/>
      <c r="P87" s="61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  <c r="AG87" s="62" t="n"/>
      <c r="AH87" s="62" t="n"/>
      <c r="AI87" s="62" t="n"/>
      <c r="AJ87" s="62" t="n"/>
      <c r="AK87" s="62" t="n"/>
      <c r="AL87" s="62" t="n"/>
      <c r="AM87" s="62" t="n"/>
      <c r="AN87" s="62" t="n"/>
      <c r="AO87" s="62" t="n"/>
      <c r="AP87" s="62" t="n"/>
      <c r="AQ87" s="62" t="n"/>
      <c r="AR87" s="62" t="n"/>
      <c r="AS87" s="62" t="n"/>
      <c r="AT87" s="62" t="n"/>
      <c r="AU87" s="62" t="n"/>
      <c r="AV87" s="62" t="n"/>
      <c r="AW87" s="62" t="n"/>
      <c r="AX87" s="62" t="n"/>
      <c r="AY87" s="62" t="n"/>
    </row>
    <row r="88">
      <c r="A88" s="38">
        <f>IF(D88="","",COUNTA($D$71:D88))</f>
        <v/>
      </c>
      <c r="B88" s="52" t="n"/>
      <c r="C88" s="68" t="inlineStr">
        <is>
          <t>마케팅3팀</t>
        </is>
      </c>
      <c r="D88" s="52" t="n"/>
      <c r="E88" s="54" t="n"/>
      <c r="F88" s="52" t="n"/>
      <c r="G88" s="55" t="n"/>
      <c r="H88" s="54" t="n"/>
      <c r="I88" s="54" t="n"/>
      <c r="J88" s="54" t="n"/>
      <c r="K88" s="56">
        <f>IF(SUM(U88:AY88)=0,"",SUM(U88:AY88))</f>
        <v/>
      </c>
      <c r="L88" s="57">
        <f>IFERROR(INDEX(U$2:AY$2,MATCH(TRUE,U88:AY88&lt;&gt;"",0)),"")</f>
        <v/>
      </c>
      <c r="M88" s="58">
        <f>IFERROR(LOOKUP(2,1/(U88:AY88&lt;&gt;""),U$2:AY$2),"")</f>
        <v/>
      </c>
      <c r="N88" s="59">
        <f>IF(OR(G88="",M88=""),"",G88-M88)</f>
        <v/>
      </c>
      <c r="O88" s="60" t="n"/>
      <c r="P88" s="61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  <c r="AG88" s="62" t="n"/>
      <c r="AH88" s="62" t="n"/>
      <c r="AI88" s="62" t="n"/>
      <c r="AJ88" s="62" t="n"/>
      <c r="AK88" s="62" t="n"/>
      <c r="AL88" s="62" t="n"/>
      <c r="AM88" s="62" t="n"/>
      <c r="AN88" s="62" t="n"/>
      <c r="AO88" s="62" t="n"/>
      <c r="AP88" s="62" t="n"/>
      <c r="AQ88" s="62" t="n"/>
      <c r="AR88" s="62" t="n"/>
      <c r="AS88" s="62" t="n"/>
      <c r="AT88" s="62" t="n"/>
      <c r="AU88" s="62" t="n"/>
      <c r="AV88" s="62" t="n"/>
      <c r="AW88" s="62" t="n"/>
      <c r="AX88" s="62" t="n"/>
      <c r="AY88" s="62" t="n"/>
    </row>
    <row r="89">
      <c r="A89" s="38">
        <f>IF(D89="","",COUNTA($D$71:D89))</f>
        <v/>
      </c>
      <c r="B89" s="52" t="n"/>
      <c r="C89" s="68" t="inlineStr">
        <is>
          <t>마케팅3팀</t>
        </is>
      </c>
      <c r="D89" s="52" t="n"/>
      <c r="E89" s="54" t="n"/>
      <c r="F89" s="52" t="n"/>
      <c r="G89" s="55" t="n"/>
      <c r="H89" s="54" t="n"/>
      <c r="I89" s="54" t="n"/>
      <c r="J89" s="54" t="n"/>
      <c r="K89" s="56">
        <f>IF(SUM(U89:AY89)=0,"",SUM(U89:AY89))</f>
        <v/>
      </c>
      <c r="L89" s="57">
        <f>IFERROR(INDEX(U$2:AY$2,MATCH(TRUE,U89:AY89&lt;&gt;"",0)),"")</f>
        <v/>
      </c>
      <c r="M89" s="58">
        <f>IFERROR(LOOKUP(2,1/(U89:AY89&lt;&gt;""),U$2:AY$2),"")</f>
        <v/>
      </c>
      <c r="N89" s="59">
        <f>IF(OR(G89="",M89=""),"",G89-M89)</f>
        <v/>
      </c>
      <c r="O89" s="60" t="n"/>
      <c r="P89" s="61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  <c r="AG89" s="62" t="n"/>
      <c r="AH89" s="62" t="n"/>
      <c r="AI89" s="62" t="n"/>
      <c r="AJ89" s="62" t="n"/>
      <c r="AK89" s="62" t="n"/>
      <c r="AL89" s="62" t="n"/>
      <c r="AM89" s="62" t="n"/>
      <c r="AN89" s="62" t="n"/>
      <c r="AO89" s="62" t="n"/>
      <c r="AP89" s="62" t="n"/>
      <c r="AQ89" s="62" t="n"/>
      <c r="AR89" s="62" t="n"/>
      <c r="AS89" s="62" t="n"/>
      <c r="AT89" s="62" t="n"/>
      <c r="AU89" s="62" t="n"/>
      <c r="AV89" s="62" t="n"/>
      <c r="AW89" s="62" t="n"/>
      <c r="AX89" s="62" t="n"/>
      <c r="AY89" s="62" t="n"/>
    </row>
    <row r="90">
      <c r="A90" s="38">
        <f>IF(D90="","",COUNTA($D$71:D90))</f>
        <v/>
      </c>
      <c r="B90" s="52" t="n"/>
      <c r="C90" s="68" t="inlineStr">
        <is>
          <t>마케팅3팀</t>
        </is>
      </c>
      <c r="D90" s="52" t="n"/>
      <c r="E90" s="54" t="n"/>
      <c r="F90" s="52" t="n"/>
      <c r="G90" s="55" t="n"/>
      <c r="H90" s="54" t="n"/>
      <c r="I90" s="54" t="n"/>
      <c r="J90" s="54" t="n"/>
      <c r="K90" s="56">
        <f>IF(SUM(U90:AY90)=0,"",SUM(U90:AY90))</f>
        <v/>
      </c>
      <c r="L90" s="57">
        <f>IFERROR(INDEX(U$2:AY$2,MATCH(TRUE,U90:AY90&lt;&gt;"",0)),"")</f>
        <v/>
      </c>
      <c r="M90" s="58">
        <f>IFERROR(LOOKUP(2,1/(U90:AY90&lt;&gt;""),U$2:AY$2),"")</f>
        <v/>
      </c>
      <c r="N90" s="59">
        <f>IF(OR(G90="",M90=""),"",G90-M90)</f>
        <v/>
      </c>
      <c r="O90" s="60" t="n"/>
      <c r="P90" s="61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  <c r="AG90" s="62" t="n"/>
      <c r="AH90" s="62" t="n"/>
      <c r="AI90" s="62" t="n"/>
      <c r="AJ90" s="62" t="n"/>
      <c r="AK90" s="62" t="n"/>
      <c r="AL90" s="62" t="n"/>
      <c r="AM90" s="62" t="n"/>
      <c r="AN90" s="62" t="n"/>
      <c r="AO90" s="62" t="n"/>
      <c r="AP90" s="62" t="n"/>
      <c r="AQ90" s="62" t="n"/>
      <c r="AR90" s="62" t="n"/>
      <c r="AS90" s="62" t="n"/>
      <c r="AT90" s="62" t="n"/>
      <c r="AU90" s="62" t="n"/>
      <c r="AV90" s="62" t="n"/>
      <c r="AW90" s="62" t="n"/>
      <c r="AX90" s="62" t="n"/>
      <c r="AY90" s="62" t="n"/>
    </row>
    <row r="91">
      <c r="A91" s="38">
        <f>IF(D91="","",COUNTA($D$71:D91))</f>
        <v/>
      </c>
      <c r="B91" s="52" t="n"/>
      <c r="C91" s="68" t="inlineStr">
        <is>
          <t>마케팅3팀</t>
        </is>
      </c>
      <c r="D91" s="52" t="n"/>
      <c r="E91" s="54" t="n"/>
      <c r="F91" s="52" t="n"/>
      <c r="G91" s="55" t="n"/>
      <c r="H91" s="54" t="n"/>
      <c r="I91" s="54" t="n"/>
      <c r="J91" s="54" t="n"/>
      <c r="K91" s="56">
        <f>IF(SUM(U91:AY91)=0,"",SUM(U91:AY91))</f>
        <v/>
      </c>
      <c r="L91" s="57">
        <f>IFERROR(INDEX(U$2:AY$2,MATCH(TRUE,U91:AY91&lt;&gt;"",0)),"")</f>
        <v/>
      </c>
      <c r="M91" s="58">
        <f>IFERROR(LOOKUP(2,1/(U91:AY91&lt;&gt;""),U$2:AY$2),"")</f>
        <v/>
      </c>
      <c r="N91" s="59">
        <f>IF(OR(G91="",M91=""),"",G91-M91)</f>
        <v/>
      </c>
      <c r="O91" s="60" t="n"/>
      <c r="P91" s="61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  <c r="AG91" s="62" t="n"/>
      <c r="AH91" s="62" t="n"/>
      <c r="AI91" s="62" t="n"/>
      <c r="AJ91" s="62" t="n"/>
      <c r="AK91" s="62" t="n"/>
      <c r="AL91" s="62" t="n"/>
      <c r="AM91" s="62" t="n"/>
      <c r="AN91" s="62" t="n"/>
      <c r="AO91" s="62" t="n"/>
      <c r="AP91" s="62" t="n"/>
      <c r="AQ91" s="62" t="n"/>
      <c r="AR91" s="62" t="n"/>
      <c r="AS91" s="62" t="n"/>
      <c r="AT91" s="62" t="n"/>
      <c r="AU91" s="62" t="n"/>
      <c r="AV91" s="62" t="n"/>
      <c r="AW91" s="62" t="n"/>
      <c r="AX91" s="62" t="n"/>
      <c r="AY91" s="62" t="n"/>
    </row>
    <row r="92">
      <c r="A92" s="38">
        <f>IF(D92="","",COUNTA($D$71:D92))</f>
        <v/>
      </c>
      <c r="B92" s="52" t="n"/>
      <c r="C92" s="68" t="inlineStr">
        <is>
          <t>마케팅3팀</t>
        </is>
      </c>
      <c r="D92" s="52" t="n"/>
      <c r="E92" s="54" t="n"/>
      <c r="F92" s="52" t="n"/>
      <c r="G92" s="55" t="n"/>
      <c r="H92" s="54" t="n"/>
      <c r="I92" s="54" t="n"/>
      <c r="J92" s="54" t="n"/>
      <c r="K92" s="56">
        <f>IF(SUM(U92:AY92)=0,"",SUM(U92:AY92))</f>
        <v/>
      </c>
      <c r="L92" s="57">
        <f>IFERROR(INDEX(U$2:AY$2,MATCH(TRUE,U92:AY92&lt;&gt;"",0)),"")</f>
        <v/>
      </c>
      <c r="M92" s="58">
        <f>IFERROR(LOOKUP(2,1/(U92:AY92&lt;&gt;""),U$2:AY$2),"")</f>
        <v/>
      </c>
      <c r="N92" s="59">
        <f>IF(OR(G92="",M92=""),"",G92-M92)</f>
        <v/>
      </c>
      <c r="O92" s="60" t="n"/>
      <c r="P92" s="61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  <c r="AG92" s="62" t="n"/>
      <c r="AH92" s="62" t="n"/>
      <c r="AI92" s="62" t="n"/>
      <c r="AJ92" s="62" t="n"/>
      <c r="AK92" s="62" t="n"/>
      <c r="AL92" s="62" t="n"/>
      <c r="AM92" s="62" t="n"/>
      <c r="AN92" s="62" t="n"/>
      <c r="AO92" s="62" t="n"/>
      <c r="AP92" s="62" t="n"/>
      <c r="AQ92" s="62" t="n"/>
      <c r="AR92" s="62" t="n"/>
      <c r="AS92" s="62" t="n"/>
      <c r="AT92" s="62" t="n"/>
      <c r="AU92" s="62" t="n"/>
      <c r="AV92" s="62" t="n"/>
      <c r="AW92" s="62" t="n"/>
      <c r="AX92" s="62" t="n"/>
      <c r="AY92" s="62" t="n"/>
    </row>
    <row r="93">
      <c r="A93" s="38">
        <f>IF(D93="","",COUNTA($D$71:D93))</f>
        <v/>
      </c>
      <c r="B93" s="52" t="n"/>
      <c r="C93" s="68" t="inlineStr">
        <is>
          <t>마케팅3팀</t>
        </is>
      </c>
      <c r="D93" s="52" t="n"/>
      <c r="E93" s="54" t="n"/>
      <c r="F93" s="52" t="n"/>
      <c r="G93" s="55" t="n"/>
      <c r="H93" s="54" t="n"/>
      <c r="I93" s="54" t="n"/>
      <c r="J93" s="54" t="n"/>
      <c r="K93" s="56">
        <f>IF(SUM(U93:AY93)=0,"",SUM(U93:AY93))</f>
        <v/>
      </c>
      <c r="L93" s="57">
        <f>IFERROR(INDEX(U$2:AY$2,MATCH(TRUE,U93:AY93&lt;&gt;"",0)),"")</f>
        <v/>
      </c>
      <c r="M93" s="58">
        <f>IFERROR(LOOKUP(2,1/(U93:AY93&lt;&gt;""),U$2:AY$2),"")</f>
        <v/>
      </c>
      <c r="N93" s="59">
        <f>IF(OR(G93="",M93=""),"",G93-M93)</f>
        <v/>
      </c>
      <c r="O93" s="60" t="n"/>
      <c r="P93" s="61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  <c r="AG93" s="62" t="n"/>
      <c r="AH93" s="62" t="n"/>
      <c r="AI93" s="62" t="n"/>
      <c r="AJ93" s="62" t="n"/>
      <c r="AK93" s="62" t="n"/>
      <c r="AL93" s="62" t="n"/>
      <c r="AM93" s="62" t="n"/>
      <c r="AN93" s="62" t="n"/>
      <c r="AO93" s="62" t="n"/>
      <c r="AP93" s="62" t="n"/>
      <c r="AQ93" s="62" t="n"/>
      <c r="AR93" s="62" t="n"/>
      <c r="AS93" s="62" t="n"/>
      <c r="AT93" s="62" t="n"/>
      <c r="AU93" s="62" t="n"/>
      <c r="AV93" s="62" t="n"/>
      <c r="AW93" s="62" t="n"/>
      <c r="AX93" s="62" t="n"/>
      <c r="AY93" s="62" t="n"/>
    </row>
    <row r="94">
      <c r="A94" s="38">
        <f>IF(D94="","",COUNTA($D$71:D94))</f>
        <v/>
      </c>
      <c r="B94" s="52" t="n"/>
      <c r="C94" s="68" t="inlineStr">
        <is>
          <t>마케팅3팀</t>
        </is>
      </c>
      <c r="D94" s="52" t="n"/>
      <c r="E94" s="54" t="n"/>
      <c r="F94" s="52" t="n"/>
      <c r="G94" s="55" t="n"/>
      <c r="H94" s="54" t="n"/>
      <c r="I94" s="54" t="n"/>
      <c r="J94" s="54" t="n"/>
      <c r="K94" s="56">
        <f>IF(SUM(U94:AY94)=0,"",SUM(U94:AY94))</f>
        <v/>
      </c>
      <c r="L94" s="57">
        <f>IFERROR(INDEX(U$2:AY$2,MATCH(TRUE,U94:AY94&lt;&gt;"",0)),"")</f>
        <v/>
      </c>
      <c r="M94" s="58">
        <f>IFERROR(LOOKUP(2,1/(U94:AY94&lt;&gt;""),U$2:AY$2),"")</f>
        <v/>
      </c>
      <c r="N94" s="59">
        <f>IF(OR(G94="",M94=""),"",G94-M94)</f>
        <v/>
      </c>
      <c r="O94" s="60" t="n"/>
      <c r="P94" s="61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  <c r="AG94" s="62" t="n"/>
      <c r="AH94" s="62" t="n"/>
      <c r="AI94" s="62" t="n"/>
      <c r="AJ94" s="62" t="n"/>
      <c r="AK94" s="62" t="n"/>
      <c r="AL94" s="62" t="n"/>
      <c r="AM94" s="62" t="n"/>
      <c r="AN94" s="62" t="n"/>
      <c r="AO94" s="62" t="n"/>
      <c r="AP94" s="62" t="n"/>
      <c r="AQ94" s="62" t="n"/>
      <c r="AR94" s="62" t="n"/>
      <c r="AS94" s="62" t="n"/>
      <c r="AT94" s="62" t="n"/>
      <c r="AU94" s="62" t="n"/>
      <c r="AV94" s="62" t="n"/>
      <c r="AW94" s="62" t="n"/>
      <c r="AX94" s="62" t="n"/>
      <c r="AY94" s="62" t="n"/>
    </row>
    <row r="95">
      <c r="A95" s="38">
        <f>IF(D95="","",COUNTA($D$71:D95))</f>
        <v/>
      </c>
      <c r="B95" s="52" t="n"/>
      <c r="C95" s="68" t="inlineStr">
        <is>
          <t>마케팅3팀</t>
        </is>
      </c>
      <c r="D95" s="52" t="n"/>
      <c r="E95" s="54" t="n"/>
      <c r="F95" s="52" t="n"/>
      <c r="G95" s="55" t="n"/>
      <c r="H95" s="54" t="n"/>
      <c r="I95" s="54" t="n"/>
      <c r="J95" s="54" t="n"/>
      <c r="K95" s="56">
        <f>IF(SUM(U95:AY95)=0,"",SUM(U95:AY95))</f>
        <v/>
      </c>
      <c r="L95" s="57">
        <f>IFERROR(INDEX(U$2:AY$2,MATCH(TRUE,U95:AY95&lt;&gt;"",0)),"")</f>
        <v/>
      </c>
      <c r="M95" s="58">
        <f>IFERROR(LOOKUP(2,1/(U95:AY95&lt;&gt;""),U$2:AY$2),"")</f>
        <v/>
      </c>
      <c r="N95" s="59">
        <f>IF(OR(G95="",M95=""),"",G95-M95)</f>
        <v/>
      </c>
      <c r="O95" s="60" t="n"/>
      <c r="P95" s="61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  <c r="AG95" s="62" t="n"/>
      <c r="AH95" s="62" t="n"/>
      <c r="AI95" s="62" t="n"/>
      <c r="AJ95" s="62" t="n"/>
      <c r="AK95" s="62" t="n"/>
      <c r="AL95" s="62" t="n"/>
      <c r="AM95" s="62" t="n"/>
      <c r="AN95" s="62" t="n"/>
      <c r="AO95" s="62" t="n"/>
      <c r="AP95" s="62" t="n"/>
      <c r="AQ95" s="62" t="n"/>
      <c r="AR95" s="62" t="n"/>
      <c r="AS95" s="62" t="n"/>
      <c r="AT95" s="62" t="n"/>
      <c r="AU95" s="62" t="n"/>
      <c r="AV95" s="62" t="n"/>
      <c r="AW95" s="62" t="n"/>
      <c r="AX95" s="62" t="n"/>
      <c r="AY95" s="62" t="n"/>
    </row>
    <row r="96">
      <c r="A96" s="38">
        <f>IF(D96="","",COUNTA($D$71:D96))</f>
        <v/>
      </c>
      <c r="B96" s="52" t="n"/>
      <c r="C96" s="68" t="inlineStr">
        <is>
          <t>마케팅3팀</t>
        </is>
      </c>
      <c r="D96" s="52" t="n"/>
      <c r="E96" s="54" t="n"/>
      <c r="F96" s="52" t="n"/>
      <c r="G96" s="55" t="n"/>
      <c r="H96" s="54" t="n"/>
      <c r="I96" s="54" t="n"/>
      <c r="J96" s="54" t="n"/>
      <c r="K96" s="56">
        <f>IF(SUM(U96:AY96)=0,"",SUM(U96:AY96))</f>
        <v/>
      </c>
      <c r="L96" s="57">
        <f>IFERROR(INDEX(U$2:AY$2,MATCH(TRUE,U96:AY96&lt;&gt;"",0)),"")</f>
        <v/>
      </c>
      <c r="M96" s="58">
        <f>IFERROR(LOOKUP(2,1/(U96:AY96&lt;&gt;""),U$2:AY$2),"")</f>
        <v/>
      </c>
      <c r="N96" s="59">
        <f>IF(OR(G96="",M96=""),"",G96-M96)</f>
        <v/>
      </c>
      <c r="O96" s="60" t="n"/>
      <c r="P96" s="61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  <c r="AG96" s="62" t="n"/>
      <c r="AH96" s="62" t="n"/>
      <c r="AI96" s="62" t="n"/>
      <c r="AJ96" s="62" t="n"/>
      <c r="AK96" s="62" t="n"/>
      <c r="AL96" s="62" t="n"/>
      <c r="AM96" s="62" t="n"/>
      <c r="AN96" s="62" t="n"/>
      <c r="AO96" s="62" t="n"/>
      <c r="AP96" s="62" t="n"/>
      <c r="AQ96" s="62" t="n"/>
      <c r="AR96" s="62" t="n"/>
      <c r="AS96" s="62" t="n"/>
      <c r="AT96" s="62" t="n"/>
      <c r="AU96" s="62" t="n"/>
      <c r="AV96" s="62" t="n"/>
      <c r="AW96" s="62" t="n"/>
      <c r="AX96" s="62" t="n"/>
      <c r="AY96" s="62" t="n"/>
    </row>
    <row r="97">
      <c r="A97" s="38">
        <f>IF(D97="","",COUNTA($D$71:D97))</f>
        <v/>
      </c>
      <c r="B97" s="52" t="n"/>
      <c r="C97" s="68" t="inlineStr">
        <is>
          <t>마케팅3팀</t>
        </is>
      </c>
      <c r="D97" s="52" t="n"/>
      <c r="E97" s="54" t="n"/>
      <c r="F97" s="52" t="n"/>
      <c r="G97" s="55" t="n"/>
      <c r="H97" s="54" t="n"/>
      <c r="I97" s="54" t="n"/>
      <c r="J97" s="54" t="n"/>
      <c r="K97" s="56">
        <f>IF(SUM(U97:AY97)=0,"",SUM(U97:AY97))</f>
        <v/>
      </c>
      <c r="L97" s="57">
        <f>IFERROR(INDEX(U$2:AY$2,MATCH(TRUE,U97:AY97&lt;&gt;"",0)),"")</f>
        <v/>
      </c>
      <c r="M97" s="58">
        <f>IFERROR(LOOKUP(2,1/(U97:AY97&lt;&gt;""),U$2:AY$2),"")</f>
        <v/>
      </c>
      <c r="N97" s="59">
        <f>IF(OR(G97="",M97=""),"",G97-M97)</f>
        <v/>
      </c>
      <c r="O97" s="60" t="n"/>
      <c r="P97" s="61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  <c r="AG97" s="62" t="n"/>
      <c r="AH97" s="62" t="n"/>
      <c r="AI97" s="62" t="n"/>
      <c r="AJ97" s="62" t="n"/>
      <c r="AK97" s="62" t="n"/>
      <c r="AL97" s="62" t="n"/>
      <c r="AM97" s="62" t="n"/>
      <c r="AN97" s="62" t="n"/>
      <c r="AO97" s="62" t="n"/>
      <c r="AP97" s="62" t="n"/>
      <c r="AQ97" s="62" t="n"/>
      <c r="AR97" s="62" t="n"/>
      <c r="AS97" s="62" t="n"/>
      <c r="AT97" s="62" t="n"/>
      <c r="AU97" s="62" t="n"/>
      <c r="AV97" s="62" t="n"/>
      <c r="AW97" s="62" t="n"/>
      <c r="AX97" s="62" t="n"/>
      <c r="AY97" s="62" t="n"/>
    </row>
    <row r="98">
      <c r="A98" s="38">
        <f>IF(D98="","",COUNTA($D$71:D98))</f>
        <v/>
      </c>
      <c r="B98" s="52" t="n"/>
      <c r="C98" s="68" t="inlineStr">
        <is>
          <t>마케팅3팀</t>
        </is>
      </c>
      <c r="D98" s="52" t="n"/>
      <c r="E98" s="54" t="n"/>
      <c r="F98" s="52" t="n"/>
      <c r="G98" s="55" t="n"/>
      <c r="H98" s="54" t="n"/>
      <c r="I98" s="54" t="n"/>
      <c r="J98" s="54" t="n"/>
      <c r="K98" s="56">
        <f>IF(SUM(U98:AY98)=0,"",SUM(U98:AY98))</f>
        <v/>
      </c>
      <c r="L98" s="57">
        <f>IFERROR(INDEX(U$2:AY$2,MATCH(TRUE,U98:AY98&lt;&gt;"",0)),"")</f>
        <v/>
      </c>
      <c r="M98" s="58">
        <f>IFERROR(LOOKUP(2,1/(U98:AY98&lt;&gt;""),U$2:AY$2),"")</f>
        <v/>
      </c>
      <c r="N98" s="59">
        <f>IF(OR(G98="",M98=""),"",G98-M98)</f>
        <v/>
      </c>
      <c r="O98" s="60" t="n"/>
      <c r="P98" s="61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  <c r="AG98" s="62" t="n"/>
      <c r="AH98" s="62" t="n"/>
      <c r="AI98" s="62" t="n"/>
      <c r="AJ98" s="62" t="n"/>
      <c r="AK98" s="62" t="n"/>
      <c r="AL98" s="62" t="n"/>
      <c r="AM98" s="62" t="n"/>
      <c r="AN98" s="62" t="n"/>
      <c r="AO98" s="62" t="n"/>
      <c r="AP98" s="62" t="n"/>
      <c r="AQ98" s="62" t="n"/>
      <c r="AR98" s="62" t="n"/>
      <c r="AS98" s="62" t="n"/>
      <c r="AT98" s="62" t="n"/>
      <c r="AU98" s="62" t="n"/>
      <c r="AV98" s="62" t="n"/>
      <c r="AW98" s="62" t="n"/>
      <c r="AX98" s="62" t="n"/>
      <c r="AY98" s="62" t="n"/>
    </row>
    <row r="99">
      <c r="A99" s="38">
        <f>IF(D99="","",COUNTA($D$71:D99))</f>
        <v/>
      </c>
      <c r="B99" s="52" t="n"/>
      <c r="C99" s="68" t="inlineStr">
        <is>
          <t>마케팅3팀</t>
        </is>
      </c>
      <c r="D99" s="52" t="n"/>
      <c r="E99" s="54" t="n"/>
      <c r="F99" s="52" t="n"/>
      <c r="G99" s="55" t="n"/>
      <c r="H99" s="54" t="n"/>
      <c r="I99" s="54" t="n"/>
      <c r="J99" s="54" t="n"/>
      <c r="K99" s="56">
        <f>IF(SUM(U99:AY99)=0,"",SUM(U99:AY99))</f>
        <v/>
      </c>
      <c r="L99" s="57">
        <f>IFERROR(INDEX(U$2:AY$2,MATCH(TRUE,U99:AY99&lt;&gt;"",0)),"")</f>
        <v/>
      </c>
      <c r="M99" s="58">
        <f>IFERROR(LOOKUP(2,1/(U99:AY99&lt;&gt;""),U$2:AY$2),"")</f>
        <v/>
      </c>
      <c r="N99" s="59">
        <f>IF(OR(G99="",M99=""),"",G99-M99)</f>
        <v/>
      </c>
      <c r="O99" s="60" t="n"/>
      <c r="P99" s="61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  <c r="AG99" s="62" t="n"/>
      <c r="AH99" s="62" t="n"/>
      <c r="AI99" s="62" t="n"/>
      <c r="AJ99" s="62" t="n"/>
      <c r="AK99" s="62" t="n"/>
      <c r="AL99" s="62" t="n"/>
      <c r="AM99" s="62" t="n"/>
      <c r="AN99" s="62" t="n"/>
      <c r="AO99" s="62" t="n"/>
      <c r="AP99" s="62" t="n"/>
      <c r="AQ99" s="62" t="n"/>
      <c r="AR99" s="62" t="n"/>
      <c r="AS99" s="62" t="n"/>
      <c r="AT99" s="62" t="n"/>
      <c r="AU99" s="62" t="n"/>
      <c r="AV99" s="62" t="n"/>
      <c r="AW99" s="62" t="n"/>
      <c r="AX99" s="62" t="n"/>
      <c r="AY99" s="62" t="n"/>
    </row>
    <row r="100">
      <c r="A100" s="38">
        <f>IF(D100="","",COUNTA($D$71:D100))</f>
        <v/>
      </c>
      <c r="B100" s="52" t="n"/>
      <c r="C100" s="68" t="inlineStr">
        <is>
          <t>마케팅3팀</t>
        </is>
      </c>
      <c r="D100" s="52" t="n"/>
      <c r="E100" s="54" t="n"/>
      <c r="F100" s="52" t="n"/>
      <c r="G100" s="55" t="n"/>
      <c r="H100" s="54" t="n"/>
      <c r="I100" s="54" t="n"/>
      <c r="J100" s="54" t="n"/>
      <c r="K100" s="56">
        <f>IF(SUM(U100:AY100)=0,"",SUM(U100:AY100))</f>
        <v/>
      </c>
      <c r="L100" s="57">
        <f>IFERROR(INDEX(U$2:AY$2,MATCH(TRUE,U100:AY100&lt;&gt;"",0)),"")</f>
        <v/>
      </c>
      <c r="M100" s="58">
        <f>IFERROR(LOOKUP(2,1/(U100:AY100&lt;&gt;""),U$2:AY$2),"")</f>
        <v/>
      </c>
      <c r="N100" s="59">
        <f>IF(OR(G100="",M100=""),"",G100-M100)</f>
        <v/>
      </c>
      <c r="O100" s="60" t="n"/>
      <c r="P100" s="61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  <c r="AG100" s="62" t="n"/>
      <c r="AH100" s="62" t="n"/>
      <c r="AI100" s="62" t="n"/>
      <c r="AJ100" s="62" t="n"/>
      <c r="AK100" s="62" t="n"/>
      <c r="AL100" s="62" t="n"/>
      <c r="AM100" s="62" t="n"/>
      <c r="AN100" s="62" t="n"/>
      <c r="AO100" s="62" t="n"/>
      <c r="AP100" s="62" t="n"/>
      <c r="AQ100" s="62" t="n"/>
      <c r="AR100" s="62" t="n"/>
      <c r="AS100" s="62" t="n"/>
      <c r="AT100" s="62" t="n"/>
      <c r="AU100" s="62" t="n"/>
      <c r="AV100" s="62" t="n"/>
      <c r="AW100" s="62" t="n"/>
      <c r="AX100" s="62" t="n"/>
      <c r="AY100" s="62" t="n"/>
    </row>
    <row r="101">
      <c r="A101" s="69" t="inlineStr">
        <is>
          <t>마케팅4팀  (102~131행)</t>
        </is>
      </c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  <c r="AJ101" s="70" t="n"/>
      <c r="AK101" s="70" t="n"/>
      <c r="AL101" s="70" t="n"/>
      <c r="AM101" s="70" t="n"/>
      <c r="AN101" s="70" t="n"/>
      <c r="AO101" s="70" t="n"/>
      <c r="AP101" s="70" t="n"/>
      <c r="AQ101" s="70" t="n"/>
      <c r="AR101" s="70" t="n"/>
      <c r="AS101" s="70" t="n"/>
      <c r="AT101" s="70" t="n"/>
      <c r="AU101" s="70" t="n"/>
      <c r="AV101" s="70" t="n"/>
      <c r="AW101" s="70" t="n"/>
      <c r="AX101" s="70" t="n"/>
      <c r="AY101" s="70" t="n"/>
    </row>
    <row r="102">
      <c r="A102" s="38">
        <f>IF(D102="","",COUNTA($D$102:D102))</f>
        <v/>
      </c>
      <c r="B102" s="52" t="n"/>
      <c r="C102" s="71" t="inlineStr">
        <is>
          <t>마케팅4팀</t>
        </is>
      </c>
      <c r="D102" s="52" t="n"/>
      <c r="E102" s="54" t="n"/>
      <c r="F102" s="52" t="n"/>
      <c r="G102" s="55" t="n"/>
      <c r="H102" s="54" t="n"/>
      <c r="I102" s="54" t="n"/>
      <c r="J102" s="54" t="n"/>
      <c r="K102" s="56">
        <f>IF(SUM(U102:AY102)=0,"",SUM(U102:AY102))</f>
        <v/>
      </c>
      <c r="L102" s="57">
        <f>IFERROR(INDEX(U$2:AY$2,MATCH(TRUE,U102:AY102&lt;&gt;"",0)),"")</f>
        <v/>
      </c>
      <c r="M102" s="58">
        <f>IFERROR(LOOKUP(2,1/(U102:AY102&lt;&gt;""),U$2:AY$2),"")</f>
        <v/>
      </c>
      <c r="N102" s="59">
        <f>IF(OR(G102="",M102=""),"",G102-M102)</f>
        <v/>
      </c>
      <c r="O102" s="60" t="n"/>
      <c r="P102" s="61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  <c r="AG102" s="62" t="n"/>
      <c r="AH102" s="62" t="n"/>
      <c r="AI102" s="62" t="n"/>
      <c r="AJ102" s="62" t="n"/>
      <c r="AK102" s="62" t="n"/>
      <c r="AL102" s="62" t="n"/>
      <c r="AM102" s="62" t="n"/>
      <c r="AN102" s="62" t="n"/>
      <c r="AO102" s="62" t="n"/>
      <c r="AP102" s="62" t="n"/>
      <c r="AQ102" s="62" t="n"/>
      <c r="AR102" s="62" t="n"/>
      <c r="AS102" s="62" t="n"/>
      <c r="AT102" s="62" t="n"/>
      <c r="AU102" s="62" t="n"/>
      <c r="AV102" s="62" t="n"/>
      <c r="AW102" s="62" t="n"/>
      <c r="AX102" s="62" t="n"/>
      <c r="AY102" s="62" t="n"/>
    </row>
    <row r="103">
      <c r="A103" s="38">
        <f>IF(D103="","",COUNTA($D$102:D103))</f>
        <v/>
      </c>
      <c r="B103" s="52" t="n"/>
      <c r="C103" s="71" t="inlineStr">
        <is>
          <t>마케팅4팀</t>
        </is>
      </c>
      <c r="D103" s="52" t="n"/>
      <c r="E103" s="54" t="n"/>
      <c r="F103" s="52" t="n"/>
      <c r="G103" s="55" t="n"/>
      <c r="H103" s="54" t="n"/>
      <c r="I103" s="54" t="n"/>
      <c r="J103" s="54" t="n"/>
      <c r="K103" s="56">
        <f>IF(SUM(U103:AY103)=0,"",SUM(U103:AY103))</f>
        <v/>
      </c>
      <c r="L103" s="57">
        <f>IFERROR(INDEX(U$2:AY$2,MATCH(TRUE,U103:AY103&lt;&gt;"",0)),"")</f>
        <v/>
      </c>
      <c r="M103" s="58">
        <f>IFERROR(LOOKUP(2,1/(U103:AY103&lt;&gt;""),U$2:AY$2),"")</f>
        <v/>
      </c>
      <c r="N103" s="59">
        <f>IF(OR(G103="",M103=""),"",G103-M103)</f>
        <v/>
      </c>
      <c r="O103" s="60" t="n"/>
      <c r="P103" s="61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  <c r="AG103" s="62" t="n"/>
      <c r="AH103" s="62" t="n"/>
      <c r="AI103" s="62" t="n"/>
      <c r="AJ103" s="62" t="n"/>
      <c r="AK103" s="62" t="n"/>
      <c r="AL103" s="62" t="n"/>
      <c r="AM103" s="62" t="n"/>
      <c r="AN103" s="62" t="n"/>
      <c r="AO103" s="62" t="n"/>
      <c r="AP103" s="62" t="n"/>
      <c r="AQ103" s="62" t="n"/>
      <c r="AR103" s="62" t="n"/>
      <c r="AS103" s="62" t="n"/>
      <c r="AT103" s="62" t="n"/>
      <c r="AU103" s="62" t="n"/>
      <c r="AV103" s="62" t="n"/>
      <c r="AW103" s="62" t="n"/>
      <c r="AX103" s="62" t="n"/>
      <c r="AY103" s="62" t="n"/>
    </row>
    <row r="104">
      <c r="A104" s="38">
        <f>IF(D104="","",COUNTA($D$102:D104))</f>
        <v/>
      </c>
      <c r="B104" s="52" t="n"/>
      <c r="C104" s="71" t="inlineStr">
        <is>
          <t>마케팅4팀</t>
        </is>
      </c>
      <c r="D104" s="52" t="n"/>
      <c r="E104" s="54" t="n"/>
      <c r="F104" s="52" t="n"/>
      <c r="G104" s="55" t="n"/>
      <c r="H104" s="54" t="n"/>
      <c r="I104" s="54" t="n"/>
      <c r="J104" s="54" t="n"/>
      <c r="K104" s="56">
        <f>IF(SUM(U104:AY104)=0,"",SUM(U104:AY104))</f>
        <v/>
      </c>
      <c r="L104" s="57">
        <f>IFERROR(INDEX(U$2:AY$2,MATCH(TRUE,U104:AY104&lt;&gt;"",0)),"")</f>
        <v/>
      </c>
      <c r="M104" s="58">
        <f>IFERROR(LOOKUP(2,1/(U104:AY104&lt;&gt;""),U$2:AY$2),"")</f>
        <v/>
      </c>
      <c r="N104" s="59">
        <f>IF(OR(G104="",M104=""),"",G104-M104)</f>
        <v/>
      </c>
      <c r="O104" s="60" t="n"/>
      <c r="P104" s="61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  <c r="AG104" s="62" t="n"/>
      <c r="AH104" s="62" t="n"/>
      <c r="AI104" s="62" t="n"/>
      <c r="AJ104" s="62" t="n"/>
      <c r="AK104" s="62" t="n"/>
      <c r="AL104" s="62" t="n"/>
      <c r="AM104" s="62" t="n"/>
      <c r="AN104" s="62" t="n"/>
      <c r="AO104" s="62" t="n"/>
      <c r="AP104" s="62" t="n"/>
      <c r="AQ104" s="62" t="n"/>
      <c r="AR104" s="62" t="n"/>
      <c r="AS104" s="62" t="n"/>
      <c r="AT104" s="62" t="n"/>
      <c r="AU104" s="62" t="n"/>
      <c r="AV104" s="62" t="n"/>
      <c r="AW104" s="62" t="n"/>
      <c r="AX104" s="62" t="n"/>
      <c r="AY104" s="62" t="n"/>
    </row>
    <row r="105">
      <c r="A105" s="38">
        <f>IF(D105="","",COUNTA($D$102:D105))</f>
        <v/>
      </c>
      <c r="B105" s="52" t="n"/>
      <c r="C105" s="71" t="inlineStr">
        <is>
          <t>마케팅4팀</t>
        </is>
      </c>
      <c r="D105" s="52" t="n"/>
      <c r="E105" s="54" t="n"/>
      <c r="F105" s="52" t="n"/>
      <c r="G105" s="55" t="n"/>
      <c r="H105" s="54" t="n"/>
      <c r="I105" s="54" t="n"/>
      <c r="J105" s="54" t="n"/>
      <c r="K105" s="56">
        <f>IF(SUM(U105:AY105)=0,"",SUM(U105:AY105))</f>
        <v/>
      </c>
      <c r="L105" s="57">
        <f>IFERROR(INDEX(U$2:AY$2,MATCH(TRUE,U105:AY105&lt;&gt;"",0)),"")</f>
        <v/>
      </c>
      <c r="M105" s="58">
        <f>IFERROR(LOOKUP(2,1/(U105:AY105&lt;&gt;""),U$2:AY$2),"")</f>
        <v/>
      </c>
      <c r="N105" s="59">
        <f>IF(OR(G105="",M105=""),"",G105-M105)</f>
        <v/>
      </c>
      <c r="O105" s="60" t="n"/>
      <c r="P105" s="61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  <c r="AG105" s="62" t="n"/>
      <c r="AH105" s="62" t="n"/>
      <c r="AI105" s="62" t="n"/>
      <c r="AJ105" s="62" t="n"/>
      <c r="AK105" s="62" t="n"/>
      <c r="AL105" s="62" t="n"/>
      <c r="AM105" s="62" t="n"/>
      <c r="AN105" s="62" t="n"/>
      <c r="AO105" s="62" t="n"/>
      <c r="AP105" s="62" t="n"/>
      <c r="AQ105" s="62" t="n"/>
      <c r="AR105" s="62" t="n"/>
      <c r="AS105" s="62" t="n"/>
      <c r="AT105" s="62" t="n"/>
      <c r="AU105" s="62" t="n"/>
      <c r="AV105" s="62" t="n"/>
      <c r="AW105" s="62" t="n"/>
      <c r="AX105" s="62" t="n"/>
      <c r="AY105" s="62" t="n"/>
    </row>
    <row r="106">
      <c r="A106" s="38">
        <f>IF(D106="","",COUNTA($D$102:D106))</f>
        <v/>
      </c>
      <c r="B106" s="52" t="n"/>
      <c r="C106" s="71" t="inlineStr">
        <is>
          <t>마케팅4팀</t>
        </is>
      </c>
      <c r="D106" s="52" t="n"/>
      <c r="E106" s="54" t="n"/>
      <c r="F106" s="52" t="n"/>
      <c r="G106" s="55" t="n"/>
      <c r="H106" s="54" t="n"/>
      <c r="I106" s="54" t="n"/>
      <c r="J106" s="54" t="n"/>
      <c r="K106" s="56">
        <f>IF(SUM(U106:AY106)=0,"",SUM(U106:AY106))</f>
        <v/>
      </c>
      <c r="L106" s="57">
        <f>IFERROR(INDEX(U$2:AY$2,MATCH(TRUE,U106:AY106&lt;&gt;"",0)),"")</f>
        <v/>
      </c>
      <c r="M106" s="58">
        <f>IFERROR(LOOKUP(2,1/(U106:AY106&lt;&gt;""),U$2:AY$2),"")</f>
        <v/>
      </c>
      <c r="N106" s="59">
        <f>IF(OR(G106="",M106=""),"",G106-M106)</f>
        <v/>
      </c>
      <c r="O106" s="60" t="n"/>
      <c r="P106" s="61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  <c r="AG106" s="62" t="n"/>
      <c r="AH106" s="62" t="n"/>
      <c r="AI106" s="62" t="n"/>
      <c r="AJ106" s="62" t="n"/>
      <c r="AK106" s="62" t="n"/>
      <c r="AL106" s="62" t="n"/>
      <c r="AM106" s="62" t="n"/>
      <c r="AN106" s="62" t="n"/>
      <c r="AO106" s="62" t="n"/>
      <c r="AP106" s="62" t="n"/>
      <c r="AQ106" s="62" t="n"/>
      <c r="AR106" s="62" t="n"/>
      <c r="AS106" s="62" t="n"/>
      <c r="AT106" s="62" t="n"/>
      <c r="AU106" s="62" t="n"/>
      <c r="AV106" s="62" t="n"/>
      <c r="AW106" s="62" t="n"/>
      <c r="AX106" s="62" t="n"/>
      <c r="AY106" s="62" t="n"/>
    </row>
    <row r="107">
      <c r="A107" s="38">
        <f>IF(D107="","",COUNTA($D$102:D107))</f>
        <v/>
      </c>
      <c r="B107" s="52" t="n"/>
      <c r="C107" s="71" t="inlineStr">
        <is>
          <t>마케팅4팀</t>
        </is>
      </c>
      <c r="D107" s="52" t="n"/>
      <c r="E107" s="54" t="n"/>
      <c r="F107" s="52" t="n"/>
      <c r="G107" s="55" t="n"/>
      <c r="H107" s="54" t="n"/>
      <c r="I107" s="54" t="n"/>
      <c r="J107" s="54" t="n"/>
      <c r="K107" s="56">
        <f>IF(SUM(U107:AY107)=0,"",SUM(U107:AY107))</f>
        <v/>
      </c>
      <c r="L107" s="57">
        <f>IFERROR(INDEX(U$2:AY$2,MATCH(TRUE,U107:AY107&lt;&gt;"",0)),"")</f>
        <v/>
      </c>
      <c r="M107" s="58">
        <f>IFERROR(LOOKUP(2,1/(U107:AY107&lt;&gt;""),U$2:AY$2),"")</f>
        <v/>
      </c>
      <c r="N107" s="59">
        <f>IF(OR(G107="",M107=""),"",G107-M107)</f>
        <v/>
      </c>
      <c r="O107" s="60" t="n"/>
      <c r="P107" s="61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  <c r="AG107" s="62" t="n"/>
      <c r="AH107" s="62" t="n"/>
      <c r="AI107" s="62" t="n"/>
      <c r="AJ107" s="62" t="n"/>
      <c r="AK107" s="62" t="n"/>
      <c r="AL107" s="62" t="n"/>
      <c r="AM107" s="62" t="n"/>
      <c r="AN107" s="62" t="n"/>
      <c r="AO107" s="62" t="n"/>
      <c r="AP107" s="62" t="n"/>
      <c r="AQ107" s="62" t="n"/>
      <c r="AR107" s="62" t="n"/>
      <c r="AS107" s="62" t="n"/>
      <c r="AT107" s="62" t="n"/>
      <c r="AU107" s="62" t="n"/>
      <c r="AV107" s="62" t="n"/>
      <c r="AW107" s="62" t="n"/>
      <c r="AX107" s="62" t="n"/>
      <c r="AY107" s="62" t="n"/>
    </row>
    <row r="108">
      <c r="A108" s="38">
        <f>IF(D108="","",COUNTA($D$102:D108))</f>
        <v/>
      </c>
      <c r="B108" s="52" t="n"/>
      <c r="C108" s="71" t="inlineStr">
        <is>
          <t>마케팅4팀</t>
        </is>
      </c>
      <c r="D108" s="52" t="n"/>
      <c r="E108" s="54" t="n"/>
      <c r="F108" s="52" t="n"/>
      <c r="G108" s="55" t="n"/>
      <c r="H108" s="54" t="n"/>
      <c r="I108" s="54" t="n"/>
      <c r="J108" s="54" t="n"/>
      <c r="K108" s="56">
        <f>IF(SUM(U108:AY108)=0,"",SUM(U108:AY108))</f>
        <v/>
      </c>
      <c r="L108" s="57">
        <f>IFERROR(INDEX(U$2:AY$2,MATCH(TRUE,U108:AY108&lt;&gt;"",0)),"")</f>
        <v/>
      </c>
      <c r="M108" s="58">
        <f>IFERROR(LOOKUP(2,1/(U108:AY108&lt;&gt;""),U$2:AY$2),"")</f>
        <v/>
      </c>
      <c r="N108" s="59">
        <f>IF(OR(G108="",M108=""),"",G108-M108)</f>
        <v/>
      </c>
      <c r="O108" s="60" t="n"/>
      <c r="P108" s="61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  <c r="AG108" s="62" t="n"/>
      <c r="AH108" s="62" t="n"/>
      <c r="AI108" s="62" t="n"/>
      <c r="AJ108" s="62" t="n"/>
      <c r="AK108" s="62" t="n"/>
      <c r="AL108" s="62" t="n"/>
      <c r="AM108" s="62" t="n"/>
      <c r="AN108" s="62" t="n"/>
      <c r="AO108" s="62" t="n"/>
      <c r="AP108" s="62" t="n"/>
      <c r="AQ108" s="62" t="n"/>
      <c r="AR108" s="62" t="n"/>
      <c r="AS108" s="62" t="n"/>
      <c r="AT108" s="62" t="n"/>
      <c r="AU108" s="62" t="n"/>
      <c r="AV108" s="62" t="n"/>
      <c r="AW108" s="62" t="n"/>
      <c r="AX108" s="62" t="n"/>
      <c r="AY108" s="62" t="n"/>
    </row>
    <row r="109">
      <c r="A109" s="38">
        <f>IF(D109="","",COUNTA($D$102:D109))</f>
        <v/>
      </c>
      <c r="B109" s="52" t="n"/>
      <c r="C109" s="71" t="inlineStr">
        <is>
          <t>마케팅4팀</t>
        </is>
      </c>
      <c r="D109" s="52" t="n"/>
      <c r="E109" s="54" t="n"/>
      <c r="F109" s="52" t="n"/>
      <c r="G109" s="55" t="n"/>
      <c r="H109" s="54" t="n"/>
      <c r="I109" s="54" t="n"/>
      <c r="J109" s="54" t="n"/>
      <c r="K109" s="56">
        <f>IF(SUM(U109:AY109)=0,"",SUM(U109:AY109))</f>
        <v/>
      </c>
      <c r="L109" s="57">
        <f>IFERROR(INDEX(U$2:AY$2,MATCH(TRUE,U109:AY109&lt;&gt;"",0)),"")</f>
        <v/>
      </c>
      <c r="M109" s="58">
        <f>IFERROR(LOOKUP(2,1/(U109:AY109&lt;&gt;""),U$2:AY$2),"")</f>
        <v/>
      </c>
      <c r="N109" s="59">
        <f>IF(OR(G109="",M109=""),"",G109-M109)</f>
        <v/>
      </c>
      <c r="O109" s="60" t="n"/>
      <c r="P109" s="61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  <c r="AG109" s="62" t="n"/>
      <c r="AH109" s="62" t="n"/>
      <c r="AI109" s="62" t="n"/>
      <c r="AJ109" s="62" t="n"/>
      <c r="AK109" s="62" t="n"/>
      <c r="AL109" s="62" t="n"/>
      <c r="AM109" s="62" t="n"/>
      <c r="AN109" s="62" t="n"/>
      <c r="AO109" s="62" t="n"/>
      <c r="AP109" s="62" t="n"/>
      <c r="AQ109" s="62" t="n"/>
      <c r="AR109" s="62" t="n"/>
      <c r="AS109" s="62" t="n"/>
      <c r="AT109" s="62" t="n"/>
      <c r="AU109" s="62" t="n"/>
      <c r="AV109" s="62" t="n"/>
      <c r="AW109" s="62" t="n"/>
      <c r="AX109" s="62" t="n"/>
      <c r="AY109" s="62" t="n"/>
    </row>
    <row r="110">
      <c r="A110" s="38">
        <f>IF(D110="","",COUNTA($D$102:D110))</f>
        <v/>
      </c>
      <c r="B110" s="52" t="n"/>
      <c r="C110" s="71" t="inlineStr">
        <is>
          <t>마케팅4팀</t>
        </is>
      </c>
      <c r="D110" s="52" t="n"/>
      <c r="E110" s="54" t="n"/>
      <c r="F110" s="52" t="n"/>
      <c r="G110" s="55" t="n"/>
      <c r="H110" s="54" t="n"/>
      <c r="I110" s="54" t="n"/>
      <c r="J110" s="54" t="n"/>
      <c r="K110" s="56">
        <f>IF(SUM(U110:AY110)=0,"",SUM(U110:AY110))</f>
        <v/>
      </c>
      <c r="L110" s="57">
        <f>IFERROR(INDEX(U$2:AY$2,MATCH(TRUE,U110:AY110&lt;&gt;"",0)),"")</f>
        <v/>
      </c>
      <c r="M110" s="58">
        <f>IFERROR(LOOKUP(2,1/(U110:AY110&lt;&gt;""),U$2:AY$2),"")</f>
        <v/>
      </c>
      <c r="N110" s="59">
        <f>IF(OR(G110="",M110=""),"",G110-M110)</f>
        <v/>
      </c>
      <c r="O110" s="60" t="n"/>
      <c r="P110" s="61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  <c r="AG110" s="62" t="n"/>
      <c r="AH110" s="62" t="n"/>
      <c r="AI110" s="62" t="n"/>
      <c r="AJ110" s="62" t="n"/>
      <c r="AK110" s="62" t="n"/>
      <c r="AL110" s="62" t="n"/>
      <c r="AM110" s="62" t="n"/>
      <c r="AN110" s="62" t="n"/>
      <c r="AO110" s="62" t="n"/>
      <c r="AP110" s="62" t="n"/>
      <c r="AQ110" s="62" t="n"/>
      <c r="AR110" s="62" t="n"/>
      <c r="AS110" s="62" t="n"/>
      <c r="AT110" s="62" t="n"/>
      <c r="AU110" s="62" t="n"/>
      <c r="AV110" s="62" t="n"/>
      <c r="AW110" s="62" t="n"/>
      <c r="AX110" s="62" t="n"/>
      <c r="AY110" s="62" t="n"/>
    </row>
    <row r="111">
      <c r="A111" s="38">
        <f>IF(D111="","",COUNTA($D$102:D111))</f>
        <v/>
      </c>
      <c r="B111" s="52" t="n"/>
      <c r="C111" s="71" t="inlineStr">
        <is>
          <t>마케팅4팀</t>
        </is>
      </c>
      <c r="D111" s="52" t="n"/>
      <c r="E111" s="54" t="n"/>
      <c r="F111" s="52" t="n"/>
      <c r="G111" s="55" t="n"/>
      <c r="H111" s="54" t="n"/>
      <c r="I111" s="54" t="n"/>
      <c r="J111" s="54" t="n"/>
      <c r="K111" s="56">
        <f>IF(SUM(U111:AY111)=0,"",SUM(U111:AY111))</f>
        <v/>
      </c>
      <c r="L111" s="57">
        <f>IFERROR(INDEX(U$2:AY$2,MATCH(TRUE,U111:AY111&lt;&gt;"",0)),"")</f>
        <v/>
      </c>
      <c r="M111" s="58">
        <f>IFERROR(LOOKUP(2,1/(U111:AY111&lt;&gt;""),U$2:AY$2),"")</f>
        <v/>
      </c>
      <c r="N111" s="59">
        <f>IF(OR(G111="",M111=""),"",G111-M111)</f>
        <v/>
      </c>
      <c r="O111" s="60" t="n"/>
      <c r="P111" s="61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  <c r="AG111" s="62" t="n"/>
      <c r="AH111" s="62" t="n"/>
      <c r="AI111" s="62" t="n"/>
      <c r="AJ111" s="62" t="n"/>
      <c r="AK111" s="62" t="n"/>
      <c r="AL111" s="62" t="n"/>
      <c r="AM111" s="62" t="n"/>
      <c r="AN111" s="62" t="n"/>
      <c r="AO111" s="62" t="n"/>
      <c r="AP111" s="62" t="n"/>
      <c r="AQ111" s="62" t="n"/>
      <c r="AR111" s="62" t="n"/>
      <c r="AS111" s="62" t="n"/>
      <c r="AT111" s="62" t="n"/>
      <c r="AU111" s="62" t="n"/>
      <c r="AV111" s="62" t="n"/>
      <c r="AW111" s="62" t="n"/>
      <c r="AX111" s="62" t="n"/>
      <c r="AY111" s="62" t="n"/>
    </row>
    <row r="112">
      <c r="A112" s="38">
        <f>IF(D112="","",COUNTA($D$102:D112))</f>
        <v/>
      </c>
      <c r="B112" s="52" t="n"/>
      <c r="C112" s="71" t="inlineStr">
        <is>
          <t>마케팅4팀</t>
        </is>
      </c>
      <c r="D112" s="52" t="n"/>
      <c r="E112" s="54" t="n"/>
      <c r="F112" s="52" t="n"/>
      <c r="G112" s="55" t="n"/>
      <c r="H112" s="54" t="n"/>
      <c r="I112" s="54" t="n"/>
      <c r="J112" s="54" t="n"/>
      <c r="K112" s="56">
        <f>IF(SUM(U112:AY112)=0,"",SUM(U112:AY112))</f>
        <v/>
      </c>
      <c r="L112" s="57">
        <f>IFERROR(INDEX(U$2:AY$2,MATCH(TRUE,U112:AY112&lt;&gt;"",0)),"")</f>
        <v/>
      </c>
      <c r="M112" s="58">
        <f>IFERROR(LOOKUP(2,1/(U112:AY112&lt;&gt;""),U$2:AY$2),"")</f>
        <v/>
      </c>
      <c r="N112" s="59">
        <f>IF(OR(G112="",M112=""),"",G112-M112)</f>
        <v/>
      </c>
      <c r="O112" s="60" t="n"/>
      <c r="P112" s="61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  <c r="AG112" s="62" t="n"/>
      <c r="AH112" s="62" t="n"/>
      <c r="AI112" s="62" t="n"/>
      <c r="AJ112" s="62" t="n"/>
      <c r="AK112" s="62" t="n"/>
      <c r="AL112" s="62" t="n"/>
      <c r="AM112" s="62" t="n"/>
      <c r="AN112" s="62" t="n"/>
      <c r="AO112" s="62" t="n"/>
      <c r="AP112" s="62" t="n"/>
      <c r="AQ112" s="62" t="n"/>
      <c r="AR112" s="62" t="n"/>
      <c r="AS112" s="62" t="n"/>
      <c r="AT112" s="62" t="n"/>
      <c r="AU112" s="62" t="n"/>
      <c r="AV112" s="62" t="n"/>
      <c r="AW112" s="62" t="n"/>
      <c r="AX112" s="62" t="n"/>
      <c r="AY112" s="62" t="n"/>
    </row>
    <row r="113">
      <c r="A113" s="38">
        <f>IF(D113="","",COUNTA($D$102:D113))</f>
        <v/>
      </c>
      <c r="B113" s="52" t="n"/>
      <c r="C113" s="71" t="inlineStr">
        <is>
          <t>마케팅4팀</t>
        </is>
      </c>
      <c r="D113" s="52" t="n"/>
      <c r="E113" s="54" t="n"/>
      <c r="F113" s="52" t="n"/>
      <c r="G113" s="55" t="n"/>
      <c r="H113" s="54" t="n"/>
      <c r="I113" s="54" t="n"/>
      <c r="J113" s="54" t="n"/>
      <c r="K113" s="56">
        <f>IF(SUM(U113:AY113)=0,"",SUM(U113:AY113))</f>
        <v/>
      </c>
      <c r="L113" s="57">
        <f>IFERROR(INDEX(U$2:AY$2,MATCH(TRUE,U113:AY113&lt;&gt;"",0)),"")</f>
        <v/>
      </c>
      <c r="M113" s="58">
        <f>IFERROR(LOOKUP(2,1/(U113:AY113&lt;&gt;""),U$2:AY$2),"")</f>
        <v/>
      </c>
      <c r="N113" s="59">
        <f>IF(OR(G113="",M113=""),"",G113-M113)</f>
        <v/>
      </c>
      <c r="O113" s="60" t="n"/>
      <c r="P113" s="61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  <c r="AG113" s="62" t="n"/>
      <c r="AH113" s="62" t="n"/>
      <c r="AI113" s="62" t="n"/>
      <c r="AJ113" s="62" t="n"/>
      <c r="AK113" s="62" t="n"/>
      <c r="AL113" s="62" t="n"/>
      <c r="AM113" s="62" t="n"/>
      <c r="AN113" s="62" t="n"/>
      <c r="AO113" s="62" t="n"/>
      <c r="AP113" s="62" t="n"/>
      <c r="AQ113" s="62" t="n"/>
      <c r="AR113" s="62" t="n"/>
      <c r="AS113" s="62" t="n"/>
      <c r="AT113" s="62" t="n"/>
      <c r="AU113" s="62" t="n"/>
      <c r="AV113" s="62" t="n"/>
      <c r="AW113" s="62" t="n"/>
      <c r="AX113" s="62" t="n"/>
      <c r="AY113" s="62" t="n"/>
    </row>
    <row r="114">
      <c r="A114" s="38">
        <f>IF(D114="","",COUNTA($D$102:D114))</f>
        <v/>
      </c>
      <c r="B114" s="52" t="n"/>
      <c r="C114" s="71" t="inlineStr">
        <is>
          <t>마케팅4팀</t>
        </is>
      </c>
      <c r="D114" s="52" t="n"/>
      <c r="E114" s="54" t="n"/>
      <c r="F114" s="52" t="n"/>
      <c r="G114" s="55" t="n"/>
      <c r="H114" s="54" t="n"/>
      <c r="I114" s="54" t="n"/>
      <c r="J114" s="54" t="n"/>
      <c r="K114" s="56">
        <f>IF(SUM(U114:AY114)=0,"",SUM(U114:AY114))</f>
        <v/>
      </c>
      <c r="L114" s="57">
        <f>IFERROR(INDEX(U$2:AY$2,MATCH(TRUE,U114:AY114&lt;&gt;"",0)),"")</f>
        <v/>
      </c>
      <c r="M114" s="58">
        <f>IFERROR(LOOKUP(2,1/(U114:AY114&lt;&gt;""),U$2:AY$2),"")</f>
        <v/>
      </c>
      <c r="N114" s="59">
        <f>IF(OR(G114="",M114=""),"",G114-M114)</f>
        <v/>
      </c>
      <c r="O114" s="60" t="n"/>
      <c r="P114" s="61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  <c r="AG114" s="62" t="n"/>
      <c r="AH114" s="62" t="n"/>
      <c r="AI114" s="62" t="n"/>
      <c r="AJ114" s="62" t="n"/>
      <c r="AK114" s="62" t="n"/>
      <c r="AL114" s="62" t="n"/>
      <c r="AM114" s="62" t="n"/>
      <c r="AN114" s="62" t="n"/>
      <c r="AO114" s="62" t="n"/>
      <c r="AP114" s="62" t="n"/>
      <c r="AQ114" s="62" t="n"/>
      <c r="AR114" s="62" t="n"/>
      <c r="AS114" s="62" t="n"/>
      <c r="AT114" s="62" t="n"/>
      <c r="AU114" s="62" t="n"/>
      <c r="AV114" s="62" t="n"/>
      <c r="AW114" s="62" t="n"/>
      <c r="AX114" s="62" t="n"/>
      <c r="AY114" s="62" t="n"/>
    </row>
    <row r="115">
      <c r="A115" s="38">
        <f>IF(D115="","",COUNTA($D$102:D115))</f>
        <v/>
      </c>
      <c r="B115" s="52" t="n"/>
      <c r="C115" s="71" t="inlineStr">
        <is>
          <t>마케팅4팀</t>
        </is>
      </c>
      <c r="D115" s="52" t="n"/>
      <c r="E115" s="54" t="n"/>
      <c r="F115" s="52" t="n"/>
      <c r="G115" s="55" t="n"/>
      <c r="H115" s="54" t="n"/>
      <c r="I115" s="54" t="n"/>
      <c r="J115" s="54" t="n"/>
      <c r="K115" s="56">
        <f>IF(SUM(U115:AY115)=0,"",SUM(U115:AY115))</f>
        <v/>
      </c>
      <c r="L115" s="57">
        <f>IFERROR(INDEX(U$2:AY$2,MATCH(TRUE,U115:AY115&lt;&gt;"",0)),"")</f>
        <v/>
      </c>
      <c r="M115" s="58">
        <f>IFERROR(LOOKUP(2,1/(U115:AY115&lt;&gt;""),U$2:AY$2),"")</f>
        <v/>
      </c>
      <c r="N115" s="59">
        <f>IF(OR(G115="",M115=""),"",G115-M115)</f>
        <v/>
      </c>
      <c r="O115" s="60" t="n"/>
      <c r="P115" s="61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  <c r="AG115" s="62" t="n"/>
      <c r="AH115" s="62" t="n"/>
      <c r="AI115" s="62" t="n"/>
      <c r="AJ115" s="62" t="n"/>
      <c r="AK115" s="62" t="n"/>
      <c r="AL115" s="62" t="n"/>
      <c r="AM115" s="62" t="n"/>
      <c r="AN115" s="62" t="n"/>
      <c r="AO115" s="62" t="n"/>
      <c r="AP115" s="62" t="n"/>
      <c r="AQ115" s="62" t="n"/>
      <c r="AR115" s="62" t="n"/>
      <c r="AS115" s="62" t="n"/>
      <c r="AT115" s="62" t="n"/>
      <c r="AU115" s="62" t="n"/>
      <c r="AV115" s="62" t="n"/>
      <c r="AW115" s="62" t="n"/>
      <c r="AX115" s="62" t="n"/>
      <c r="AY115" s="62" t="n"/>
    </row>
    <row r="116">
      <c r="A116" s="38">
        <f>IF(D116="","",COUNTA($D$102:D116))</f>
        <v/>
      </c>
      <c r="B116" s="52" t="n"/>
      <c r="C116" s="71" t="inlineStr">
        <is>
          <t>마케팅4팀</t>
        </is>
      </c>
      <c r="D116" s="52" t="n"/>
      <c r="E116" s="54" t="n"/>
      <c r="F116" s="52" t="n"/>
      <c r="G116" s="55" t="n"/>
      <c r="H116" s="54" t="n"/>
      <c r="I116" s="54" t="n"/>
      <c r="J116" s="54" t="n"/>
      <c r="K116" s="56">
        <f>IF(SUM(U116:AY116)=0,"",SUM(U116:AY116))</f>
        <v/>
      </c>
      <c r="L116" s="57">
        <f>IFERROR(INDEX(U$2:AY$2,MATCH(TRUE,U116:AY116&lt;&gt;"",0)),"")</f>
        <v/>
      </c>
      <c r="M116" s="58">
        <f>IFERROR(LOOKUP(2,1/(U116:AY116&lt;&gt;""),U$2:AY$2),"")</f>
        <v/>
      </c>
      <c r="N116" s="59">
        <f>IF(OR(G116="",M116=""),"",G116-M116)</f>
        <v/>
      </c>
      <c r="O116" s="60" t="n"/>
      <c r="P116" s="61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  <c r="AG116" s="62" t="n"/>
      <c r="AH116" s="62" t="n"/>
      <c r="AI116" s="62" t="n"/>
      <c r="AJ116" s="62" t="n"/>
      <c r="AK116" s="62" t="n"/>
      <c r="AL116" s="62" t="n"/>
      <c r="AM116" s="62" t="n"/>
      <c r="AN116" s="62" t="n"/>
      <c r="AO116" s="62" t="n"/>
      <c r="AP116" s="62" t="n"/>
      <c r="AQ116" s="62" t="n"/>
      <c r="AR116" s="62" t="n"/>
      <c r="AS116" s="62" t="n"/>
      <c r="AT116" s="62" t="n"/>
      <c r="AU116" s="62" t="n"/>
      <c r="AV116" s="62" t="n"/>
      <c r="AW116" s="62" t="n"/>
      <c r="AX116" s="62" t="n"/>
      <c r="AY116" s="62" t="n"/>
    </row>
    <row r="117">
      <c r="A117" s="38">
        <f>IF(D117="","",COUNTA($D$102:D117))</f>
        <v/>
      </c>
      <c r="B117" s="52" t="n"/>
      <c r="C117" s="71" t="inlineStr">
        <is>
          <t>마케팅4팀</t>
        </is>
      </c>
      <c r="D117" s="52" t="n"/>
      <c r="E117" s="54" t="n"/>
      <c r="F117" s="52" t="n"/>
      <c r="G117" s="55" t="n"/>
      <c r="H117" s="54" t="n"/>
      <c r="I117" s="54" t="n"/>
      <c r="J117" s="54" t="n"/>
      <c r="K117" s="56">
        <f>IF(SUM(U117:AY117)=0,"",SUM(U117:AY117))</f>
        <v/>
      </c>
      <c r="L117" s="57">
        <f>IFERROR(INDEX(U$2:AY$2,MATCH(TRUE,U117:AY117&lt;&gt;"",0)),"")</f>
        <v/>
      </c>
      <c r="M117" s="58">
        <f>IFERROR(LOOKUP(2,1/(U117:AY117&lt;&gt;""),U$2:AY$2),"")</f>
        <v/>
      </c>
      <c r="N117" s="59">
        <f>IF(OR(G117="",M117=""),"",G117-M117)</f>
        <v/>
      </c>
      <c r="O117" s="60" t="n"/>
      <c r="P117" s="61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  <c r="AG117" s="62" t="n"/>
      <c r="AH117" s="62" t="n"/>
      <c r="AI117" s="62" t="n"/>
      <c r="AJ117" s="62" t="n"/>
      <c r="AK117" s="62" t="n"/>
      <c r="AL117" s="62" t="n"/>
      <c r="AM117" s="62" t="n"/>
      <c r="AN117" s="62" t="n"/>
      <c r="AO117" s="62" t="n"/>
      <c r="AP117" s="62" t="n"/>
      <c r="AQ117" s="62" t="n"/>
      <c r="AR117" s="62" t="n"/>
      <c r="AS117" s="62" t="n"/>
      <c r="AT117" s="62" t="n"/>
      <c r="AU117" s="62" t="n"/>
      <c r="AV117" s="62" t="n"/>
      <c r="AW117" s="62" t="n"/>
      <c r="AX117" s="62" t="n"/>
      <c r="AY117" s="62" t="n"/>
    </row>
    <row r="118">
      <c r="A118" s="38">
        <f>IF(D118="","",COUNTA($D$102:D118))</f>
        <v/>
      </c>
      <c r="B118" s="52" t="n"/>
      <c r="C118" s="71" t="inlineStr">
        <is>
          <t>마케팅4팀</t>
        </is>
      </c>
      <c r="D118" s="52" t="n"/>
      <c r="E118" s="54" t="n"/>
      <c r="F118" s="52" t="n"/>
      <c r="G118" s="55" t="n"/>
      <c r="H118" s="54" t="n"/>
      <c r="I118" s="54" t="n"/>
      <c r="J118" s="54" t="n"/>
      <c r="K118" s="56">
        <f>IF(SUM(U118:AY118)=0,"",SUM(U118:AY118))</f>
        <v/>
      </c>
      <c r="L118" s="57">
        <f>IFERROR(INDEX(U$2:AY$2,MATCH(TRUE,U118:AY118&lt;&gt;"",0)),"")</f>
        <v/>
      </c>
      <c r="M118" s="58">
        <f>IFERROR(LOOKUP(2,1/(U118:AY118&lt;&gt;""),U$2:AY$2),"")</f>
        <v/>
      </c>
      <c r="N118" s="59">
        <f>IF(OR(G118="",M118=""),"",G118-M118)</f>
        <v/>
      </c>
      <c r="O118" s="60" t="n"/>
      <c r="P118" s="61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  <c r="AG118" s="62" t="n"/>
      <c r="AH118" s="62" t="n"/>
      <c r="AI118" s="62" t="n"/>
      <c r="AJ118" s="62" t="n"/>
      <c r="AK118" s="62" t="n"/>
      <c r="AL118" s="62" t="n"/>
      <c r="AM118" s="62" t="n"/>
      <c r="AN118" s="62" t="n"/>
      <c r="AO118" s="62" t="n"/>
      <c r="AP118" s="62" t="n"/>
      <c r="AQ118" s="62" t="n"/>
      <c r="AR118" s="62" t="n"/>
      <c r="AS118" s="62" t="n"/>
      <c r="AT118" s="62" t="n"/>
      <c r="AU118" s="62" t="n"/>
      <c r="AV118" s="62" t="n"/>
      <c r="AW118" s="62" t="n"/>
      <c r="AX118" s="62" t="n"/>
      <c r="AY118" s="62" t="n"/>
    </row>
    <row r="119">
      <c r="A119" s="38">
        <f>IF(D119="","",COUNTA($D$102:D119))</f>
        <v/>
      </c>
      <c r="B119" s="52" t="n"/>
      <c r="C119" s="71" t="inlineStr">
        <is>
          <t>마케팅4팀</t>
        </is>
      </c>
      <c r="D119" s="52" t="n"/>
      <c r="E119" s="54" t="n"/>
      <c r="F119" s="52" t="n"/>
      <c r="G119" s="55" t="n"/>
      <c r="H119" s="54" t="n"/>
      <c r="I119" s="54" t="n"/>
      <c r="J119" s="54" t="n"/>
      <c r="K119" s="56">
        <f>IF(SUM(U119:AY119)=0,"",SUM(U119:AY119))</f>
        <v/>
      </c>
      <c r="L119" s="57">
        <f>IFERROR(INDEX(U$2:AY$2,MATCH(TRUE,U119:AY119&lt;&gt;"",0)),"")</f>
        <v/>
      </c>
      <c r="M119" s="58">
        <f>IFERROR(LOOKUP(2,1/(U119:AY119&lt;&gt;""),U$2:AY$2),"")</f>
        <v/>
      </c>
      <c r="N119" s="59">
        <f>IF(OR(G119="",M119=""),"",G119-M119)</f>
        <v/>
      </c>
      <c r="O119" s="60" t="n"/>
      <c r="P119" s="61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  <c r="AG119" s="62" t="n"/>
      <c r="AH119" s="62" t="n"/>
      <c r="AI119" s="62" t="n"/>
      <c r="AJ119" s="62" t="n"/>
      <c r="AK119" s="62" t="n"/>
      <c r="AL119" s="62" t="n"/>
      <c r="AM119" s="62" t="n"/>
      <c r="AN119" s="62" t="n"/>
      <c r="AO119" s="62" t="n"/>
      <c r="AP119" s="62" t="n"/>
      <c r="AQ119" s="62" t="n"/>
      <c r="AR119" s="62" t="n"/>
      <c r="AS119" s="62" t="n"/>
      <c r="AT119" s="62" t="n"/>
      <c r="AU119" s="62" t="n"/>
      <c r="AV119" s="62" t="n"/>
      <c r="AW119" s="62" t="n"/>
      <c r="AX119" s="62" t="n"/>
      <c r="AY119" s="62" t="n"/>
    </row>
    <row r="120">
      <c r="A120" s="38">
        <f>IF(D120="","",COUNTA($D$102:D120))</f>
        <v/>
      </c>
      <c r="B120" s="52" t="n"/>
      <c r="C120" s="71" t="inlineStr">
        <is>
          <t>마케팅4팀</t>
        </is>
      </c>
      <c r="D120" s="52" t="n"/>
      <c r="E120" s="54" t="n"/>
      <c r="F120" s="52" t="n"/>
      <c r="G120" s="55" t="n"/>
      <c r="H120" s="54" t="n"/>
      <c r="I120" s="54" t="n"/>
      <c r="J120" s="54" t="n"/>
      <c r="K120" s="56">
        <f>IF(SUM(U120:AY120)=0,"",SUM(U120:AY120))</f>
        <v/>
      </c>
      <c r="L120" s="57">
        <f>IFERROR(INDEX(U$2:AY$2,MATCH(TRUE,U120:AY120&lt;&gt;"",0)),"")</f>
        <v/>
      </c>
      <c r="M120" s="58">
        <f>IFERROR(LOOKUP(2,1/(U120:AY120&lt;&gt;""),U$2:AY$2),"")</f>
        <v/>
      </c>
      <c r="N120" s="59">
        <f>IF(OR(G120="",M120=""),"",G120-M120)</f>
        <v/>
      </c>
      <c r="O120" s="60" t="n"/>
      <c r="P120" s="61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  <c r="AG120" s="62" t="n"/>
      <c r="AH120" s="62" t="n"/>
      <c r="AI120" s="62" t="n"/>
      <c r="AJ120" s="62" t="n"/>
      <c r="AK120" s="62" t="n"/>
      <c r="AL120" s="62" t="n"/>
      <c r="AM120" s="62" t="n"/>
      <c r="AN120" s="62" t="n"/>
      <c r="AO120" s="62" t="n"/>
      <c r="AP120" s="62" t="n"/>
      <c r="AQ120" s="62" t="n"/>
      <c r="AR120" s="62" t="n"/>
      <c r="AS120" s="62" t="n"/>
      <c r="AT120" s="62" t="n"/>
      <c r="AU120" s="62" t="n"/>
      <c r="AV120" s="62" t="n"/>
      <c r="AW120" s="62" t="n"/>
      <c r="AX120" s="62" t="n"/>
      <c r="AY120" s="62" t="n"/>
    </row>
    <row r="121">
      <c r="A121" s="38">
        <f>IF(D121="","",COUNTA($D$102:D121))</f>
        <v/>
      </c>
      <c r="B121" s="52" t="n"/>
      <c r="C121" s="71" t="inlineStr">
        <is>
          <t>마케팅4팀</t>
        </is>
      </c>
      <c r="D121" s="52" t="n"/>
      <c r="E121" s="54" t="n"/>
      <c r="F121" s="52" t="n"/>
      <c r="G121" s="55" t="n"/>
      <c r="H121" s="54" t="n"/>
      <c r="I121" s="54" t="n"/>
      <c r="J121" s="54" t="n"/>
      <c r="K121" s="56">
        <f>IF(SUM(U121:AY121)=0,"",SUM(U121:AY121))</f>
        <v/>
      </c>
      <c r="L121" s="57">
        <f>IFERROR(INDEX(U$2:AY$2,MATCH(TRUE,U121:AY121&lt;&gt;"",0)),"")</f>
        <v/>
      </c>
      <c r="M121" s="58">
        <f>IFERROR(LOOKUP(2,1/(U121:AY121&lt;&gt;""),U$2:AY$2),"")</f>
        <v/>
      </c>
      <c r="N121" s="59">
        <f>IF(OR(G121="",M121=""),"",G121-M121)</f>
        <v/>
      </c>
      <c r="O121" s="60" t="n"/>
      <c r="P121" s="61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  <c r="AG121" s="62" t="n"/>
      <c r="AH121" s="62" t="n"/>
      <c r="AI121" s="62" t="n"/>
      <c r="AJ121" s="62" t="n"/>
      <c r="AK121" s="62" t="n"/>
      <c r="AL121" s="62" t="n"/>
      <c r="AM121" s="62" t="n"/>
      <c r="AN121" s="62" t="n"/>
      <c r="AO121" s="62" t="n"/>
      <c r="AP121" s="62" t="n"/>
      <c r="AQ121" s="62" t="n"/>
      <c r="AR121" s="62" t="n"/>
      <c r="AS121" s="62" t="n"/>
      <c r="AT121" s="62" t="n"/>
      <c r="AU121" s="62" t="n"/>
      <c r="AV121" s="62" t="n"/>
      <c r="AW121" s="62" t="n"/>
      <c r="AX121" s="62" t="n"/>
      <c r="AY121" s="62" t="n"/>
    </row>
    <row r="122">
      <c r="A122" s="38">
        <f>IF(D122="","",COUNTA($D$102:D122))</f>
        <v/>
      </c>
      <c r="B122" s="52" t="n"/>
      <c r="C122" s="71" t="inlineStr">
        <is>
          <t>마케팅4팀</t>
        </is>
      </c>
      <c r="D122" s="52" t="n"/>
      <c r="E122" s="54" t="n"/>
      <c r="F122" s="52" t="n"/>
      <c r="G122" s="55" t="n"/>
      <c r="H122" s="54" t="n"/>
      <c r="I122" s="54" t="n"/>
      <c r="J122" s="54" t="n"/>
      <c r="K122" s="56">
        <f>IF(SUM(U122:AY122)=0,"",SUM(U122:AY122))</f>
        <v/>
      </c>
      <c r="L122" s="57">
        <f>IFERROR(INDEX(U$2:AY$2,MATCH(TRUE,U122:AY122&lt;&gt;"",0)),"")</f>
        <v/>
      </c>
      <c r="M122" s="58">
        <f>IFERROR(LOOKUP(2,1/(U122:AY122&lt;&gt;""),U$2:AY$2),"")</f>
        <v/>
      </c>
      <c r="N122" s="59">
        <f>IF(OR(G122="",M122=""),"",G122-M122)</f>
        <v/>
      </c>
      <c r="O122" s="60" t="n"/>
      <c r="P122" s="61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  <c r="AG122" s="62" t="n"/>
      <c r="AH122" s="62" t="n"/>
      <c r="AI122" s="62" t="n"/>
      <c r="AJ122" s="62" t="n"/>
      <c r="AK122" s="62" t="n"/>
      <c r="AL122" s="62" t="n"/>
      <c r="AM122" s="62" t="n"/>
      <c r="AN122" s="62" t="n"/>
      <c r="AO122" s="62" t="n"/>
      <c r="AP122" s="62" t="n"/>
      <c r="AQ122" s="62" t="n"/>
      <c r="AR122" s="62" t="n"/>
      <c r="AS122" s="62" t="n"/>
      <c r="AT122" s="62" t="n"/>
      <c r="AU122" s="62" t="n"/>
      <c r="AV122" s="62" t="n"/>
      <c r="AW122" s="62" t="n"/>
      <c r="AX122" s="62" t="n"/>
      <c r="AY122" s="62" t="n"/>
    </row>
    <row r="123">
      <c r="A123" s="38">
        <f>IF(D123="","",COUNTA($D$102:D123))</f>
        <v/>
      </c>
      <c r="B123" s="52" t="n"/>
      <c r="C123" s="71" t="inlineStr">
        <is>
          <t>마케팅4팀</t>
        </is>
      </c>
      <c r="D123" s="52" t="n"/>
      <c r="E123" s="54" t="n"/>
      <c r="F123" s="52" t="n"/>
      <c r="G123" s="55" t="n"/>
      <c r="H123" s="54" t="n"/>
      <c r="I123" s="54" t="n"/>
      <c r="J123" s="54" t="n"/>
      <c r="K123" s="56">
        <f>IF(SUM(U123:AY123)=0,"",SUM(U123:AY123))</f>
        <v/>
      </c>
      <c r="L123" s="57">
        <f>IFERROR(INDEX(U$2:AY$2,MATCH(TRUE,U123:AY123&lt;&gt;"",0)),"")</f>
        <v/>
      </c>
      <c r="M123" s="58">
        <f>IFERROR(LOOKUP(2,1/(U123:AY123&lt;&gt;""),U$2:AY$2),"")</f>
        <v/>
      </c>
      <c r="N123" s="59">
        <f>IF(OR(G123="",M123=""),"",G123-M123)</f>
        <v/>
      </c>
      <c r="O123" s="60" t="n"/>
      <c r="P123" s="61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  <c r="AG123" s="62" t="n"/>
      <c r="AH123" s="62" t="n"/>
      <c r="AI123" s="62" t="n"/>
      <c r="AJ123" s="62" t="n"/>
      <c r="AK123" s="62" t="n"/>
      <c r="AL123" s="62" t="n"/>
      <c r="AM123" s="62" t="n"/>
      <c r="AN123" s="62" t="n"/>
      <c r="AO123" s="62" t="n"/>
      <c r="AP123" s="62" t="n"/>
      <c r="AQ123" s="62" t="n"/>
      <c r="AR123" s="62" t="n"/>
      <c r="AS123" s="62" t="n"/>
      <c r="AT123" s="62" t="n"/>
      <c r="AU123" s="62" t="n"/>
      <c r="AV123" s="62" t="n"/>
      <c r="AW123" s="62" t="n"/>
      <c r="AX123" s="62" t="n"/>
      <c r="AY123" s="62" t="n"/>
    </row>
    <row r="124">
      <c r="A124" s="38">
        <f>IF(D124="","",COUNTA($D$102:D124))</f>
        <v/>
      </c>
      <c r="B124" s="52" t="n"/>
      <c r="C124" s="71" t="inlineStr">
        <is>
          <t>마케팅4팀</t>
        </is>
      </c>
      <c r="D124" s="52" t="n"/>
      <c r="E124" s="54" t="n"/>
      <c r="F124" s="52" t="n"/>
      <c r="G124" s="55" t="n"/>
      <c r="H124" s="54" t="n"/>
      <c r="I124" s="54" t="n"/>
      <c r="J124" s="54" t="n"/>
      <c r="K124" s="56">
        <f>IF(SUM(U124:AY124)=0,"",SUM(U124:AY124))</f>
        <v/>
      </c>
      <c r="L124" s="57">
        <f>IFERROR(INDEX(U$2:AY$2,MATCH(TRUE,U124:AY124&lt;&gt;"",0)),"")</f>
        <v/>
      </c>
      <c r="M124" s="58">
        <f>IFERROR(LOOKUP(2,1/(U124:AY124&lt;&gt;""),U$2:AY$2),"")</f>
        <v/>
      </c>
      <c r="N124" s="59">
        <f>IF(OR(G124="",M124=""),"",G124-M124)</f>
        <v/>
      </c>
      <c r="O124" s="60" t="n"/>
      <c r="P124" s="61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  <c r="AG124" s="62" t="n"/>
      <c r="AH124" s="62" t="n"/>
      <c r="AI124" s="62" t="n"/>
      <c r="AJ124" s="62" t="n"/>
      <c r="AK124" s="62" t="n"/>
      <c r="AL124" s="62" t="n"/>
      <c r="AM124" s="62" t="n"/>
      <c r="AN124" s="62" t="n"/>
      <c r="AO124" s="62" t="n"/>
      <c r="AP124" s="62" t="n"/>
      <c r="AQ124" s="62" t="n"/>
      <c r="AR124" s="62" t="n"/>
      <c r="AS124" s="62" t="n"/>
      <c r="AT124" s="62" t="n"/>
      <c r="AU124" s="62" t="n"/>
      <c r="AV124" s="62" t="n"/>
      <c r="AW124" s="62" t="n"/>
      <c r="AX124" s="62" t="n"/>
      <c r="AY124" s="62" t="n"/>
    </row>
    <row r="125">
      <c r="A125" s="38">
        <f>IF(D125="","",COUNTA($D$102:D125))</f>
        <v/>
      </c>
      <c r="B125" s="52" t="n"/>
      <c r="C125" s="71" t="inlineStr">
        <is>
          <t>마케팅4팀</t>
        </is>
      </c>
      <c r="D125" s="52" t="n"/>
      <c r="E125" s="54" t="n"/>
      <c r="F125" s="52" t="n"/>
      <c r="G125" s="55" t="n"/>
      <c r="H125" s="54" t="n"/>
      <c r="I125" s="54" t="n"/>
      <c r="J125" s="54" t="n"/>
      <c r="K125" s="56">
        <f>IF(SUM(U125:AY125)=0,"",SUM(U125:AY125))</f>
        <v/>
      </c>
      <c r="L125" s="57">
        <f>IFERROR(INDEX(U$2:AY$2,MATCH(TRUE,U125:AY125&lt;&gt;"",0)),"")</f>
        <v/>
      </c>
      <c r="M125" s="58">
        <f>IFERROR(LOOKUP(2,1/(U125:AY125&lt;&gt;""),U$2:AY$2),"")</f>
        <v/>
      </c>
      <c r="N125" s="59">
        <f>IF(OR(G125="",M125=""),"",G125-M125)</f>
        <v/>
      </c>
      <c r="O125" s="60" t="n"/>
      <c r="P125" s="61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  <c r="AG125" s="62" t="n"/>
      <c r="AH125" s="62" t="n"/>
      <c r="AI125" s="62" t="n"/>
      <c r="AJ125" s="62" t="n"/>
      <c r="AK125" s="62" t="n"/>
      <c r="AL125" s="62" t="n"/>
      <c r="AM125" s="62" t="n"/>
      <c r="AN125" s="62" t="n"/>
      <c r="AO125" s="62" t="n"/>
      <c r="AP125" s="62" t="n"/>
      <c r="AQ125" s="62" t="n"/>
      <c r="AR125" s="62" t="n"/>
      <c r="AS125" s="62" t="n"/>
      <c r="AT125" s="62" t="n"/>
      <c r="AU125" s="62" t="n"/>
      <c r="AV125" s="62" t="n"/>
      <c r="AW125" s="62" t="n"/>
      <c r="AX125" s="62" t="n"/>
      <c r="AY125" s="62" t="n"/>
    </row>
    <row r="126">
      <c r="A126" s="38">
        <f>IF(D126="","",COUNTA($D$102:D126))</f>
        <v/>
      </c>
      <c r="B126" s="52" t="n"/>
      <c r="C126" s="71" t="inlineStr">
        <is>
          <t>마케팅4팀</t>
        </is>
      </c>
      <c r="D126" s="52" t="n"/>
      <c r="E126" s="54" t="n"/>
      <c r="F126" s="52" t="n"/>
      <c r="G126" s="55" t="n"/>
      <c r="H126" s="54" t="n"/>
      <c r="I126" s="54" t="n"/>
      <c r="J126" s="54" t="n"/>
      <c r="K126" s="56">
        <f>IF(SUM(U126:AY126)=0,"",SUM(U126:AY126))</f>
        <v/>
      </c>
      <c r="L126" s="57">
        <f>IFERROR(INDEX(U$2:AY$2,MATCH(TRUE,U126:AY126&lt;&gt;"",0)),"")</f>
        <v/>
      </c>
      <c r="M126" s="58">
        <f>IFERROR(LOOKUP(2,1/(U126:AY126&lt;&gt;""),U$2:AY$2),"")</f>
        <v/>
      </c>
      <c r="N126" s="59">
        <f>IF(OR(G126="",M126=""),"",G126-M126)</f>
        <v/>
      </c>
      <c r="O126" s="60" t="n"/>
      <c r="P126" s="61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  <c r="AG126" s="62" t="n"/>
      <c r="AH126" s="62" t="n"/>
      <c r="AI126" s="62" t="n"/>
      <c r="AJ126" s="62" t="n"/>
      <c r="AK126" s="62" t="n"/>
      <c r="AL126" s="62" t="n"/>
      <c r="AM126" s="62" t="n"/>
      <c r="AN126" s="62" t="n"/>
      <c r="AO126" s="62" t="n"/>
      <c r="AP126" s="62" t="n"/>
      <c r="AQ126" s="62" t="n"/>
      <c r="AR126" s="62" t="n"/>
      <c r="AS126" s="62" t="n"/>
      <c r="AT126" s="62" t="n"/>
      <c r="AU126" s="62" t="n"/>
      <c r="AV126" s="62" t="n"/>
      <c r="AW126" s="62" t="n"/>
      <c r="AX126" s="62" t="n"/>
      <c r="AY126" s="62" t="n"/>
    </row>
    <row r="127">
      <c r="A127" s="38">
        <f>IF(D127="","",COUNTA($D$102:D127))</f>
        <v/>
      </c>
      <c r="B127" s="52" t="n"/>
      <c r="C127" s="71" t="inlineStr">
        <is>
          <t>마케팅4팀</t>
        </is>
      </c>
      <c r="D127" s="52" t="n"/>
      <c r="E127" s="54" t="n"/>
      <c r="F127" s="52" t="n"/>
      <c r="G127" s="55" t="n"/>
      <c r="H127" s="54" t="n"/>
      <c r="I127" s="54" t="n"/>
      <c r="J127" s="54" t="n"/>
      <c r="K127" s="56">
        <f>IF(SUM(U127:AY127)=0,"",SUM(U127:AY127))</f>
        <v/>
      </c>
      <c r="L127" s="57">
        <f>IFERROR(INDEX(U$2:AY$2,MATCH(TRUE,U127:AY127&lt;&gt;"",0)),"")</f>
        <v/>
      </c>
      <c r="M127" s="58">
        <f>IFERROR(LOOKUP(2,1/(U127:AY127&lt;&gt;""),U$2:AY$2),"")</f>
        <v/>
      </c>
      <c r="N127" s="59">
        <f>IF(OR(G127="",M127=""),"",G127-M127)</f>
        <v/>
      </c>
      <c r="O127" s="60" t="n"/>
      <c r="P127" s="61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  <c r="AG127" s="62" t="n"/>
      <c r="AH127" s="62" t="n"/>
      <c r="AI127" s="62" t="n"/>
      <c r="AJ127" s="62" t="n"/>
      <c r="AK127" s="62" t="n"/>
      <c r="AL127" s="62" t="n"/>
      <c r="AM127" s="62" t="n"/>
      <c r="AN127" s="62" t="n"/>
      <c r="AO127" s="62" t="n"/>
      <c r="AP127" s="62" t="n"/>
      <c r="AQ127" s="62" t="n"/>
      <c r="AR127" s="62" t="n"/>
      <c r="AS127" s="62" t="n"/>
      <c r="AT127" s="62" t="n"/>
      <c r="AU127" s="62" t="n"/>
      <c r="AV127" s="62" t="n"/>
      <c r="AW127" s="62" t="n"/>
      <c r="AX127" s="62" t="n"/>
      <c r="AY127" s="62" t="n"/>
    </row>
    <row r="128">
      <c r="A128" s="38">
        <f>IF(D128="","",COUNTA($D$102:D128))</f>
        <v/>
      </c>
      <c r="B128" s="52" t="n"/>
      <c r="C128" s="71" t="inlineStr">
        <is>
          <t>마케팅4팀</t>
        </is>
      </c>
      <c r="D128" s="52" t="n"/>
      <c r="E128" s="54" t="n"/>
      <c r="F128" s="52" t="n"/>
      <c r="G128" s="55" t="n"/>
      <c r="H128" s="54" t="n"/>
      <c r="I128" s="54" t="n"/>
      <c r="J128" s="54" t="n"/>
      <c r="K128" s="56">
        <f>IF(SUM(U128:AY128)=0,"",SUM(U128:AY128))</f>
        <v/>
      </c>
      <c r="L128" s="57">
        <f>IFERROR(INDEX(U$2:AY$2,MATCH(TRUE,U128:AY128&lt;&gt;"",0)),"")</f>
        <v/>
      </c>
      <c r="M128" s="58">
        <f>IFERROR(LOOKUP(2,1/(U128:AY128&lt;&gt;""),U$2:AY$2),"")</f>
        <v/>
      </c>
      <c r="N128" s="59">
        <f>IF(OR(G128="",M128=""),"",G128-M128)</f>
        <v/>
      </c>
      <c r="O128" s="60" t="n"/>
      <c r="P128" s="61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  <c r="AG128" s="62" t="n"/>
      <c r="AH128" s="62" t="n"/>
      <c r="AI128" s="62" t="n"/>
      <c r="AJ128" s="62" t="n"/>
      <c r="AK128" s="62" t="n"/>
      <c r="AL128" s="62" t="n"/>
      <c r="AM128" s="62" t="n"/>
      <c r="AN128" s="62" t="n"/>
      <c r="AO128" s="62" t="n"/>
      <c r="AP128" s="62" t="n"/>
      <c r="AQ128" s="62" t="n"/>
      <c r="AR128" s="62" t="n"/>
      <c r="AS128" s="62" t="n"/>
      <c r="AT128" s="62" t="n"/>
      <c r="AU128" s="62" t="n"/>
      <c r="AV128" s="62" t="n"/>
      <c r="AW128" s="62" t="n"/>
      <c r="AX128" s="62" t="n"/>
      <c r="AY128" s="62" t="n"/>
    </row>
    <row r="129">
      <c r="A129" s="38">
        <f>IF(D129="","",COUNTA($D$102:D129))</f>
        <v/>
      </c>
      <c r="B129" s="52" t="n"/>
      <c r="C129" s="71" t="inlineStr">
        <is>
          <t>마케팅4팀</t>
        </is>
      </c>
      <c r="D129" s="52" t="n"/>
      <c r="E129" s="54" t="n"/>
      <c r="F129" s="52" t="n"/>
      <c r="G129" s="55" t="n"/>
      <c r="H129" s="54" t="n"/>
      <c r="I129" s="54" t="n"/>
      <c r="J129" s="54" t="n"/>
      <c r="K129" s="56">
        <f>IF(SUM(U129:AY129)=0,"",SUM(U129:AY129))</f>
        <v/>
      </c>
      <c r="L129" s="57">
        <f>IFERROR(INDEX(U$2:AY$2,MATCH(TRUE,U129:AY129&lt;&gt;"",0)),"")</f>
        <v/>
      </c>
      <c r="M129" s="58">
        <f>IFERROR(LOOKUP(2,1/(U129:AY129&lt;&gt;""),U$2:AY$2),"")</f>
        <v/>
      </c>
      <c r="N129" s="59">
        <f>IF(OR(G129="",M129=""),"",G129-M129)</f>
        <v/>
      </c>
      <c r="O129" s="60" t="n"/>
      <c r="P129" s="61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  <c r="AG129" s="62" t="n"/>
      <c r="AH129" s="62" t="n"/>
      <c r="AI129" s="62" t="n"/>
      <c r="AJ129" s="62" t="n"/>
      <c r="AK129" s="62" t="n"/>
      <c r="AL129" s="62" t="n"/>
      <c r="AM129" s="62" t="n"/>
      <c r="AN129" s="62" t="n"/>
      <c r="AO129" s="62" t="n"/>
      <c r="AP129" s="62" t="n"/>
      <c r="AQ129" s="62" t="n"/>
      <c r="AR129" s="62" t="n"/>
      <c r="AS129" s="62" t="n"/>
      <c r="AT129" s="62" t="n"/>
      <c r="AU129" s="62" t="n"/>
      <c r="AV129" s="62" t="n"/>
      <c r="AW129" s="62" t="n"/>
      <c r="AX129" s="62" t="n"/>
      <c r="AY129" s="62" t="n"/>
    </row>
    <row r="130">
      <c r="A130" s="38">
        <f>IF(D130="","",COUNTA($D$102:D130))</f>
        <v/>
      </c>
      <c r="B130" s="52" t="n"/>
      <c r="C130" s="71" t="inlineStr">
        <is>
          <t>마케팅4팀</t>
        </is>
      </c>
      <c r="D130" s="52" t="n"/>
      <c r="E130" s="54" t="n"/>
      <c r="F130" s="52" t="n"/>
      <c r="G130" s="55" t="n"/>
      <c r="H130" s="54" t="n"/>
      <c r="I130" s="54" t="n"/>
      <c r="J130" s="54" t="n"/>
      <c r="K130" s="56">
        <f>IF(SUM(U130:AY130)=0,"",SUM(U130:AY130))</f>
        <v/>
      </c>
      <c r="L130" s="57">
        <f>IFERROR(INDEX(U$2:AY$2,MATCH(TRUE,U130:AY130&lt;&gt;"",0)),"")</f>
        <v/>
      </c>
      <c r="M130" s="58">
        <f>IFERROR(LOOKUP(2,1/(U130:AY130&lt;&gt;""),U$2:AY$2),"")</f>
        <v/>
      </c>
      <c r="N130" s="59">
        <f>IF(OR(G130="",M130=""),"",G130-M130)</f>
        <v/>
      </c>
      <c r="O130" s="60" t="n"/>
      <c r="P130" s="61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  <c r="AG130" s="62" t="n"/>
      <c r="AH130" s="62" t="n"/>
      <c r="AI130" s="62" t="n"/>
      <c r="AJ130" s="62" t="n"/>
      <c r="AK130" s="62" t="n"/>
      <c r="AL130" s="62" t="n"/>
      <c r="AM130" s="62" t="n"/>
      <c r="AN130" s="62" t="n"/>
      <c r="AO130" s="62" t="n"/>
      <c r="AP130" s="62" t="n"/>
      <c r="AQ130" s="62" t="n"/>
      <c r="AR130" s="62" t="n"/>
      <c r="AS130" s="62" t="n"/>
      <c r="AT130" s="62" t="n"/>
      <c r="AU130" s="62" t="n"/>
      <c r="AV130" s="62" t="n"/>
      <c r="AW130" s="62" t="n"/>
      <c r="AX130" s="62" t="n"/>
      <c r="AY130" s="62" t="n"/>
    </row>
    <row r="131">
      <c r="A131" s="38">
        <f>IF(D131="","",COUNTA($D$102:D131))</f>
        <v/>
      </c>
      <c r="B131" s="52" t="n"/>
      <c r="C131" s="71" t="inlineStr">
        <is>
          <t>마케팅4팀</t>
        </is>
      </c>
      <c r="D131" s="52" t="n"/>
      <c r="E131" s="54" t="n"/>
      <c r="F131" s="52" t="n"/>
      <c r="G131" s="55" t="n"/>
      <c r="H131" s="54" t="n"/>
      <c r="I131" s="54" t="n"/>
      <c r="J131" s="54" t="n"/>
      <c r="K131" s="56">
        <f>IF(SUM(U131:AY131)=0,"",SUM(U131:AY131))</f>
        <v/>
      </c>
      <c r="L131" s="57">
        <f>IFERROR(INDEX(U$2:AY$2,MATCH(TRUE,U131:AY131&lt;&gt;"",0)),"")</f>
        <v/>
      </c>
      <c r="M131" s="58">
        <f>IFERROR(LOOKUP(2,1/(U131:AY131&lt;&gt;""),U$2:AY$2),"")</f>
        <v/>
      </c>
      <c r="N131" s="59">
        <f>IF(OR(G131="",M131=""),"",G131-M131)</f>
        <v/>
      </c>
      <c r="O131" s="60" t="n"/>
      <c r="P131" s="61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  <c r="AG131" s="62" t="n"/>
      <c r="AH131" s="62" t="n"/>
      <c r="AI131" s="62" t="n"/>
      <c r="AJ131" s="62" t="n"/>
      <c r="AK131" s="62" t="n"/>
      <c r="AL131" s="62" t="n"/>
      <c r="AM131" s="62" t="n"/>
      <c r="AN131" s="62" t="n"/>
      <c r="AO131" s="62" t="n"/>
      <c r="AP131" s="62" t="n"/>
      <c r="AQ131" s="62" t="n"/>
      <c r="AR131" s="62" t="n"/>
      <c r="AS131" s="62" t="n"/>
      <c r="AT131" s="62" t="n"/>
      <c r="AU131" s="62" t="n"/>
      <c r="AV131" s="62" t="n"/>
      <c r="AW131" s="62" t="n"/>
      <c r="AX131" s="62" t="n"/>
      <c r="AY131" s="62" t="n"/>
    </row>
    <row r="132">
      <c r="A132" s="72" t="inlineStr">
        <is>
          <t>기타  (133~162행)</t>
        </is>
      </c>
      <c r="U132" s="34" t="n"/>
      <c r="V132" s="34" t="n"/>
      <c r="W132" s="34" t="n"/>
      <c r="X132" s="34" t="n"/>
      <c r="Y132" s="34" t="n"/>
      <c r="Z132" s="34" t="n"/>
      <c r="AA132" s="34" t="n"/>
      <c r="AB132" s="34" t="n"/>
      <c r="AC132" s="34" t="n"/>
      <c r="AD132" s="34" t="n"/>
      <c r="AE132" s="34" t="n"/>
      <c r="AF132" s="34" t="n"/>
      <c r="AG132" s="34" t="n"/>
      <c r="AH132" s="34" t="n"/>
      <c r="AI132" s="34" t="n"/>
      <c r="AJ132" s="34" t="n"/>
      <c r="AK132" s="34" t="n"/>
      <c r="AL132" s="34" t="n"/>
      <c r="AM132" s="34" t="n"/>
      <c r="AN132" s="34" t="n"/>
      <c r="AO132" s="34" t="n"/>
      <c r="AP132" s="34" t="n"/>
      <c r="AQ132" s="34" t="n"/>
      <c r="AR132" s="34" t="n"/>
      <c r="AS132" s="34" t="n"/>
      <c r="AT132" s="34" t="n"/>
      <c r="AU132" s="34" t="n"/>
      <c r="AV132" s="34" t="n"/>
      <c r="AW132" s="34" t="n"/>
      <c r="AX132" s="34" t="n"/>
      <c r="AY132" s="34" t="n"/>
    </row>
    <row r="133">
      <c r="A133" s="38">
        <f>IF(D133="","",COUNTA($D$133:D133))</f>
        <v/>
      </c>
      <c r="B133" s="52" t="n"/>
      <c r="C133" s="73" t="inlineStr">
        <is>
          <t>기타</t>
        </is>
      </c>
      <c r="D133" s="52" t="n"/>
      <c r="E133" s="54" t="n"/>
      <c r="F133" s="52" t="n"/>
      <c r="G133" s="55" t="n"/>
      <c r="H133" s="54" t="n"/>
      <c r="I133" s="54" t="n"/>
      <c r="J133" s="54" t="n"/>
      <c r="K133" s="56">
        <f>IF(SUM(U133:AY133)=0,"",SUM(U133:AY133))</f>
        <v/>
      </c>
      <c r="L133" s="57">
        <f>IFERROR(INDEX(U$2:AY$2,MATCH(TRUE,U133:AY133&lt;&gt;"",0)),"")</f>
        <v/>
      </c>
      <c r="M133" s="58">
        <f>IFERROR(LOOKUP(2,1/(U133:AY133&lt;&gt;""),U$2:AY$2),"")</f>
        <v/>
      </c>
      <c r="N133" s="59">
        <f>IF(OR(G133="",M133=""),"",G133-M133)</f>
        <v/>
      </c>
      <c r="O133" s="60" t="n"/>
      <c r="P133" s="61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  <c r="AG133" s="62" t="n"/>
      <c r="AH133" s="62" t="n"/>
      <c r="AI133" s="62" t="n"/>
      <c r="AJ133" s="62" t="n"/>
      <c r="AK133" s="62" t="n"/>
      <c r="AL133" s="62" t="n"/>
      <c r="AM133" s="62" t="n"/>
      <c r="AN133" s="62" t="n"/>
      <c r="AO133" s="62" t="n"/>
      <c r="AP133" s="62" t="n"/>
      <c r="AQ133" s="62" t="n"/>
      <c r="AR133" s="62" t="n"/>
      <c r="AS133" s="62" t="n"/>
      <c r="AT133" s="62" t="n"/>
      <c r="AU133" s="62" t="n"/>
      <c r="AV133" s="62" t="n"/>
      <c r="AW133" s="62" t="n"/>
      <c r="AX133" s="62" t="n"/>
      <c r="AY133" s="62" t="n"/>
    </row>
    <row r="134">
      <c r="A134" s="38">
        <f>IF(D134="","",COUNTA($D$133:D134))</f>
        <v/>
      </c>
      <c r="B134" s="52" t="n"/>
      <c r="C134" s="73" t="inlineStr">
        <is>
          <t>기타</t>
        </is>
      </c>
      <c r="D134" s="52" t="n"/>
      <c r="E134" s="54" t="n"/>
      <c r="F134" s="52" t="n"/>
      <c r="G134" s="55" t="n"/>
      <c r="H134" s="54" t="n"/>
      <c r="I134" s="54" t="n"/>
      <c r="J134" s="54" t="n"/>
      <c r="K134" s="56">
        <f>IF(SUM(U134:AY134)=0,"",SUM(U134:AY134))</f>
        <v/>
      </c>
      <c r="L134" s="57">
        <f>IFERROR(INDEX(U$2:AY$2,MATCH(TRUE,U134:AY134&lt;&gt;"",0)),"")</f>
        <v/>
      </c>
      <c r="M134" s="58">
        <f>IFERROR(LOOKUP(2,1/(U134:AY134&lt;&gt;""),U$2:AY$2),"")</f>
        <v/>
      </c>
      <c r="N134" s="59">
        <f>IF(OR(G134="",M134=""),"",G134-M134)</f>
        <v/>
      </c>
      <c r="O134" s="60" t="n"/>
      <c r="P134" s="61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  <c r="AG134" s="62" t="n"/>
      <c r="AH134" s="62" t="n"/>
      <c r="AI134" s="62" t="n"/>
      <c r="AJ134" s="62" t="n"/>
      <c r="AK134" s="62" t="n"/>
      <c r="AL134" s="62" t="n"/>
      <c r="AM134" s="62" t="n"/>
      <c r="AN134" s="62" t="n"/>
      <c r="AO134" s="62" t="n"/>
      <c r="AP134" s="62" t="n"/>
      <c r="AQ134" s="62" t="n"/>
      <c r="AR134" s="62" t="n"/>
      <c r="AS134" s="62" t="n"/>
      <c r="AT134" s="62" t="n"/>
      <c r="AU134" s="62" t="n"/>
      <c r="AV134" s="62" t="n"/>
      <c r="AW134" s="62" t="n"/>
      <c r="AX134" s="62" t="n"/>
      <c r="AY134" s="62" t="n"/>
    </row>
    <row r="135">
      <c r="A135" s="38">
        <f>IF(D135="","",COUNTA($D$133:D135))</f>
        <v/>
      </c>
      <c r="B135" s="52" t="n"/>
      <c r="C135" s="73" t="inlineStr">
        <is>
          <t>기타</t>
        </is>
      </c>
      <c r="D135" s="52" t="n"/>
      <c r="E135" s="54" t="n"/>
      <c r="F135" s="52" t="n"/>
      <c r="G135" s="55" t="n"/>
      <c r="H135" s="54" t="n"/>
      <c r="I135" s="54" t="n"/>
      <c r="J135" s="54" t="n"/>
      <c r="K135" s="56">
        <f>IF(SUM(U135:AY135)=0,"",SUM(U135:AY135))</f>
        <v/>
      </c>
      <c r="L135" s="57">
        <f>IFERROR(INDEX(U$2:AY$2,MATCH(TRUE,U135:AY135&lt;&gt;"",0)),"")</f>
        <v/>
      </c>
      <c r="M135" s="58">
        <f>IFERROR(LOOKUP(2,1/(U135:AY135&lt;&gt;""),U$2:AY$2),"")</f>
        <v/>
      </c>
      <c r="N135" s="59">
        <f>IF(OR(G135="",M135=""),"",G135-M135)</f>
        <v/>
      </c>
      <c r="O135" s="60" t="n"/>
      <c r="P135" s="61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  <c r="AG135" s="62" t="n"/>
      <c r="AH135" s="62" t="n"/>
      <c r="AI135" s="62" t="n"/>
      <c r="AJ135" s="62" t="n"/>
      <c r="AK135" s="62" t="n"/>
      <c r="AL135" s="62" t="n"/>
      <c r="AM135" s="62" t="n"/>
      <c r="AN135" s="62" t="n"/>
      <c r="AO135" s="62" t="n"/>
      <c r="AP135" s="62" t="n"/>
      <c r="AQ135" s="62" t="n"/>
      <c r="AR135" s="62" t="n"/>
      <c r="AS135" s="62" t="n"/>
      <c r="AT135" s="62" t="n"/>
      <c r="AU135" s="62" t="n"/>
      <c r="AV135" s="62" t="n"/>
      <c r="AW135" s="62" t="n"/>
      <c r="AX135" s="62" t="n"/>
      <c r="AY135" s="62" t="n"/>
    </row>
    <row r="136">
      <c r="A136" s="38">
        <f>IF(D136="","",COUNTA($D$133:D136))</f>
        <v/>
      </c>
      <c r="B136" s="52" t="n"/>
      <c r="C136" s="73" t="inlineStr">
        <is>
          <t>기타</t>
        </is>
      </c>
      <c r="D136" s="52" t="n"/>
      <c r="E136" s="54" t="n"/>
      <c r="F136" s="52" t="n"/>
      <c r="G136" s="55" t="n"/>
      <c r="H136" s="54" t="n"/>
      <c r="I136" s="54" t="n"/>
      <c r="J136" s="54" t="n"/>
      <c r="K136" s="56">
        <f>IF(SUM(U136:AY136)=0,"",SUM(U136:AY136))</f>
        <v/>
      </c>
      <c r="L136" s="57">
        <f>IFERROR(INDEX(U$2:AY$2,MATCH(TRUE,U136:AY136&lt;&gt;"",0)),"")</f>
        <v/>
      </c>
      <c r="M136" s="58">
        <f>IFERROR(LOOKUP(2,1/(U136:AY136&lt;&gt;""),U$2:AY$2),"")</f>
        <v/>
      </c>
      <c r="N136" s="59">
        <f>IF(OR(G136="",M136=""),"",G136-M136)</f>
        <v/>
      </c>
      <c r="O136" s="60" t="n"/>
      <c r="P136" s="61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  <c r="AG136" s="62" t="n"/>
      <c r="AH136" s="62" t="n"/>
      <c r="AI136" s="62" t="n"/>
      <c r="AJ136" s="62" t="n"/>
      <c r="AK136" s="62" t="n"/>
      <c r="AL136" s="62" t="n"/>
      <c r="AM136" s="62" t="n"/>
      <c r="AN136" s="62" t="n"/>
      <c r="AO136" s="62" t="n"/>
      <c r="AP136" s="62" t="n"/>
      <c r="AQ136" s="62" t="n"/>
      <c r="AR136" s="62" t="n"/>
      <c r="AS136" s="62" t="n"/>
      <c r="AT136" s="62" t="n"/>
      <c r="AU136" s="62" t="n"/>
      <c r="AV136" s="62" t="n"/>
      <c r="AW136" s="62" t="n"/>
      <c r="AX136" s="62" t="n"/>
      <c r="AY136" s="62" t="n"/>
    </row>
    <row r="137">
      <c r="A137" s="38">
        <f>IF(D137="","",COUNTA($D$133:D137))</f>
        <v/>
      </c>
      <c r="B137" s="52" t="n"/>
      <c r="C137" s="73" t="inlineStr">
        <is>
          <t>기타</t>
        </is>
      </c>
      <c r="D137" s="52" t="n"/>
      <c r="E137" s="54" t="n"/>
      <c r="F137" s="52" t="n"/>
      <c r="G137" s="55" t="n"/>
      <c r="H137" s="54" t="n"/>
      <c r="I137" s="54" t="n"/>
      <c r="J137" s="54" t="n"/>
      <c r="K137" s="56">
        <f>IF(SUM(U137:AY137)=0,"",SUM(U137:AY137))</f>
        <v/>
      </c>
      <c r="L137" s="57">
        <f>IFERROR(INDEX(U$2:AY$2,MATCH(TRUE,U137:AY137&lt;&gt;"",0)),"")</f>
        <v/>
      </c>
      <c r="M137" s="58">
        <f>IFERROR(LOOKUP(2,1/(U137:AY137&lt;&gt;""),U$2:AY$2),"")</f>
        <v/>
      </c>
      <c r="N137" s="59">
        <f>IF(OR(G137="",M137=""),"",G137-M137)</f>
        <v/>
      </c>
      <c r="O137" s="60" t="n"/>
      <c r="P137" s="61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  <c r="AG137" s="62" t="n"/>
      <c r="AH137" s="62" t="n"/>
      <c r="AI137" s="62" t="n"/>
      <c r="AJ137" s="62" t="n"/>
      <c r="AK137" s="62" t="n"/>
      <c r="AL137" s="62" t="n"/>
      <c r="AM137" s="62" t="n"/>
      <c r="AN137" s="62" t="n"/>
      <c r="AO137" s="62" t="n"/>
      <c r="AP137" s="62" t="n"/>
      <c r="AQ137" s="62" t="n"/>
      <c r="AR137" s="62" t="n"/>
      <c r="AS137" s="62" t="n"/>
      <c r="AT137" s="62" t="n"/>
      <c r="AU137" s="62" t="n"/>
      <c r="AV137" s="62" t="n"/>
      <c r="AW137" s="62" t="n"/>
      <c r="AX137" s="62" t="n"/>
      <c r="AY137" s="62" t="n"/>
    </row>
    <row r="138">
      <c r="A138" s="38">
        <f>IF(D138="","",COUNTA($D$133:D138))</f>
        <v/>
      </c>
      <c r="B138" s="52" t="n"/>
      <c r="C138" s="73" t="inlineStr">
        <is>
          <t>기타</t>
        </is>
      </c>
      <c r="D138" s="52" t="n"/>
      <c r="E138" s="54" t="n"/>
      <c r="F138" s="52" t="n"/>
      <c r="G138" s="55" t="n"/>
      <c r="H138" s="54" t="n"/>
      <c r="I138" s="54" t="n"/>
      <c r="J138" s="54" t="n"/>
      <c r="K138" s="56">
        <f>IF(SUM(U138:AY138)=0,"",SUM(U138:AY138))</f>
        <v/>
      </c>
      <c r="L138" s="57">
        <f>IFERROR(INDEX(U$2:AY$2,MATCH(TRUE,U138:AY138&lt;&gt;"",0)),"")</f>
        <v/>
      </c>
      <c r="M138" s="58">
        <f>IFERROR(LOOKUP(2,1/(U138:AY138&lt;&gt;""),U$2:AY$2),"")</f>
        <v/>
      </c>
      <c r="N138" s="59">
        <f>IF(OR(G138="",M138=""),"",G138-M138)</f>
        <v/>
      </c>
      <c r="O138" s="60" t="n"/>
      <c r="P138" s="61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  <c r="AG138" s="62" t="n"/>
      <c r="AH138" s="62" t="n"/>
      <c r="AI138" s="62" t="n"/>
      <c r="AJ138" s="62" t="n"/>
      <c r="AK138" s="62" t="n"/>
      <c r="AL138" s="62" t="n"/>
      <c r="AM138" s="62" t="n"/>
      <c r="AN138" s="62" t="n"/>
      <c r="AO138" s="62" t="n"/>
      <c r="AP138" s="62" t="n"/>
      <c r="AQ138" s="62" t="n"/>
      <c r="AR138" s="62" t="n"/>
      <c r="AS138" s="62" t="n"/>
      <c r="AT138" s="62" t="n"/>
      <c r="AU138" s="62" t="n"/>
      <c r="AV138" s="62" t="n"/>
      <c r="AW138" s="62" t="n"/>
      <c r="AX138" s="62" t="n"/>
      <c r="AY138" s="62" t="n"/>
    </row>
    <row r="139">
      <c r="A139" s="38">
        <f>IF(D139="","",COUNTA($D$133:D139))</f>
        <v/>
      </c>
      <c r="B139" s="52" t="n"/>
      <c r="C139" s="73" t="inlineStr">
        <is>
          <t>기타</t>
        </is>
      </c>
      <c r="D139" s="52" t="n"/>
      <c r="E139" s="54" t="n"/>
      <c r="F139" s="52" t="n"/>
      <c r="G139" s="55" t="n"/>
      <c r="H139" s="54" t="n"/>
      <c r="I139" s="54" t="n"/>
      <c r="J139" s="54" t="n"/>
      <c r="K139" s="56">
        <f>IF(SUM(U139:AY139)=0,"",SUM(U139:AY139))</f>
        <v/>
      </c>
      <c r="L139" s="57">
        <f>IFERROR(INDEX(U$2:AY$2,MATCH(TRUE,U139:AY139&lt;&gt;"",0)),"")</f>
        <v/>
      </c>
      <c r="M139" s="58">
        <f>IFERROR(LOOKUP(2,1/(U139:AY139&lt;&gt;""),U$2:AY$2),"")</f>
        <v/>
      </c>
      <c r="N139" s="59">
        <f>IF(OR(G139="",M139=""),"",G139-M139)</f>
        <v/>
      </c>
      <c r="O139" s="60" t="n"/>
      <c r="P139" s="61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  <c r="AG139" s="62" t="n"/>
      <c r="AH139" s="62" t="n"/>
      <c r="AI139" s="62" t="n"/>
      <c r="AJ139" s="62" t="n"/>
      <c r="AK139" s="62" t="n"/>
      <c r="AL139" s="62" t="n"/>
      <c r="AM139" s="62" t="n"/>
      <c r="AN139" s="62" t="n"/>
      <c r="AO139" s="62" t="n"/>
      <c r="AP139" s="62" t="n"/>
      <c r="AQ139" s="62" t="n"/>
      <c r="AR139" s="62" t="n"/>
      <c r="AS139" s="62" t="n"/>
      <c r="AT139" s="62" t="n"/>
      <c r="AU139" s="62" t="n"/>
      <c r="AV139" s="62" t="n"/>
      <c r="AW139" s="62" t="n"/>
      <c r="AX139" s="62" t="n"/>
      <c r="AY139" s="62" t="n"/>
    </row>
    <row r="140">
      <c r="A140" s="38">
        <f>IF(D140="","",COUNTA($D$133:D140))</f>
        <v/>
      </c>
      <c r="B140" s="52" t="n"/>
      <c r="C140" s="73" t="inlineStr">
        <is>
          <t>기타</t>
        </is>
      </c>
      <c r="D140" s="52" t="n"/>
      <c r="E140" s="54" t="n"/>
      <c r="F140" s="52" t="n"/>
      <c r="G140" s="55" t="n"/>
      <c r="H140" s="54" t="n"/>
      <c r="I140" s="54" t="n"/>
      <c r="J140" s="54" t="n"/>
      <c r="K140" s="56">
        <f>IF(SUM(U140:AY140)=0,"",SUM(U140:AY140))</f>
        <v/>
      </c>
      <c r="L140" s="57">
        <f>IFERROR(INDEX(U$2:AY$2,MATCH(TRUE,U140:AY140&lt;&gt;"",0)),"")</f>
        <v/>
      </c>
      <c r="M140" s="58">
        <f>IFERROR(LOOKUP(2,1/(U140:AY140&lt;&gt;""),U$2:AY$2),"")</f>
        <v/>
      </c>
      <c r="N140" s="59">
        <f>IF(OR(G140="",M140=""),"",G140-M140)</f>
        <v/>
      </c>
      <c r="O140" s="60" t="n"/>
      <c r="P140" s="61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  <c r="AG140" s="62" t="n"/>
      <c r="AH140" s="62" t="n"/>
      <c r="AI140" s="62" t="n"/>
      <c r="AJ140" s="62" t="n"/>
      <c r="AK140" s="62" t="n"/>
      <c r="AL140" s="62" t="n"/>
      <c r="AM140" s="62" t="n"/>
      <c r="AN140" s="62" t="n"/>
      <c r="AO140" s="62" t="n"/>
      <c r="AP140" s="62" t="n"/>
      <c r="AQ140" s="62" t="n"/>
      <c r="AR140" s="62" t="n"/>
      <c r="AS140" s="62" t="n"/>
      <c r="AT140" s="62" t="n"/>
      <c r="AU140" s="62" t="n"/>
      <c r="AV140" s="62" t="n"/>
      <c r="AW140" s="62" t="n"/>
      <c r="AX140" s="62" t="n"/>
      <c r="AY140" s="62" t="n"/>
    </row>
    <row r="141">
      <c r="A141" s="38">
        <f>IF(D141="","",COUNTA($D$133:D141))</f>
        <v/>
      </c>
      <c r="B141" s="52" t="n"/>
      <c r="C141" s="73" t="inlineStr">
        <is>
          <t>기타</t>
        </is>
      </c>
      <c r="D141" s="52" t="n"/>
      <c r="E141" s="54" t="n"/>
      <c r="F141" s="52" t="n"/>
      <c r="G141" s="55" t="n"/>
      <c r="H141" s="54" t="n"/>
      <c r="I141" s="54" t="n"/>
      <c r="J141" s="54" t="n"/>
      <c r="K141" s="56">
        <f>IF(SUM(U141:AY141)=0,"",SUM(U141:AY141))</f>
        <v/>
      </c>
      <c r="L141" s="57">
        <f>IFERROR(INDEX(U$2:AY$2,MATCH(TRUE,U141:AY141&lt;&gt;"",0)),"")</f>
        <v/>
      </c>
      <c r="M141" s="58">
        <f>IFERROR(LOOKUP(2,1/(U141:AY141&lt;&gt;""),U$2:AY$2),"")</f>
        <v/>
      </c>
      <c r="N141" s="59">
        <f>IF(OR(G141="",M141=""),"",G141-M141)</f>
        <v/>
      </c>
      <c r="O141" s="60" t="n"/>
      <c r="P141" s="61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  <c r="AG141" s="62" t="n"/>
      <c r="AH141" s="62" t="n"/>
      <c r="AI141" s="62" t="n"/>
      <c r="AJ141" s="62" t="n"/>
      <c r="AK141" s="62" t="n"/>
      <c r="AL141" s="62" t="n"/>
      <c r="AM141" s="62" t="n"/>
      <c r="AN141" s="62" t="n"/>
      <c r="AO141" s="62" t="n"/>
      <c r="AP141" s="62" t="n"/>
      <c r="AQ141" s="62" t="n"/>
      <c r="AR141" s="62" t="n"/>
      <c r="AS141" s="62" t="n"/>
      <c r="AT141" s="62" t="n"/>
      <c r="AU141" s="62" t="n"/>
      <c r="AV141" s="62" t="n"/>
      <c r="AW141" s="62" t="n"/>
      <c r="AX141" s="62" t="n"/>
      <c r="AY141" s="62" t="n"/>
    </row>
    <row r="142">
      <c r="A142" s="38">
        <f>IF(D142="","",COUNTA($D$133:D142))</f>
        <v/>
      </c>
      <c r="B142" s="52" t="n"/>
      <c r="C142" s="73" t="inlineStr">
        <is>
          <t>기타</t>
        </is>
      </c>
      <c r="D142" s="52" t="n"/>
      <c r="E142" s="54" t="n"/>
      <c r="F142" s="52" t="n"/>
      <c r="G142" s="55" t="n"/>
      <c r="H142" s="54" t="n"/>
      <c r="I142" s="54" t="n"/>
      <c r="J142" s="54" t="n"/>
      <c r="K142" s="56">
        <f>IF(SUM(U142:AY142)=0,"",SUM(U142:AY142))</f>
        <v/>
      </c>
      <c r="L142" s="57">
        <f>IFERROR(INDEX(U$2:AY$2,MATCH(TRUE,U142:AY142&lt;&gt;"",0)),"")</f>
        <v/>
      </c>
      <c r="M142" s="58">
        <f>IFERROR(LOOKUP(2,1/(U142:AY142&lt;&gt;""),U$2:AY$2),"")</f>
        <v/>
      </c>
      <c r="N142" s="59">
        <f>IF(OR(G142="",M142=""),"",G142-M142)</f>
        <v/>
      </c>
      <c r="O142" s="60" t="n"/>
      <c r="P142" s="61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  <c r="AG142" s="62" t="n"/>
      <c r="AH142" s="62" t="n"/>
      <c r="AI142" s="62" t="n"/>
      <c r="AJ142" s="62" t="n"/>
      <c r="AK142" s="62" t="n"/>
      <c r="AL142" s="62" t="n"/>
      <c r="AM142" s="62" t="n"/>
      <c r="AN142" s="62" t="n"/>
      <c r="AO142" s="62" t="n"/>
      <c r="AP142" s="62" t="n"/>
      <c r="AQ142" s="62" t="n"/>
      <c r="AR142" s="62" t="n"/>
      <c r="AS142" s="62" t="n"/>
      <c r="AT142" s="62" t="n"/>
      <c r="AU142" s="62" t="n"/>
      <c r="AV142" s="62" t="n"/>
      <c r="AW142" s="62" t="n"/>
      <c r="AX142" s="62" t="n"/>
      <c r="AY142" s="62" t="n"/>
    </row>
    <row r="143">
      <c r="A143" s="38">
        <f>IF(D143="","",COUNTA($D$133:D143))</f>
        <v/>
      </c>
      <c r="B143" s="52" t="n"/>
      <c r="C143" s="73" t="inlineStr">
        <is>
          <t>기타</t>
        </is>
      </c>
      <c r="D143" s="52" t="n"/>
      <c r="E143" s="54" t="n"/>
      <c r="F143" s="52" t="n"/>
      <c r="G143" s="55" t="n"/>
      <c r="H143" s="54" t="n"/>
      <c r="I143" s="54" t="n"/>
      <c r="J143" s="54" t="n"/>
      <c r="K143" s="56">
        <f>IF(SUM(U143:AY143)=0,"",SUM(U143:AY143))</f>
        <v/>
      </c>
      <c r="L143" s="57">
        <f>IFERROR(INDEX(U$2:AY$2,MATCH(TRUE,U143:AY143&lt;&gt;"",0)),"")</f>
        <v/>
      </c>
      <c r="M143" s="58">
        <f>IFERROR(LOOKUP(2,1/(U143:AY143&lt;&gt;""),U$2:AY$2),"")</f>
        <v/>
      </c>
      <c r="N143" s="59">
        <f>IF(OR(G143="",M143=""),"",G143-M143)</f>
        <v/>
      </c>
      <c r="O143" s="60" t="n"/>
      <c r="P143" s="61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  <c r="AG143" s="62" t="n"/>
      <c r="AH143" s="62" t="n"/>
      <c r="AI143" s="62" t="n"/>
      <c r="AJ143" s="62" t="n"/>
      <c r="AK143" s="62" t="n"/>
      <c r="AL143" s="62" t="n"/>
      <c r="AM143" s="62" t="n"/>
      <c r="AN143" s="62" t="n"/>
      <c r="AO143" s="62" t="n"/>
      <c r="AP143" s="62" t="n"/>
      <c r="AQ143" s="62" t="n"/>
      <c r="AR143" s="62" t="n"/>
      <c r="AS143" s="62" t="n"/>
      <c r="AT143" s="62" t="n"/>
      <c r="AU143" s="62" t="n"/>
      <c r="AV143" s="62" t="n"/>
      <c r="AW143" s="62" t="n"/>
      <c r="AX143" s="62" t="n"/>
      <c r="AY143" s="62" t="n"/>
    </row>
    <row r="144">
      <c r="A144" s="38">
        <f>IF(D144="","",COUNTA($D$133:D144))</f>
        <v/>
      </c>
      <c r="B144" s="52" t="n"/>
      <c r="C144" s="73" t="inlineStr">
        <is>
          <t>기타</t>
        </is>
      </c>
      <c r="D144" s="52" t="n"/>
      <c r="E144" s="54" t="n"/>
      <c r="F144" s="52" t="n"/>
      <c r="G144" s="55" t="n"/>
      <c r="H144" s="54" t="n"/>
      <c r="I144" s="54" t="n"/>
      <c r="J144" s="54" t="n"/>
      <c r="K144" s="56">
        <f>IF(SUM(U144:AY144)=0,"",SUM(U144:AY144))</f>
        <v/>
      </c>
      <c r="L144" s="57">
        <f>IFERROR(INDEX(U$2:AY$2,MATCH(TRUE,U144:AY144&lt;&gt;"",0)),"")</f>
        <v/>
      </c>
      <c r="M144" s="58">
        <f>IFERROR(LOOKUP(2,1/(U144:AY144&lt;&gt;""),U$2:AY$2),"")</f>
        <v/>
      </c>
      <c r="N144" s="59">
        <f>IF(OR(G144="",M144=""),"",G144-M144)</f>
        <v/>
      </c>
      <c r="O144" s="60" t="n"/>
      <c r="P144" s="61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  <c r="AG144" s="62" t="n"/>
      <c r="AH144" s="62" t="n"/>
      <c r="AI144" s="62" t="n"/>
      <c r="AJ144" s="62" t="n"/>
      <c r="AK144" s="62" t="n"/>
      <c r="AL144" s="62" t="n"/>
      <c r="AM144" s="62" t="n"/>
      <c r="AN144" s="62" t="n"/>
      <c r="AO144" s="62" t="n"/>
      <c r="AP144" s="62" t="n"/>
      <c r="AQ144" s="62" t="n"/>
      <c r="AR144" s="62" t="n"/>
      <c r="AS144" s="62" t="n"/>
      <c r="AT144" s="62" t="n"/>
      <c r="AU144" s="62" t="n"/>
      <c r="AV144" s="62" t="n"/>
      <c r="AW144" s="62" t="n"/>
      <c r="AX144" s="62" t="n"/>
      <c r="AY144" s="62" t="n"/>
    </row>
    <row r="145">
      <c r="A145" s="38">
        <f>IF(D145="","",COUNTA($D$133:D145))</f>
        <v/>
      </c>
      <c r="B145" s="52" t="n"/>
      <c r="C145" s="73" t="inlineStr">
        <is>
          <t>기타</t>
        </is>
      </c>
      <c r="D145" s="52" t="n"/>
      <c r="E145" s="54" t="n"/>
      <c r="F145" s="52" t="n"/>
      <c r="G145" s="55" t="n"/>
      <c r="H145" s="54" t="n"/>
      <c r="I145" s="54" t="n"/>
      <c r="J145" s="54" t="n"/>
      <c r="K145" s="56">
        <f>IF(SUM(U145:AY145)=0,"",SUM(U145:AY145))</f>
        <v/>
      </c>
      <c r="L145" s="57">
        <f>IFERROR(INDEX(U$2:AY$2,MATCH(TRUE,U145:AY145&lt;&gt;"",0)),"")</f>
        <v/>
      </c>
      <c r="M145" s="58">
        <f>IFERROR(LOOKUP(2,1/(U145:AY145&lt;&gt;""),U$2:AY$2),"")</f>
        <v/>
      </c>
      <c r="N145" s="59">
        <f>IF(OR(G145="",M145=""),"",G145-M145)</f>
        <v/>
      </c>
      <c r="O145" s="60" t="n"/>
      <c r="P145" s="61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  <c r="AG145" s="62" t="n"/>
      <c r="AH145" s="62" t="n"/>
      <c r="AI145" s="62" t="n"/>
      <c r="AJ145" s="62" t="n"/>
      <c r="AK145" s="62" t="n"/>
      <c r="AL145" s="62" t="n"/>
      <c r="AM145" s="62" t="n"/>
      <c r="AN145" s="62" t="n"/>
      <c r="AO145" s="62" t="n"/>
      <c r="AP145" s="62" t="n"/>
      <c r="AQ145" s="62" t="n"/>
      <c r="AR145" s="62" t="n"/>
      <c r="AS145" s="62" t="n"/>
      <c r="AT145" s="62" t="n"/>
      <c r="AU145" s="62" t="n"/>
      <c r="AV145" s="62" t="n"/>
      <c r="AW145" s="62" t="n"/>
      <c r="AX145" s="62" t="n"/>
      <c r="AY145" s="62" t="n"/>
    </row>
    <row r="146">
      <c r="A146" s="38">
        <f>IF(D146="","",COUNTA($D$133:D146))</f>
        <v/>
      </c>
      <c r="B146" s="52" t="n"/>
      <c r="C146" s="73" t="inlineStr">
        <is>
          <t>기타</t>
        </is>
      </c>
      <c r="D146" s="52" t="n"/>
      <c r="E146" s="54" t="n"/>
      <c r="F146" s="52" t="n"/>
      <c r="G146" s="55" t="n"/>
      <c r="H146" s="54" t="n"/>
      <c r="I146" s="54" t="n"/>
      <c r="J146" s="54" t="n"/>
      <c r="K146" s="56">
        <f>IF(SUM(U146:AY146)=0,"",SUM(U146:AY146))</f>
        <v/>
      </c>
      <c r="L146" s="57">
        <f>IFERROR(INDEX(U$2:AY$2,MATCH(TRUE,U146:AY146&lt;&gt;"",0)),"")</f>
        <v/>
      </c>
      <c r="M146" s="58">
        <f>IFERROR(LOOKUP(2,1/(U146:AY146&lt;&gt;""),U$2:AY$2),"")</f>
        <v/>
      </c>
      <c r="N146" s="59">
        <f>IF(OR(G146="",M146=""),"",G146-M146)</f>
        <v/>
      </c>
      <c r="O146" s="60" t="n"/>
      <c r="P146" s="61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  <c r="AG146" s="62" t="n"/>
      <c r="AH146" s="62" t="n"/>
      <c r="AI146" s="62" t="n"/>
      <c r="AJ146" s="62" t="n"/>
      <c r="AK146" s="62" t="n"/>
      <c r="AL146" s="62" t="n"/>
      <c r="AM146" s="62" t="n"/>
      <c r="AN146" s="62" t="n"/>
      <c r="AO146" s="62" t="n"/>
      <c r="AP146" s="62" t="n"/>
      <c r="AQ146" s="62" t="n"/>
      <c r="AR146" s="62" t="n"/>
      <c r="AS146" s="62" t="n"/>
      <c r="AT146" s="62" t="n"/>
      <c r="AU146" s="62" t="n"/>
      <c r="AV146" s="62" t="n"/>
      <c r="AW146" s="62" t="n"/>
      <c r="AX146" s="62" t="n"/>
      <c r="AY146" s="62" t="n"/>
    </row>
    <row r="147">
      <c r="A147" s="38">
        <f>IF(D147="","",COUNTA($D$133:D147))</f>
        <v/>
      </c>
      <c r="B147" s="52" t="n"/>
      <c r="C147" s="73" t="inlineStr">
        <is>
          <t>기타</t>
        </is>
      </c>
      <c r="D147" s="52" t="n"/>
      <c r="E147" s="54" t="n"/>
      <c r="F147" s="52" t="n"/>
      <c r="G147" s="55" t="n"/>
      <c r="H147" s="54" t="n"/>
      <c r="I147" s="54" t="n"/>
      <c r="J147" s="54" t="n"/>
      <c r="K147" s="56">
        <f>IF(SUM(U147:AY147)=0,"",SUM(U147:AY147))</f>
        <v/>
      </c>
      <c r="L147" s="57">
        <f>IFERROR(INDEX(U$2:AY$2,MATCH(TRUE,U147:AY147&lt;&gt;"",0)),"")</f>
        <v/>
      </c>
      <c r="M147" s="58">
        <f>IFERROR(LOOKUP(2,1/(U147:AY147&lt;&gt;""),U$2:AY$2),"")</f>
        <v/>
      </c>
      <c r="N147" s="59">
        <f>IF(OR(G147="",M147=""),"",G147-M147)</f>
        <v/>
      </c>
      <c r="O147" s="60" t="n"/>
      <c r="P147" s="61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  <c r="AG147" s="62" t="n"/>
      <c r="AH147" s="62" t="n"/>
      <c r="AI147" s="62" t="n"/>
      <c r="AJ147" s="62" t="n"/>
      <c r="AK147" s="62" t="n"/>
      <c r="AL147" s="62" t="n"/>
      <c r="AM147" s="62" t="n"/>
      <c r="AN147" s="62" t="n"/>
      <c r="AO147" s="62" t="n"/>
      <c r="AP147" s="62" t="n"/>
      <c r="AQ147" s="62" t="n"/>
      <c r="AR147" s="62" t="n"/>
      <c r="AS147" s="62" t="n"/>
      <c r="AT147" s="62" t="n"/>
      <c r="AU147" s="62" t="n"/>
      <c r="AV147" s="62" t="n"/>
      <c r="AW147" s="62" t="n"/>
      <c r="AX147" s="62" t="n"/>
      <c r="AY147" s="62" t="n"/>
    </row>
    <row r="148">
      <c r="A148" s="38">
        <f>IF(D148="","",COUNTA($D$133:D148))</f>
        <v/>
      </c>
      <c r="B148" s="52" t="n"/>
      <c r="C148" s="73" t="inlineStr">
        <is>
          <t>기타</t>
        </is>
      </c>
      <c r="D148" s="52" t="n"/>
      <c r="E148" s="54" t="n"/>
      <c r="F148" s="52" t="n"/>
      <c r="G148" s="55" t="n"/>
      <c r="H148" s="54" t="n"/>
      <c r="I148" s="54" t="n"/>
      <c r="J148" s="54" t="n"/>
      <c r="K148" s="56">
        <f>IF(SUM(U148:AY148)=0,"",SUM(U148:AY148))</f>
        <v/>
      </c>
      <c r="L148" s="57">
        <f>IFERROR(INDEX(U$2:AY$2,MATCH(TRUE,U148:AY148&lt;&gt;"",0)),"")</f>
        <v/>
      </c>
      <c r="M148" s="58">
        <f>IFERROR(LOOKUP(2,1/(U148:AY148&lt;&gt;""),U$2:AY$2),"")</f>
        <v/>
      </c>
      <c r="N148" s="59">
        <f>IF(OR(G148="",M148=""),"",G148-M148)</f>
        <v/>
      </c>
      <c r="O148" s="60" t="n"/>
      <c r="P148" s="61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  <c r="AG148" s="62" t="n"/>
      <c r="AH148" s="62" t="n"/>
      <c r="AI148" s="62" t="n"/>
      <c r="AJ148" s="62" t="n"/>
      <c r="AK148" s="62" t="n"/>
      <c r="AL148" s="62" t="n"/>
      <c r="AM148" s="62" t="n"/>
      <c r="AN148" s="62" t="n"/>
      <c r="AO148" s="62" t="n"/>
      <c r="AP148" s="62" t="n"/>
      <c r="AQ148" s="62" t="n"/>
      <c r="AR148" s="62" t="n"/>
      <c r="AS148" s="62" t="n"/>
      <c r="AT148" s="62" t="n"/>
      <c r="AU148" s="62" t="n"/>
      <c r="AV148" s="62" t="n"/>
      <c r="AW148" s="62" t="n"/>
      <c r="AX148" s="62" t="n"/>
      <c r="AY148" s="62" t="n"/>
    </row>
    <row r="149">
      <c r="A149" s="38">
        <f>IF(D149="","",COUNTA($D$133:D149))</f>
        <v/>
      </c>
      <c r="B149" s="52" t="n"/>
      <c r="C149" s="73" t="inlineStr">
        <is>
          <t>기타</t>
        </is>
      </c>
      <c r="D149" s="52" t="n"/>
      <c r="E149" s="54" t="n"/>
      <c r="F149" s="52" t="n"/>
      <c r="G149" s="55" t="n"/>
      <c r="H149" s="54" t="n"/>
      <c r="I149" s="54" t="n"/>
      <c r="J149" s="54" t="n"/>
      <c r="K149" s="56">
        <f>IF(SUM(U149:AY149)=0,"",SUM(U149:AY149))</f>
        <v/>
      </c>
      <c r="L149" s="57">
        <f>IFERROR(INDEX(U$2:AY$2,MATCH(TRUE,U149:AY149&lt;&gt;"",0)),"")</f>
        <v/>
      </c>
      <c r="M149" s="58">
        <f>IFERROR(LOOKUP(2,1/(U149:AY149&lt;&gt;""),U$2:AY$2),"")</f>
        <v/>
      </c>
      <c r="N149" s="59">
        <f>IF(OR(G149="",M149=""),"",G149-M149)</f>
        <v/>
      </c>
      <c r="O149" s="60" t="n"/>
      <c r="P149" s="61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  <c r="AG149" s="62" t="n"/>
      <c r="AH149" s="62" t="n"/>
      <c r="AI149" s="62" t="n"/>
      <c r="AJ149" s="62" t="n"/>
      <c r="AK149" s="62" t="n"/>
      <c r="AL149" s="62" t="n"/>
      <c r="AM149" s="62" t="n"/>
      <c r="AN149" s="62" t="n"/>
      <c r="AO149" s="62" t="n"/>
      <c r="AP149" s="62" t="n"/>
      <c r="AQ149" s="62" t="n"/>
      <c r="AR149" s="62" t="n"/>
      <c r="AS149" s="62" t="n"/>
      <c r="AT149" s="62" t="n"/>
      <c r="AU149" s="62" t="n"/>
      <c r="AV149" s="62" t="n"/>
      <c r="AW149" s="62" t="n"/>
      <c r="AX149" s="62" t="n"/>
      <c r="AY149" s="62" t="n"/>
    </row>
    <row r="150">
      <c r="A150" s="38">
        <f>IF(D150="","",COUNTA($D$133:D150))</f>
        <v/>
      </c>
      <c r="B150" s="52" t="n"/>
      <c r="C150" s="73" t="inlineStr">
        <is>
          <t>기타</t>
        </is>
      </c>
      <c r="D150" s="52" t="n"/>
      <c r="E150" s="54" t="n"/>
      <c r="F150" s="52" t="n"/>
      <c r="G150" s="55" t="n"/>
      <c r="H150" s="54" t="n"/>
      <c r="I150" s="54" t="n"/>
      <c r="J150" s="54" t="n"/>
      <c r="K150" s="56">
        <f>IF(SUM(U150:AY150)=0,"",SUM(U150:AY150))</f>
        <v/>
      </c>
      <c r="L150" s="57">
        <f>IFERROR(INDEX(U$2:AY$2,MATCH(TRUE,U150:AY150&lt;&gt;"",0)),"")</f>
        <v/>
      </c>
      <c r="M150" s="58">
        <f>IFERROR(LOOKUP(2,1/(U150:AY150&lt;&gt;""),U$2:AY$2),"")</f>
        <v/>
      </c>
      <c r="N150" s="59">
        <f>IF(OR(G150="",M150=""),"",G150-M150)</f>
        <v/>
      </c>
      <c r="O150" s="60" t="n"/>
      <c r="P150" s="61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  <c r="AG150" s="62" t="n"/>
      <c r="AH150" s="62" t="n"/>
      <c r="AI150" s="62" t="n"/>
      <c r="AJ150" s="62" t="n"/>
      <c r="AK150" s="62" t="n"/>
      <c r="AL150" s="62" t="n"/>
      <c r="AM150" s="62" t="n"/>
      <c r="AN150" s="62" t="n"/>
      <c r="AO150" s="62" t="n"/>
      <c r="AP150" s="62" t="n"/>
      <c r="AQ150" s="62" t="n"/>
      <c r="AR150" s="62" t="n"/>
      <c r="AS150" s="62" t="n"/>
      <c r="AT150" s="62" t="n"/>
      <c r="AU150" s="62" t="n"/>
      <c r="AV150" s="62" t="n"/>
      <c r="AW150" s="62" t="n"/>
      <c r="AX150" s="62" t="n"/>
      <c r="AY150" s="62" t="n"/>
    </row>
    <row r="151">
      <c r="A151" s="38">
        <f>IF(D151="","",COUNTA($D$133:D151))</f>
        <v/>
      </c>
      <c r="B151" s="52" t="n"/>
      <c r="C151" s="73" t="inlineStr">
        <is>
          <t>기타</t>
        </is>
      </c>
      <c r="D151" s="52" t="n"/>
      <c r="E151" s="54" t="n"/>
      <c r="F151" s="52" t="n"/>
      <c r="G151" s="55" t="n"/>
      <c r="H151" s="54" t="n"/>
      <c r="I151" s="54" t="n"/>
      <c r="J151" s="54" t="n"/>
      <c r="K151" s="56">
        <f>IF(SUM(U151:AY151)=0,"",SUM(U151:AY151))</f>
        <v/>
      </c>
      <c r="L151" s="57">
        <f>IFERROR(INDEX(U$2:AY$2,MATCH(TRUE,U151:AY151&lt;&gt;"",0)),"")</f>
        <v/>
      </c>
      <c r="M151" s="58">
        <f>IFERROR(LOOKUP(2,1/(U151:AY151&lt;&gt;""),U$2:AY$2),"")</f>
        <v/>
      </c>
      <c r="N151" s="59">
        <f>IF(OR(G151="",M151=""),"",G151-M151)</f>
        <v/>
      </c>
      <c r="O151" s="60" t="n"/>
      <c r="P151" s="61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  <c r="AG151" s="62" t="n"/>
      <c r="AH151" s="62" t="n"/>
      <c r="AI151" s="62" t="n"/>
      <c r="AJ151" s="62" t="n"/>
      <c r="AK151" s="62" t="n"/>
      <c r="AL151" s="62" t="n"/>
      <c r="AM151" s="62" t="n"/>
      <c r="AN151" s="62" t="n"/>
      <c r="AO151" s="62" t="n"/>
      <c r="AP151" s="62" t="n"/>
      <c r="AQ151" s="62" t="n"/>
      <c r="AR151" s="62" t="n"/>
      <c r="AS151" s="62" t="n"/>
      <c r="AT151" s="62" t="n"/>
      <c r="AU151" s="62" t="n"/>
      <c r="AV151" s="62" t="n"/>
      <c r="AW151" s="62" t="n"/>
      <c r="AX151" s="62" t="n"/>
      <c r="AY151" s="62" t="n"/>
    </row>
    <row r="152">
      <c r="A152" s="38">
        <f>IF(D152="","",COUNTA($D$133:D152))</f>
        <v/>
      </c>
      <c r="B152" s="52" t="n"/>
      <c r="C152" s="73" t="inlineStr">
        <is>
          <t>기타</t>
        </is>
      </c>
      <c r="D152" s="52" t="n"/>
      <c r="E152" s="54" t="n"/>
      <c r="F152" s="52" t="n"/>
      <c r="G152" s="55" t="n"/>
      <c r="H152" s="54" t="n"/>
      <c r="I152" s="54" t="n"/>
      <c r="J152" s="54" t="n"/>
      <c r="K152" s="56">
        <f>IF(SUM(U152:AY152)=0,"",SUM(U152:AY152))</f>
        <v/>
      </c>
      <c r="L152" s="57">
        <f>IFERROR(INDEX(U$2:AY$2,MATCH(TRUE,U152:AY152&lt;&gt;"",0)),"")</f>
        <v/>
      </c>
      <c r="M152" s="58">
        <f>IFERROR(LOOKUP(2,1/(U152:AY152&lt;&gt;""),U$2:AY$2),"")</f>
        <v/>
      </c>
      <c r="N152" s="59">
        <f>IF(OR(G152="",M152=""),"",G152-M152)</f>
        <v/>
      </c>
      <c r="O152" s="60" t="n"/>
      <c r="P152" s="61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  <c r="AG152" s="62" t="n"/>
      <c r="AH152" s="62" t="n"/>
      <c r="AI152" s="62" t="n"/>
      <c r="AJ152" s="62" t="n"/>
      <c r="AK152" s="62" t="n"/>
      <c r="AL152" s="62" t="n"/>
      <c r="AM152" s="62" t="n"/>
      <c r="AN152" s="62" t="n"/>
      <c r="AO152" s="62" t="n"/>
      <c r="AP152" s="62" t="n"/>
      <c r="AQ152" s="62" t="n"/>
      <c r="AR152" s="62" t="n"/>
      <c r="AS152" s="62" t="n"/>
      <c r="AT152" s="62" t="n"/>
      <c r="AU152" s="62" t="n"/>
      <c r="AV152" s="62" t="n"/>
      <c r="AW152" s="62" t="n"/>
      <c r="AX152" s="62" t="n"/>
      <c r="AY152" s="62" t="n"/>
    </row>
    <row r="153">
      <c r="A153" s="38">
        <f>IF(D153="","",COUNTA($D$133:D153))</f>
        <v/>
      </c>
      <c r="B153" s="52" t="n"/>
      <c r="C153" s="73" t="inlineStr">
        <is>
          <t>기타</t>
        </is>
      </c>
      <c r="D153" s="52" t="n"/>
      <c r="E153" s="54" t="n"/>
      <c r="F153" s="52" t="n"/>
      <c r="G153" s="55" t="n"/>
      <c r="H153" s="54" t="n"/>
      <c r="I153" s="54" t="n"/>
      <c r="J153" s="54" t="n"/>
      <c r="K153" s="56">
        <f>IF(SUM(U153:AY153)=0,"",SUM(U153:AY153))</f>
        <v/>
      </c>
      <c r="L153" s="57">
        <f>IFERROR(INDEX(U$2:AY$2,MATCH(TRUE,U153:AY153&lt;&gt;"",0)),"")</f>
        <v/>
      </c>
      <c r="M153" s="58">
        <f>IFERROR(LOOKUP(2,1/(U153:AY153&lt;&gt;""),U$2:AY$2),"")</f>
        <v/>
      </c>
      <c r="N153" s="59">
        <f>IF(OR(G153="",M153=""),"",G153-M153)</f>
        <v/>
      </c>
      <c r="O153" s="60" t="n"/>
      <c r="P153" s="61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  <c r="AG153" s="62" t="n"/>
      <c r="AH153" s="62" t="n"/>
      <c r="AI153" s="62" t="n"/>
      <c r="AJ153" s="62" t="n"/>
      <c r="AK153" s="62" t="n"/>
      <c r="AL153" s="62" t="n"/>
      <c r="AM153" s="62" t="n"/>
      <c r="AN153" s="62" t="n"/>
      <c r="AO153" s="62" t="n"/>
      <c r="AP153" s="62" t="n"/>
      <c r="AQ153" s="62" t="n"/>
      <c r="AR153" s="62" t="n"/>
      <c r="AS153" s="62" t="n"/>
      <c r="AT153" s="62" t="n"/>
      <c r="AU153" s="62" t="n"/>
      <c r="AV153" s="62" t="n"/>
      <c r="AW153" s="62" t="n"/>
      <c r="AX153" s="62" t="n"/>
      <c r="AY153" s="62" t="n"/>
    </row>
    <row r="154">
      <c r="A154" s="38">
        <f>IF(D154="","",COUNTA($D$133:D154))</f>
        <v/>
      </c>
      <c r="B154" s="52" t="n"/>
      <c r="C154" s="73" t="inlineStr">
        <is>
          <t>기타</t>
        </is>
      </c>
      <c r="D154" s="52" t="n"/>
      <c r="E154" s="54" t="n"/>
      <c r="F154" s="52" t="n"/>
      <c r="G154" s="55" t="n"/>
      <c r="H154" s="54" t="n"/>
      <c r="I154" s="54" t="n"/>
      <c r="J154" s="54" t="n"/>
      <c r="K154" s="56">
        <f>IF(SUM(U154:AY154)=0,"",SUM(U154:AY154))</f>
        <v/>
      </c>
      <c r="L154" s="57">
        <f>IFERROR(INDEX(U$2:AY$2,MATCH(TRUE,U154:AY154&lt;&gt;"",0)),"")</f>
        <v/>
      </c>
      <c r="M154" s="58">
        <f>IFERROR(LOOKUP(2,1/(U154:AY154&lt;&gt;""),U$2:AY$2),"")</f>
        <v/>
      </c>
      <c r="N154" s="59">
        <f>IF(OR(G154="",M154=""),"",G154-M154)</f>
        <v/>
      </c>
      <c r="O154" s="60" t="n"/>
      <c r="P154" s="61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  <c r="AG154" s="62" t="n"/>
      <c r="AH154" s="62" t="n"/>
      <c r="AI154" s="62" t="n"/>
      <c r="AJ154" s="62" t="n"/>
      <c r="AK154" s="62" t="n"/>
      <c r="AL154" s="62" t="n"/>
      <c r="AM154" s="62" t="n"/>
      <c r="AN154" s="62" t="n"/>
      <c r="AO154" s="62" t="n"/>
      <c r="AP154" s="62" t="n"/>
      <c r="AQ154" s="62" t="n"/>
      <c r="AR154" s="62" t="n"/>
      <c r="AS154" s="62" t="n"/>
      <c r="AT154" s="62" t="n"/>
      <c r="AU154" s="62" t="n"/>
      <c r="AV154" s="62" t="n"/>
      <c r="AW154" s="62" t="n"/>
      <c r="AX154" s="62" t="n"/>
      <c r="AY154" s="62" t="n"/>
    </row>
    <row r="155">
      <c r="A155" s="38">
        <f>IF(D155="","",COUNTA($D$133:D155))</f>
        <v/>
      </c>
      <c r="B155" s="52" t="n"/>
      <c r="C155" s="73" t="inlineStr">
        <is>
          <t>기타</t>
        </is>
      </c>
      <c r="D155" s="52" t="n"/>
      <c r="E155" s="54" t="n"/>
      <c r="F155" s="52" t="n"/>
      <c r="G155" s="55" t="n"/>
      <c r="H155" s="54" t="n"/>
      <c r="I155" s="54" t="n"/>
      <c r="J155" s="54" t="n"/>
      <c r="K155" s="56">
        <f>IF(SUM(U155:AY155)=0,"",SUM(U155:AY155))</f>
        <v/>
      </c>
      <c r="L155" s="57">
        <f>IFERROR(INDEX(U$2:AY$2,MATCH(TRUE,U155:AY155&lt;&gt;"",0)),"")</f>
        <v/>
      </c>
      <c r="M155" s="58">
        <f>IFERROR(LOOKUP(2,1/(U155:AY155&lt;&gt;""),U$2:AY$2),"")</f>
        <v/>
      </c>
      <c r="N155" s="59">
        <f>IF(OR(G155="",M155=""),"",G155-M155)</f>
        <v/>
      </c>
      <c r="O155" s="60" t="n"/>
      <c r="P155" s="61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  <c r="AG155" s="62" t="n"/>
      <c r="AH155" s="62" t="n"/>
      <c r="AI155" s="62" t="n"/>
      <c r="AJ155" s="62" t="n"/>
      <c r="AK155" s="62" t="n"/>
      <c r="AL155" s="62" t="n"/>
      <c r="AM155" s="62" t="n"/>
      <c r="AN155" s="62" t="n"/>
      <c r="AO155" s="62" t="n"/>
      <c r="AP155" s="62" t="n"/>
      <c r="AQ155" s="62" t="n"/>
      <c r="AR155" s="62" t="n"/>
      <c r="AS155" s="62" t="n"/>
      <c r="AT155" s="62" t="n"/>
      <c r="AU155" s="62" t="n"/>
      <c r="AV155" s="62" t="n"/>
      <c r="AW155" s="62" t="n"/>
      <c r="AX155" s="62" t="n"/>
      <c r="AY155" s="62" t="n"/>
    </row>
    <row r="156">
      <c r="A156" s="38">
        <f>IF(D156="","",COUNTA($D$133:D156))</f>
        <v/>
      </c>
      <c r="B156" s="52" t="n"/>
      <c r="C156" s="73" t="inlineStr">
        <is>
          <t>기타</t>
        </is>
      </c>
      <c r="D156" s="52" t="n"/>
      <c r="E156" s="54" t="n"/>
      <c r="F156" s="52" t="n"/>
      <c r="G156" s="55" t="n"/>
      <c r="H156" s="54" t="n"/>
      <c r="I156" s="54" t="n"/>
      <c r="J156" s="54" t="n"/>
      <c r="K156" s="56">
        <f>IF(SUM(U156:AY156)=0,"",SUM(U156:AY156))</f>
        <v/>
      </c>
      <c r="L156" s="57">
        <f>IFERROR(INDEX(U$2:AY$2,MATCH(TRUE,U156:AY156&lt;&gt;"",0)),"")</f>
        <v/>
      </c>
      <c r="M156" s="58">
        <f>IFERROR(LOOKUP(2,1/(U156:AY156&lt;&gt;""),U$2:AY$2),"")</f>
        <v/>
      </c>
      <c r="N156" s="59">
        <f>IF(OR(G156="",M156=""),"",G156-M156)</f>
        <v/>
      </c>
      <c r="O156" s="60" t="n"/>
      <c r="P156" s="61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  <c r="AG156" s="62" t="n"/>
      <c r="AH156" s="62" t="n"/>
      <c r="AI156" s="62" t="n"/>
      <c r="AJ156" s="62" t="n"/>
      <c r="AK156" s="62" t="n"/>
      <c r="AL156" s="62" t="n"/>
      <c r="AM156" s="62" t="n"/>
      <c r="AN156" s="62" t="n"/>
      <c r="AO156" s="62" t="n"/>
      <c r="AP156" s="62" t="n"/>
      <c r="AQ156" s="62" t="n"/>
      <c r="AR156" s="62" t="n"/>
      <c r="AS156" s="62" t="n"/>
      <c r="AT156" s="62" t="n"/>
      <c r="AU156" s="62" t="n"/>
      <c r="AV156" s="62" t="n"/>
      <c r="AW156" s="62" t="n"/>
      <c r="AX156" s="62" t="n"/>
      <c r="AY156" s="62" t="n"/>
    </row>
    <row r="157">
      <c r="A157" s="38">
        <f>IF(D157="","",COUNTA($D$133:D157))</f>
        <v/>
      </c>
      <c r="B157" s="52" t="n"/>
      <c r="C157" s="73" t="inlineStr">
        <is>
          <t>기타</t>
        </is>
      </c>
      <c r="D157" s="52" t="n"/>
      <c r="E157" s="54" t="n"/>
      <c r="F157" s="52" t="n"/>
      <c r="G157" s="55" t="n"/>
      <c r="H157" s="54" t="n"/>
      <c r="I157" s="54" t="n"/>
      <c r="J157" s="54" t="n"/>
      <c r="K157" s="56">
        <f>IF(SUM(U157:AY157)=0,"",SUM(U157:AY157))</f>
        <v/>
      </c>
      <c r="L157" s="57">
        <f>IFERROR(INDEX(U$2:AY$2,MATCH(TRUE,U157:AY157&lt;&gt;"",0)),"")</f>
        <v/>
      </c>
      <c r="M157" s="58">
        <f>IFERROR(LOOKUP(2,1/(U157:AY157&lt;&gt;""),U$2:AY$2),"")</f>
        <v/>
      </c>
      <c r="N157" s="59">
        <f>IF(OR(G157="",M157=""),"",G157-M157)</f>
        <v/>
      </c>
      <c r="O157" s="60" t="n"/>
      <c r="P157" s="61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  <c r="AG157" s="62" t="n"/>
      <c r="AH157" s="62" t="n"/>
      <c r="AI157" s="62" t="n"/>
      <c r="AJ157" s="62" t="n"/>
      <c r="AK157" s="62" t="n"/>
      <c r="AL157" s="62" t="n"/>
      <c r="AM157" s="62" t="n"/>
      <c r="AN157" s="62" t="n"/>
      <c r="AO157" s="62" t="n"/>
      <c r="AP157" s="62" t="n"/>
      <c r="AQ157" s="62" t="n"/>
      <c r="AR157" s="62" t="n"/>
      <c r="AS157" s="62" t="n"/>
      <c r="AT157" s="62" t="n"/>
      <c r="AU157" s="62" t="n"/>
      <c r="AV157" s="62" t="n"/>
      <c r="AW157" s="62" t="n"/>
      <c r="AX157" s="62" t="n"/>
      <c r="AY157" s="62" t="n"/>
    </row>
    <row r="158">
      <c r="A158" s="38">
        <f>IF(D158="","",COUNTA($D$133:D158))</f>
        <v/>
      </c>
      <c r="B158" s="52" t="n"/>
      <c r="C158" s="73" t="inlineStr">
        <is>
          <t>기타</t>
        </is>
      </c>
      <c r="D158" s="52" t="n"/>
      <c r="E158" s="54" t="n"/>
      <c r="F158" s="52" t="n"/>
      <c r="G158" s="55" t="n"/>
      <c r="H158" s="54" t="n"/>
      <c r="I158" s="54" t="n"/>
      <c r="J158" s="54" t="n"/>
      <c r="K158" s="56">
        <f>IF(SUM(U158:AY158)=0,"",SUM(U158:AY158))</f>
        <v/>
      </c>
      <c r="L158" s="57">
        <f>IFERROR(INDEX(U$2:AY$2,MATCH(TRUE,U158:AY158&lt;&gt;"",0)),"")</f>
        <v/>
      </c>
      <c r="M158" s="58">
        <f>IFERROR(LOOKUP(2,1/(U158:AY158&lt;&gt;""),U$2:AY$2),"")</f>
        <v/>
      </c>
      <c r="N158" s="59">
        <f>IF(OR(G158="",M158=""),"",G158-M158)</f>
        <v/>
      </c>
      <c r="O158" s="60" t="n"/>
      <c r="P158" s="61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  <c r="AG158" s="62" t="n"/>
      <c r="AH158" s="62" t="n"/>
      <c r="AI158" s="62" t="n"/>
      <c r="AJ158" s="62" t="n"/>
      <c r="AK158" s="62" t="n"/>
      <c r="AL158" s="62" t="n"/>
      <c r="AM158" s="62" t="n"/>
      <c r="AN158" s="62" t="n"/>
      <c r="AO158" s="62" t="n"/>
      <c r="AP158" s="62" t="n"/>
      <c r="AQ158" s="62" t="n"/>
      <c r="AR158" s="62" t="n"/>
      <c r="AS158" s="62" t="n"/>
      <c r="AT158" s="62" t="n"/>
      <c r="AU158" s="62" t="n"/>
      <c r="AV158" s="62" t="n"/>
      <c r="AW158" s="62" t="n"/>
      <c r="AX158" s="62" t="n"/>
      <c r="AY158" s="62" t="n"/>
    </row>
    <row r="159">
      <c r="A159" s="38">
        <f>IF(D159="","",COUNTA($D$133:D159))</f>
        <v/>
      </c>
      <c r="B159" s="52" t="n"/>
      <c r="C159" s="73" t="inlineStr">
        <is>
          <t>기타</t>
        </is>
      </c>
      <c r="D159" s="52" t="n"/>
      <c r="E159" s="54" t="n"/>
      <c r="F159" s="52" t="n"/>
      <c r="G159" s="55" t="n"/>
      <c r="H159" s="54" t="n"/>
      <c r="I159" s="54" t="n"/>
      <c r="J159" s="54" t="n"/>
      <c r="K159" s="56">
        <f>IF(SUM(U159:AY159)=0,"",SUM(U159:AY159))</f>
        <v/>
      </c>
      <c r="L159" s="57">
        <f>IFERROR(INDEX(U$2:AY$2,MATCH(TRUE,U159:AY159&lt;&gt;"",0)),"")</f>
        <v/>
      </c>
      <c r="M159" s="58">
        <f>IFERROR(LOOKUP(2,1/(U159:AY159&lt;&gt;""),U$2:AY$2),"")</f>
        <v/>
      </c>
      <c r="N159" s="59">
        <f>IF(OR(G159="",M159=""),"",G159-M159)</f>
        <v/>
      </c>
      <c r="O159" s="60" t="n"/>
      <c r="P159" s="61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  <c r="AG159" s="62" t="n"/>
      <c r="AH159" s="62" t="n"/>
      <c r="AI159" s="62" t="n"/>
      <c r="AJ159" s="62" t="n"/>
      <c r="AK159" s="62" t="n"/>
      <c r="AL159" s="62" t="n"/>
      <c r="AM159" s="62" t="n"/>
      <c r="AN159" s="62" t="n"/>
      <c r="AO159" s="62" t="n"/>
      <c r="AP159" s="62" t="n"/>
      <c r="AQ159" s="62" t="n"/>
      <c r="AR159" s="62" t="n"/>
      <c r="AS159" s="62" t="n"/>
      <c r="AT159" s="62" t="n"/>
      <c r="AU159" s="62" t="n"/>
      <c r="AV159" s="62" t="n"/>
      <c r="AW159" s="62" t="n"/>
      <c r="AX159" s="62" t="n"/>
      <c r="AY159" s="62" t="n"/>
    </row>
    <row r="160">
      <c r="A160" s="38">
        <f>IF(D160="","",COUNTA($D$133:D160))</f>
        <v/>
      </c>
      <c r="B160" s="52" t="n"/>
      <c r="C160" s="73" t="inlineStr">
        <is>
          <t>기타</t>
        </is>
      </c>
      <c r="D160" s="52" t="n"/>
      <c r="E160" s="54" t="n"/>
      <c r="F160" s="52" t="n"/>
      <c r="G160" s="55" t="n"/>
      <c r="H160" s="54" t="n"/>
      <c r="I160" s="54" t="n"/>
      <c r="J160" s="54" t="n"/>
      <c r="K160" s="56">
        <f>IF(SUM(U160:AY160)=0,"",SUM(U160:AY160))</f>
        <v/>
      </c>
      <c r="L160" s="57">
        <f>IFERROR(INDEX(U$2:AY$2,MATCH(TRUE,U160:AY160&lt;&gt;"",0)),"")</f>
        <v/>
      </c>
      <c r="M160" s="58">
        <f>IFERROR(LOOKUP(2,1/(U160:AY160&lt;&gt;""),U$2:AY$2),"")</f>
        <v/>
      </c>
      <c r="N160" s="59">
        <f>IF(OR(G160="",M160=""),"",G160-M160)</f>
        <v/>
      </c>
      <c r="O160" s="60" t="n"/>
      <c r="P160" s="61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  <c r="AG160" s="62" t="n"/>
      <c r="AH160" s="62" t="n"/>
      <c r="AI160" s="62" t="n"/>
      <c r="AJ160" s="62" t="n"/>
      <c r="AK160" s="62" t="n"/>
      <c r="AL160" s="62" t="n"/>
      <c r="AM160" s="62" t="n"/>
      <c r="AN160" s="62" t="n"/>
      <c r="AO160" s="62" t="n"/>
      <c r="AP160" s="62" t="n"/>
      <c r="AQ160" s="62" t="n"/>
      <c r="AR160" s="62" t="n"/>
      <c r="AS160" s="62" t="n"/>
      <c r="AT160" s="62" t="n"/>
      <c r="AU160" s="62" t="n"/>
      <c r="AV160" s="62" t="n"/>
      <c r="AW160" s="62" t="n"/>
      <c r="AX160" s="62" t="n"/>
      <c r="AY160" s="62" t="n"/>
    </row>
    <row r="161">
      <c r="A161" s="38">
        <f>IF(D161="","",COUNTA($D$133:D161))</f>
        <v/>
      </c>
      <c r="B161" s="52" t="n"/>
      <c r="C161" s="73" t="inlineStr">
        <is>
          <t>기타</t>
        </is>
      </c>
      <c r="D161" s="52" t="n"/>
      <c r="E161" s="54" t="n"/>
      <c r="F161" s="52" t="n"/>
      <c r="G161" s="55" t="n"/>
      <c r="H161" s="54" t="n"/>
      <c r="I161" s="54" t="n"/>
      <c r="J161" s="54" t="n"/>
      <c r="K161" s="56">
        <f>IF(SUM(U161:AY161)=0,"",SUM(U161:AY161))</f>
        <v/>
      </c>
      <c r="L161" s="57">
        <f>IFERROR(INDEX(U$2:AY$2,MATCH(TRUE,U161:AY161&lt;&gt;"",0)),"")</f>
        <v/>
      </c>
      <c r="M161" s="58">
        <f>IFERROR(LOOKUP(2,1/(U161:AY161&lt;&gt;""),U$2:AY$2),"")</f>
        <v/>
      </c>
      <c r="N161" s="59">
        <f>IF(OR(G161="",M161=""),"",G161-M161)</f>
        <v/>
      </c>
      <c r="O161" s="60" t="n"/>
      <c r="P161" s="61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  <c r="AG161" s="62" t="n"/>
      <c r="AH161" s="62" t="n"/>
      <c r="AI161" s="62" t="n"/>
      <c r="AJ161" s="62" t="n"/>
      <c r="AK161" s="62" t="n"/>
      <c r="AL161" s="62" t="n"/>
      <c r="AM161" s="62" t="n"/>
      <c r="AN161" s="62" t="n"/>
      <c r="AO161" s="62" t="n"/>
      <c r="AP161" s="62" t="n"/>
      <c r="AQ161" s="62" t="n"/>
      <c r="AR161" s="62" t="n"/>
      <c r="AS161" s="62" t="n"/>
      <c r="AT161" s="62" t="n"/>
      <c r="AU161" s="62" t="n"/>
      <c r="AV161" s="62" t="n"/>
      <c r="AW161" s="62" t="n"/>
      <c r="AX161" s="62" t="n"/>
      <c r="AY161" s="62" t="n"/>
    </row>
    <row r="162">
      <c r="A162" s="38">
        <f>IF(D162="","",COUNTA($D$133:D162))</f>
        <v/>
      </c>
      <c r="B162" s="52" t="n"/>
      <c r="C162" s="73" t="inlineStr">
        <is>
          <t>기타</t>
        </is>
      </c>
      <c r="D162" s="52" t="n"/>
      <c r="E162" s="54" t="n"/>
      <c r="F162" s="52" t="n"/>
      <c r="G162" s="55" t="n"/>
      <c r="H162" s="54" t="n"/>
      <c r="I162" s="54" t="n"/>
      <c r="J162" s="54" t="n"/>
      <c r="K162" s="56">
        <f>IF(SUM(U162:AY162)=0,"",SUM(U162:AY162))</f>
        <v/>
      </c>
      <c r="L162" s="57">
        <f>IFERROR(INDEX(U$2:AY$2,MATCH(TRUE,U162:AY162&lt;&gt;"",0)),"")</f>
        <v/>
      </c>
      <c r="M162" s="58">
        <f>IFERROR(LOOKUP(2,1/(U162:AY162&lt;&gt;""),U$2:AY$2),"")</f>
        <v/>
      </c>
      <c r="N162" s="59">
        <f>IF(OR(G162="",M162=""),"",G162-M162)</f>
        <v/>
      </c>
      <c r="O162" s="60" t="n"/>
      <c r="P162" s="61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  <c r="AG162" s="62" t="n"/>
      <c r="AH162" s="62" t="n"/>
      <c r="AI162" s="62" t="n"/>
      <c r="AJ162" s="62" t="n"/>
      <c r="AK162" s="62" t="n"/>
      <c r="AL162" s="62" t="n"/>
      <c r="AM162" s="62" t="n"/>
      <c r="AN162" s="62" t="n"/>
      <c r="AO162" s="62" t="n"/>
      <c r="AP162" s="62" t="n"/>
      <c r="AQ162" s="62" t="n"/>
      <c r="AR162" s="62" t="n"/>
      <c r="AS162" s="62" t="n"/>
      <c r="AT162" s="62" t="n"/>
      <c r="AU162" s="62" t="n"/>
      <c r="AV162" s="62" t="n"/>
      <c r="AW162" s="62" t="n"/>
      <c r="AX162" s="62" t="n"/>
      <c r="AY162" s="62" t="n"/>
    </row>
    <row r="163">
      <c r="A163" s="74">
        <f>'마스터'!$J$5</f>
        <v/>
      </c>
    </row>
    <row r="164">
      <c r="A164" s="74" t="inlineStr">
        <is>
          <t>공휴일(로컬 미러 - 조건부서식 전용, 편집 불필요)</t>
        </is>
      </c>
    </row>
    <row r="165">
      <c r="A165" s="75">
        <f>'마스터'!$J$13</f>
        <v/>
      </c>
    </row>
    <row r="166">
      <c r="A166" s="75">
        <f>'마스터'!$J$14</f>
        <v/>
      </c>
    </row>
    <row r="167">
      <c r="A167" s="75">
        <f>'마스터'!$J$15</f>
        <v/>
      </c>
    </row>
    <row r="168">
      <c r="A168" s="75">
        <f>'마스터'!$J$16</f>
        <v/>
      </c>
    </row>
    <row r="169">
      <c r="A169" s="75">
        <f>'마스터'!$J$17</f>
        <v/>
      </c>
    </row>
    <row r="170">
      <c r="A170" s="75">
        <f>'마스터'!$J$18</f>
        <v/>
      </c>
    </row>
    <row r="171">
      <c r="A171" s="75">
        <f>'마스터'!$J$19</f>
        <v/>
      </c>
    </row>
    <row r="172">
      <c r="A172" s="75">
        <f>'마스터'!$J$20</f>
        <v/>
      </c>
    </row>
    <row r="173">
      <c r="A173" s="75">
        <f>'마스터'!$J$21</f>
        <v/>
      </c>
    </row>
    <row r="174">
      <c r="A174" s="75">
        <f>'마스터'!$J$22</f>
        <v/>
      </c>
    </row>
    <row r="175">
      <c r="A175" s="75">
        <f>'마스터'!$J$23</f>
        <v/>
      </c>
    </row>
    <row r="176">
      <c r="A176" s="75">
        <f>'마스터'!$J$24</f>
        <v/>
      </c>
    </row>
    <row r="177">
      <c r="A177" s="75">
        <f>'마스터'!$J$25</f>
        <v/>
      </c>
    </row>
    <row r="178">
      <c r="A178" s="75">
        <f>'마스터'!$J$26</f>
        <v/>
      </c>
    </row>
    <row r="179">
      <c r="A179" s="75">
        <f>'마스터'!$J$27</f>
        <v/>
      </c>
    </row>
  </sheetData>
  <mergeCells count="13">
    <mergeCell ref="H1:J1"/>
    <mergeCell ref="K1:P1"/>
    <mergeCell ref="A1:G1"/>
    <mergeCell ref="A132:P132"/>
    <mergeCell ref="A5:F5"/>
    <mergeCell ref="A70:P70"/>
    <mergeCell ref="A8:P8"/>
    <mergeCell ref="U1:AY1"/>
    <mergeCell ref="A6:F6"/>
    <mergeCell ref="A39:P39"/>
    <mergeCell ref="A4:F4"/>
    <mergeCell ref="A101:P101"/>
    <mergeCell ref="A3:F3"/>
  </mergeCells>
  <conditionalFormatting sqref="U3:AY6">
    <cfRule type="expression" priority="1" dxfId="0">
      <formula>U3&gt;$H3</formula>
    </cfRule>
    <cfRule type="expression" priority="2" dxfId="1">
      <formula>AND(U3&gt;0,U3&gt;=$H3*0.8)</formula>
    </cfRule>
  </conditionalFormatting>
  <conditionalFormatting sqref="U3:AY162">
    <cfRule type="expression" priority="3" dxfId="2">
      <formula>OR(WEEKDAY(U$2,2)&gt;5,COUNTIF($A$165:$A$179,U$2)&gt;0)</formula>
    </cfRule>
  </conditionalFormatting>
  <conditionalFormatting sqref="U8:AY162">
    <cfRule type="expression" priority="4" dxfId="3">
      <formula>AND($F8&lt;&gt;"",U8&lt;&gt;"",SUMIF($F$8:$F$162,$F8,U$8:U$162)&gt;$A$163)</formula>
    </cfRule>
    <cfRule type="expression" priority="5" dxfId="4">
      <formula>$E8="기획"</formula>
    </cfRule>
    <cfRule type="expression" priority="6" dxfId="5">
      <formula>$E8="이미지"</formula>
    </cfRule>
    <cfRule type="expression" priority="7" dxfId="6">
      <formula>$E8="영상"</formula>
    </cfRule>
    <cfRule type="expression" priority="8" dxfId="7">
      <formula>AND($E8="기획",U8&lt;&gt;"")</formula>
    </cfRule>
    <cfRule type="expression" priority="9" dxfId="8">
      <formula>AND($E8="이미지",U8&lt;&gt;"")</formula>
    </cfRule>
    <cfRule type="expression" priority="10" dxfId="9">
      <formula>AND($E8="영상",U8&lt;&gt;"")</formula>
    </cfRule>
  </conditionalFormatting>
  <conditionalFormatting sqref="N8:N162">
    <cfRule type="expression" priority="11" dxfId="10">
      <formula>AND(N8&lt;&gt;"",N8&lt;0)</formula>
    </cfRule>
    <cfRule type="expression" priority="12" dxfId="11">
      <formula>AND(N8&lt;&gt;"",N8&gt;=0,N8&lt;=1)</formula>
    </cfRule>
    <cfRule type="expression" priority="13" dxfId="12">
      <formula>AND(N8&lt;&gt;"",N8&gt;1)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E8:E162" showDropDown="0" showInputMessage="0" showErrorMessage="0" allowBlank="1" type="list">
      <formula1>='마스터'!$E$3:$E$5</formula1>
    </dataValidation>
    <dataValidation sqref="O8:O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179"/>
  <sheetViews>
    <sheetView showGridLines="0" workbookViewId="0">
      <pane xSplit="7" ySplit="7" topLeftCell="H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20" customWidth="1" min="4" max="4"/>
    <col width="7" customWidth="1" min="5" max="5"/>
    <col width="9" customWidth="1" min="6" max="6"/>
    <col width="9" customWidth="1" min="7" max="7"/>
    <col width="5" customWidth="1" min="8" max="8"/>
    <col width="5" customWidth="1" min="9" max="9"/>
    <col width="5" customWidth="1" min="10" max="10"/>
    <col width="6" customWidth="1" min="11" max="11"/>
    <col width="8" customWidth="1" min="12" max="12"/>
    <col width="8" customWidth="1" min="13" max="13"/>
    <col width="6" customWidth="1" min="14" max="14"/>
    <col width="7" customWidth="1" min="15" max="15"/>
    <col width="12" customWidth="1" min="16" max="16"/>
    <col width="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</cols>
  <sheetData>
    <row r="1">
      <c r="A1" s="40" t="inlineStr">
        <is>
          <t>11월 업무 정보 (소재명 = 직군별 줄)</t>
        </is>
      </c>
      <c r="H1" s="41" t="inlineStr">
        <is>
          <t>수량 (소재당 1번만)</t>
        </is>
      </c>
      <c r="K1" s="42" t="inlineStr">
        <is>
          <t>집계 / 일정 (자동)</t>
        </is>
      </c>
      <c r="U1" s="14" t="inlineStr">
        <is>
          <t>11월 간트 - 날짜 칸에 MD 직접 입력 (주말+공휴일 회색)  상단 4줄=일자별 직군 TO 상태</t>
        </is>
      </c>
    </row>
    <row r="2">
      <c r="A2" s="43" t="inlineStr">
        <is>
          <t>No</t>
        </is>
      </c>
      <c r="B2" s="43" t="inlineStr">
        <is>
          <t>게임 타이틀명</t>
        </is>
      </c>
      <c r="C2" s="43" t="inlineStr">
        <is>
          <t>고객팀</t>
        </is>
      </c>
      <c r="D2" s="43" t="inlineStr">
        <is>
          <t>소재명(업무명)</t>
        </is>
      </c>
      <c r="E2" s="43" t="inlineStr">
        <is>
          <t>직군</t>
        </is>
      </c>
      <c r="F2" s="43" t="inlineStr">
        <is>
          <t>담당자</t>
        </is>
      </c>
      <c r="G2" s="43" t="inlineStr">
        <is>
          <t>최종완료일
(고객전달)</t>
        </is>
      </c>
      <c r="H2" s="43" t="inlineStr">
        <is>
          <t>영상
수</t>
        </is>
      </c>
      <c r="I2" s="43" t="inlineStr">
        <is>
          <t>사이즈
베리</t>
        </is>
      </c>
      <c r="J2" s="43" t="inlineStr">
        <is>
          <t>다국어
베리</t>
        </is>
      </c>
      <c r="K2" s="43" t="inlineStr">
        <is>
          <t>합계
MD</t>
        </is>
      </c>
      <c r="L2" s="43" t="inlineStr">
        <is>
          <t>시작일
(자동)</t>
        </is>
      </c>
      <c r="M2" s="43" t="inlineStr">
        <is>
          <t>완료일
(자동)</t>
        </is>
      </c>
      <c r="N2" s="43" t="inlineStr">
        <is>
          <t>여유</t>
        </is>
      </c>
      <c r="O2" s="43" t="inlineStr">
        <is>
          <t>상태</t>
        </is>
      </c>
      <c r="P2" s="43" t="inlineStr">
        <is>
          <t>비고</t>
        </is>
      </c>
      <c r="U2" s="44">
        <f>DATE('마스터'!$J$3,11,1)</f>
        <v/>
      </c>
      <c r="V2" s="44">
        <f>U2+1</f>
        <v/>
      </c>
      <c r="W2" s="44">
        <f>V2+1</f>
        <v/>
      </c>
      <c r="X2" s="44">
        <f>W2+1</f>
        <v/>
      </c>
      <c r="Y2" s="44">
        <f>X2+1</f>
        <v/>
      </c>
      <c r="Z2" s="44">
        <f>Y2+1</f>
        <v/>
      </c>
      <c r="AA2" s="44">
        <f>Z2+1</f>
        <v/>
      </c>
      <c r="AB2" s="44">
        <f>AA2+1</f>
        <v/>
      </c>
      <c r="AC2" s="44">
        <f>AB2+1</f>
        <v/>
      </c>
      <c r="AD2" s="44">
        <f>AC2+1</f>
        <v/>
      </c>
      <c r="AE2" s="44">
        <f>AD2+1</f>
        <v/>
      </c>
      <c r="AF2" s="44">
        <f>AE2+1</f>
        <v/>
      </c>
      <c r="AG2" s="44">
        <f>AF2+1</f>
        <v/>
      </c>
      <c r="AH2" s="44">
        <f>AG2+1</f>
        <v/>
      </c>
      <c r="AI2" s="44">
        <f>AH2+1</f>
        <v/>
      </c>
      <c r="AJ2" s="44">
        <f>AI2+1</f>
        <v/>
      </c>
      <c r="AK2" s="44">
        <f>AJ2+1</f>
        <v/>
      </c>
      <c r="AL2" s="44">
        <f>AK2+1</f>
        <v/>
      </c>
      <c r="AM2" s="44">
        <f>AL2+1</f>
        <v/>
      </c>
      <c r="AN2" s="44">
        <f>AM2+1</f>
        <v/>
      </c>
      <c r="AO2" s="44">
        <f>AN2+1</f>
        <v/>
      </c>
      <c r="AP2" s="44">
        <f>AO2+1</f>
        <v/>
      </c>
      <c r="AQ2" s="44">
        <f>AP2+1</f>
        <v/>
      </c>
      <c r="AR2" s="44">
        <f>AQ2+1</f>
        <v/>
      </c>
      <c r="AS2" s="44">
        <f>AR2+1</f>
        <v/>
      </c>
      <c r="AT2" s="44">
        <f>AS2+1</f>
        <v/>
      </c>
      <c r="AU2" s="44">
        <f>AT2+1</f>
        <v/>
      </c>
      <c r="AV2" s="44">
        <f>AU2+1</f>
        <v/>
      </c>
      <c r="AW2" s="44">
        <f>AV2+1</f>
        <v/>
      </c>
      <c r="AX2" s="44">
        <f>AW2+1</f>
        <v/>
      </c>
      <c r="AY2" s="44">
        <f>AX2+1</f>
        <v/>
      </c>
    </row>
    <row r="3">
      <c r="A3" s="45" t="inlineStr">
        <is>
          <t>전체 TO (일자별 부하)</t>
        </is>
      </c>
      <c r="G3" s="46" t="inlineStr">
        <is>
          <t>정원</t>
        </is>
      </c>
      <c r="H3" s="47">
        <f>SUM('마스터'!$J$8:$J$10)</f>
        <v/>
      </c>
      <c r="I3" s="48" t="n"/>
      <c r="J3" s="48" t="n"/>
      <c r="K3" s="48" t="n"/>
      <c r="L3" s="48" t="n"/>
      <c r="M3" s="48" t="n"/>
      <c r="N3" s="48" t="n"/>
      <c r="O3" s="48" t="n"/>
      <c r="P3" s="48" t="n"/>
      <c r="U3" s="49">
        <f>SUM(U$8:U$162)</f>
        <v/>
      </c>
      <c r="V3" s="49">
        <f>SUM(V$8:V$162)</f>
        <v/>
      </c>
      <c r="W3" s="49">
        <f>SUM(W$8:W$162)</f>
        <v/>
      </c>
      <c r="X3" s="49">
        <f>SUM(X$8:X$162)</f>
        <v/>
      </c>
      <c r="Y3" s="49">
        <f>SUM(Y$8:Y$162)</f>
        <v/>
      </c>
      <c r="Z3" s="49">
        <f>SUM(Z$8:Z$162)</f>
        <v/>
      </c>
      <c r="AA3" s="49">
        <f>SUM(AA$8:AA$162)</f>
        <v/>
      </c>
      <c r="AB3" s="49">
        <f>SUM(AB$8:AB$162)</f>
        <v/>
      </c>
      <c r="AC3" s="49">
        <f>SUM(AC$8:AC$162)</f>
        <v/>
      </c>
      <c r="AD3" s="49">
        <f>SUM(AD$8:AD$162)</f>
        <v/>
      </c>
      <c r="AE3" s="49">
        <f>SUM(AE$8:AE$162)</f>
        <v/>
      </c>
      <c r="AF3" s="49">
        <f>SUM(AF$8:AF$162)</f>
        <v/>
      </c>
      <c r="AG3" s="49">
        <f>SUM(AG$8:AG$162)</f>
        <v/>
      </c>
      <c r="AH3" s="49">
        <f>SUM(AH$8:AH$162)</f>
        <v/>
      </c>
      <c r="AI3" s="49">
        <f>SUM(AI$8:AI$162)</f>
        <v/>
      </c>
      <c r="AJ3" s="49">
        <f>SUM(AJ$8:AJ$162)</f>
        <v/>
      </c>
      <c r="AK3" s="49">
        <f>SUM(AK$8:AK$162)</f>
        <v/>
      </c>
      <c r="AL3" s="49">
        <f>SUM(AL$8:AL$162)</f>
        <v/>
      </c>
      <c r="AM3" s="49">
        <f>SUM(AM$8:AM$162)</f>
        <v/>
      </c>
      <c r="AN3" s="49">
        <f>SUM(AN$8:AN$162)</f>
        <v/>
      </c>
      <c r="AO3" s="49">
        <f>SUM(AO$8:AO$162)</f>
        <v/>
      </c>
      <c r="AP3" s="49">
        <f>SUM(AP$8:AP$162)</f>
        <v/>
      </c>
      <c r="AQ3" s="49">
        <f>SUM(AQ$8:AQ$162)</f>
        <v/>
      </c>
      <c r="AR3" s="49">
        <f>SUM(AR$8:AR$162)</f>
        <v/>
      </c>
      <c r="AS3" s="49">
        <f>SUM(AS$8:AS$162)</f>
        <v/>
      </c>
      <c r="AT3" s="49">
        <f>SUM(AT$8:AT$162)</f>
        <v/>
      </c>
      <c r="AU3" s="49">
        <f>SUM(AU$8:AU$162)</f>
        <v/>
      </c>
      <c r="AV3" s="49">
        <f>SUM(AV$8:AV$162)</f>
        <v/>
      </c>
      <c r="AW3" s="49">
        <f>SUM(AW$8:AW$162)</f>
        <v/>
      </c>
      <c r="AX3" s="49">
        <f>SUM(AX$8:AX$162)</f>
        <v/>
      </c>
      <c r="AY3" s="49">
        <f>SUM(AY$8:AY$162)</f>
        <v/>
      </c>
    </row>
    <row r="4">
      <c r="A4" s="45" t="inlineStr">
        <is>
          <t>영상 TO</t>
        </is>
      </c>
      <c r="G4" s="46" t="inlineStr">
        <is>
          <t>정원</t>
        </is>
      </c>
      <c r="H4" s="47">
        <f>'마스터'!$J$8</f>
        <v/>
      </c>
      <c r="I4" s="48" t="n"/>
      <c r="J4" s="48" t="n"/>
      <c r="K4" s="48" t="n"/>
      <c r="L4" s="48" t="n"/>
      <c r="M4" s="48" t="n"/>
      <c r="N4" s="48" t="n"/>
      <c r="O4" s="48" t="n"/>
      <c r="P4" s="48" t="n"/>
      <c r="U4" s="49">
        <f>SUMIF($E$8:$E$162,"영상",U$8:U$162)</f>
        <v/>
      </c>
      <c r="V4" s="49">
        <f>SUMIF($E$8:$E$162,"영상",V$8:V$162)</f>
        <v/>
      </c>
      <c r="W4" s="49">
        <f>SUMIF($E$8:$E$162,"영상",W$8:W$162)</f>
        <v/>
      </c>
      <c r="X4" s="49">
        <f>SUMIF($E$8:$E$162,"영상",X$8:X$162)</f>
        <v/>
      </c>
      <c r="Y4" s="49">
        <f>SUMIF($E$8:$E$162,"영상",Y$8:Y$162)</f>
        <v/>
      </c>
      <c r="Z4" s="49">
        <f>SUMIF($E$8:$E$162,"영상",Z$8:Z$162)</f>
        <v/>
      </c>
      <c r="AA4" s="49">
        <f>SUMIF($E$8:$E$162,"영상",AA$8:AA$162)</f>
        <v/>
      </c>
      <c r="AB4" s="49">
        <f>SUMIF($E$8:$E$162,"영상",AB$8:AB$162)</f>
        <v/>
      </c>
      <c r="AC4" s="49">
        <f>SUMIF($E$8:$E$162,"영상",AC$8:AC$162)</f>
        <v/>
      </c>
      <c r="AD4" s="49">
        <f>SUMIF($E$8:$E$162,"영상",AD$8:AD$162)</f>
        <v/>
      </c>
      <c r="AE4" s="49">
        <f>SUMIF($E$8:$E$162,"영상",AE$8:AE$162)</f>
        <v/>
      </c>
      <c r="AF4" s="49">
        <f>SUMIF($E$8:$E$162,"영상",AF$8:AF$162)</f>
        <v/>
      </c>
      <c r="AG4" s="49">
        <f>SUMIF($E$8:$E$162,"영상",AG$8:AG$162)</f>
        <v/>
      </c>
      <c r="AH4" s="49">
        <f>SUMIF($E$8:$E$162,"영상",AH$8:AH$162)</f>
        <v/>
      </c>
      <c r="AI4" s="49">
        <f>SUMIF($E$8:$E$162,"영상",AI$8:AI$162)</f>
        <v/>
      </c>
      <c r="AJ4" s="49">
        <f>SUMIF($E$8:$E$162,"영상",AJ$8:AJ$162)</f>
        <v/>
      </c>
      <c r="AK4" s="49">
        <f>SUMIF($E$8:$E$162,"영상",AK$8:AK$162)</f>
        <v/>
      </c>
      <c r="AL4" s="49">
        <f>SUMIF($E$8:$E$162,"영상",AL$8:AL$162)</f>
        <v/>
      </c>
      <c r="AM4" s="49">
        <f>SUMIF($E$8:$E$162,"영상",AM$8:AM$162)</f>
        <v/>
      </c>
      <c r="AN4" s="49">
        <f>SUMIF($E$8:$E$162,"영상",AN$8:AN$162)</f>
        <v/>
      </c>
      <c r="AO4" s="49">
        <f>SUMIF($E$8:$E$162,"영상",AO$8:AO$162)</f>
        <v/>
      </c>
      <c r="AP4" s="49">
        <f>SUMIF($E$8:$E$162,"영상",AP$8:AP$162)</f>
        <v/>
      </c>
      <c r="AQ4" s="49">
        <f>SUMIF($E$8:$E$162,"영상",AQ$8:AQ$162)</f>
        <v/>
      </c>
      <c r="AR4" s="49">
        <f>SUMIF($E$8:$E$162,"영상",AR$8:AR$162)</f>
        <v/>
      </c>
      <c r="AS4" s="49">
        <f>SUMIF($E$8:$E$162,"영상",AS$8:AS$162)</f>
        <v/>
      </c>
      <c r="AT4" s="49">
        <f>SUMIF($E$8:$E$162,"영상",AT$8:AT$162)</f>
        <v/>
      </c>
      <c r="AU4" s="49">
        <f>SUMIF($E$8:$E$162,"영상",AU$8:AU$162)</f>
        <v/>
      </c>
      <c r="AV4" s="49">
        <f>SUMIF($E$8:$E$162,"영상",AV$8:AV$162)</f>
        <v/>
      </c>
      <c r="AW4" s="49">
        <f>SUMIF($E$8:$E$162,"영상",AW$8:AW$162)</f>
        <v/>
      </c>
      <c r="AX4" s="49">
        <f>SUMIF($E$8:$E$162,"영상",AX$8:AX$162)</f>
        <v/>
      </c>
      <c r="AY4" s="49">
        <f>SUMIF($E$8:$E$162,"영상",AY$8:AY$162)</f>
        <v/>
      </c>
    </row>
    <row r="5">
      <c r="A5" s="45" t="inlineStr">
        <is>
          <t>이미지 TO</t>
        </is>
      </c>
      <c r="G5" s="46" t="inlineStr">
        <is>
          <t>정원</t>
        </is>
      </c>
      <c r="H5" s="47">
        <f>'마스터'!$J$9</f>
        <v/>
      </c>
      <c r="I5" s="48" t="n"/>
      <c r="J5" s="48" t="n"/>
      <c r="K5" s="48" t="n"/>
      <c r="L5" s="48" t="n"/>
      <c r="M5" s="48" t="n"/>
      <c r="N5" s="48" t="n"/>
      <c r="O5" s="48" t="n"/>
      <c r="P5" s="48" t="n"/>
      <c r="U5" s="49">
        <f>SUMIF($E$8:$E$162,"이미지",U$8:U$162)</f>
        <v/>
      </c>
      <c r="V5" s="49">
        <f>SUMIF($E$8:$E$162,"이미지",V$8:V$162)</f>
        <v/>
      </c>
      <c r="W5" s="49">
        <f>SUMIF($E$8:$E$162,"이미지",W$8:W$162)</f>
        <v/>
      </c>
      <c r="X5" s="49">
        <f>SUMIF($E$8:$E$162,"이미지",X$8:X$162)</f>
        <v/>
      </c>
      <c r="Y5" s="49">
        <f>SUMIF($E$8:$E$162,"이미지",Y$8:Y$162)</f>
        <v/>
      </c>
      <c r="Z5" s="49">
        <f>SUMIF($E$8:$E$162,"이미지",Z$8:Z$162)</f>
        <v/>
      </c>
      <c r="AA5" s="49">
        <f>SUMIF($E$8:$E$162,"이미지",AA$8:AA$162)</f>
        <v/>
      </c>
      <c r="AB5" s="49">
        <f>SUMIF($E$8:$E$162,"이미지",AB$8:AB$162)</f>
        <v/>
      </c>
      <c r="AC5" s="49">
        <f>SUMIF($E$8:$E$162,"이미지",AC$8:AC$162)</f>
        <v/>
      </c>
      <c r="AD5" s="49">
        <f>SUMIF($E$8:$E$162,"이미지",AD$8:AD$162)</f>
        <v/>
      </c>
      <c r="AE5" s="49">
        <f>SUMIF($E$8:$E$162,"이미지",AE$8:AE$162)</f>
        <v/>
      </c>
      <c r="AF5" s="49">
        <f>SUMIF($E$8:$E$162,"이미지",AF$8:AF$162)</f>
        <v/>
      </c>
      <c r="AG5" s="49">
        <f>SUMIF($E$8:$E$162,"이미지",AG$8:AG$162)</f>
        <v/>
      </c>
      <c r="AH5" s="49">
        <f>SUMIF($E$8:$E$162,"이미지",AH$8:AH$162)</f>
        <v/>
      </c>
      <c r="AI5" s="49">
        <f>SUMIF($E$8:$E$162,"이미지",AI$8:AI$162)</f>
        <v/>
      </c>
      <c r="AJ5" s="49">
        <f>SUMIF($E$8:$E$162,"이미지",AJ$8:AJ$162)</f>
        <v/>
      </c>
      <c r="AK5" s="49">
        <f>SUMIF($E$8:$E$162,"이미지",AK$8:AK$162)</f>
        <v/>
      </c>
      <c r="AL5" s="49">
        <f>SUMIF($E$8:$E$162,"이미지",AL$8:AL$162)</f>
        <v/>
      </c>
      <c r="AM5" s="49">
        <f>SUMIF($E$8:$E$162,"이미지",AM$8:AM$162)</f>
        <v/>
      </c>
      <c r="AN5" s="49">
        <f>SUMIF($E$8:$E$162,"이미지",AN$8:AN$162)</f>
        <v/>
      </c>
      <c r="AO5" s="49">
        <f>SUMIF($E$8:$E$162,"이미지",AO$8:AO$162)</f>
        <v/>
      </c>
      <c r="AP5" s="49">
        <f>SUMIF($E$8:$E$162,"이미지",AP$8:AP$162)</f>
        <v/>
      </c>
      <c r="AQ5" s="49">
        <f>SUMIF($E$8:$E$162,"이미지",AQ$8:AQ$162)</f>
        <v/>
      </c>
      <c r="AR5" s="49">
        <f>SUMIF($E$8:$E$162,"이미지",AR$8:AR$162)</f>
        <v/>
      </c>
      <c r="AS5" s="49">
        <f>SUMIF($E$8:$E$162,"이미지",AS$8:AS$162)</f>
        <v/>
      </c>
      <c r="AT5" s="49">
        <f>SUMIF($E$8:$E$162,"이미지",AT$8:AT$162)</f>
        <v/>
      </c>
      <c r="AU5" s="49">
        <f>SUMIF($E$8:$E$162,"이미지",AU$8:AU$162)</f>
        <v/>
      </c>
      <c r="AV5" s="49">
        <f>SUMIF($E$8:$E$162,"이미지",AV$8:AV$162)</f>
        <v/>
      </c>
      <c r="AW5" s="49">
        <f>SUMIF($E$8:$E$162,"이미지",AW$8:AW$162)</f>
        <v/>
      </c>
      <c r="AX5" s="49">
        <f>SUMIF($E$8:$E$162,"이미지",AX$8:AX$162)</f>
        <v/>
      </c>
      <c r="AY5" s="49">
        <f>SUMIF($E$8:$E$162,"이미지",AY$8:AY$162)</f>
        <v/>
      </c>
    </row>
    <row r="6">
      <c r="A6" s="45" t="inlineStr">
        <is>
          <t>기획 TO</t>
        </is>
      </c>
      <c r="G6" s="46" t="inlineStr">
        <is>
          <t>정원</t>
        </is>
      </c>
      <c r="H6" s="47">
        <f>'마스터'!$J$10</f>
        <v/>
      </c>
      <c r="I6" s="48" t="n"/>
      <c r="J6" s="48" t="n"/>
      <c r="K6" s="48" t="n"/>
      <c r="L6" s="48" t="n"/>
      <c r="M6" s="48" t="n"/>
      <c r="N6" s="48" t="n"/>
      <c r="O6" s="48" t="n"/>
      <c r="P6" s="48" t="n"/>
      <c r="U6" s="49">
        <f>SUMIF($E$8:$E$162,"기획",U$8:U$162)</f>
        <v/>
      </c>
      <c r="V6" s="49">
        <f>SUMIF($E$8:$E$162,"기획",V$8:V$162)</f>
        <v/>
      </c>
      <c r="W6" s="49">
        <f>SUMIF($E$8:$E$162,"기획",W$8:W$162)</f>
        <v/>
      </c>
      <c r="X6" s="49">
        <f>SUMIF($E$8:$E$162,"기획",X$8:X$162)</f>
        <v/>
      </c>
      <c r="Y6" s="49">
        <f>SUMIF($E$8:$E$162,"기획",Y$8:Y$162)</f>
        <v/>
      </c>
      <c r="Z6" s="49">
        <f>SUMIF($E$8:$E$162,"기획",Z$8:Z$162)</f>
        <v/>
      </c>
      <c r="AA6" s="49">
        <f>SUMIF($E$8:$E$162,"기획",AA$8:AA$162)</f>
        <v/>
      </c>
      <c r="AB6" s="49">
        <f>SUMIF($E$8:$E$162,"기획",AB$8:AB$162)</f>
        <v/>
      </c>
      <c r="AC6" s="49">
        <f>SUMIF($E$8:$E$162,"기획",AC$8:AC$162)</f>
        <v/>
      </c>
      <c r="AD6" s="49">
        <f>SUMIF($E$8:$E$162,"기획",AD$8:AD$162)</f>
        <v/>
      </c>
      <c r="AE6" s="49">
        <f>SUMIF($E$8:$E$162,"기획",AE$8:AE$162)</f>
        <v/>
      </c>
      <c r="AF6" s="49">
        <f>SUMIF($E$8:$E$162,"기획",AF$8:AF$162)</f>
        <v/>
      </c>
      <c r="AG6" s="49">
        <f>SUMIF($E$8:$E$162,"기획",AG$8:AG$162)</f>
        <v/>
      </c>
      <c r="AH6" s="49">
        <f>SUMIF($E$8:$E$162,"기획",AH$8:AH$162)</f>
        <v/>
      </c>
      <c r="AI6" s="49">
        <f>SUMIF($E$8:$E$162,"기획",AI$8:AI$162)</f>
        <v/>
      </c>
      <c r="AJ6" s="49">
        <f>SUMIF($E$8:$E$162,"기획",AJ$8:AJ$162)</f>
        <v/>
      </c>
      <c r="AK6" s="49">
        <f>SUMIF($E$8:$E$162,"기획",AK$8:AK$162)</f>
        <v/>
      </c>
      <c r="AL6" s="49">
        <f>SUMIF($E$8:$E$162,"기획",AL$8:AL$162)</f>
        <v/>
      </c>
      <c r="AM6" s="49">
        <f>SUMIF($E$8:$E$162,"기획",AM$8:AM$162)</f>
        <v/>
      </c>
      <c r="AN6" s="49">
        <f>SUMIF($E$8:$E$162,"기획",AN$8:AN$162)</f>
        <v/>
      </c>
      <c r="AO6" s="49">
        <f>SUMIF($E$8:$E$162,"기획",AO$8:AO$162)</f>
        <v/>
      </c>
      <c r="AP6" s="49">
        <f>SUMIF($E$8:$E$162,"기획",AP$8:AP$162)</f>
        <v/>
      </c>
      <c r="AQ6" s="49">
        <f>SUMIF($E$8:$E$162,"기획",AQ$8:AQ$162)</f>
        <v/>
      </c>
      <c r="AR6" s="49">
        <f>SUMIF($E$8:$E$162,"기획",AR$8:AR$162)</f>
        <v/>
      </c>
      <c r="AS6" s="49">
        <f>SUMIF($E$8:$E$162,"기획",AS$8:AS$162)</f>
        <v/>
      </c>
      <c r="AT6" s="49">
        <f>SUMIF($E$8:$E$162,"기획",AT$8:AT$162)</f>
        <v/>
      </c>
      <c r="AU6" s="49">
        <f>SUMIF($E$8:$E$162,"기획",AU$8:AU$162)</f>
        <v/>
      </c>
      <c r="AV6" s="49">
        <f>SUMIF($E$8:$E$162,"기획",AV$8:AV$162)</f>
        <v/>
      </c>
      <c r="AW6" s="49">
        <f>SUMIF($E$8:$E$162,"기획",AW$8:AW$162)</f>
        <v/>
      </c>
      <c r="AX6" s="49">
        <f>SUMIF($E$8:$E$162,"기획",AX$8:AX$162)</f>
        <v/>
      </c>
      <c r="AY6" s="49">
        <f>SUMIF($E$8:$E$162,"기획",AY$8:AY$162)</f>
        <v/>
      </c>
    </row>
    <row r="8">
      <c r="A8" s="50" t="inlineStr">
        <is>
          <t>마케팅1팀  (9~38행)</t>
        </is>
      </c>
      <c r="U8" s="51" t="n"/>
      <c r="V8" s="51" t="n"/>
      <c r="W8" s="51" t="n"/>
      <c r="X8" s="51" t="n"/>
      <c r="Y8" s="51" t="n"/>
      <c r="Z8" s="51" t="n"/>
      <c r="AA8" s="51" t="n"/>
      <c r="AB8" s="51" t="n"/>
      <c r="AC8" s="51" t="n"/>
      <c r="AD8" s="51" t="n"/>
      <c r="AE8" s="51" t="n"/>
      <c r="AF8" s="51" t="n"/>
      <c r="AG8" s="51" t="n"/>
      <c r="AH8" s="51" t="n"/>
      <c r="AI8" s="51" t="n"/>
      <c r="AJ8" s="51" t="n"/>
      <c r="AK8" s="51" t="n"/>
      <c r="AL8" s="51" t="n"/>
      <c r="AM8" s="51" t="n"/>
      <c r="AN8" s="51" t="n"/>
      <c r="AO8" s="51" t="n"/>
      <c r="AP8" s="51" t="n"/>
      <c r="AQ8" s="51" t="n"/>
      <c r="AR8" s="51" t="n"/>
      <c r="AS8" s="51" t="n"/>
      <c r="AT8" s="51" t="n"/>
      <c r="AU8" s="51" t="n"/>
      <c r="AV8" s="51" t="n"/>
      <c r="AW8" s="51" t="n"/>
      <c r="AX8" s="51" t="n"/>
      <c r="AY8" s="51" t="n"/>
    </row>
    <row r="9">
      <c r="A9" s="38">
        <f>IF(D9="","",COUNTA($D$9:D9))</f>
        <v/>
      </c>
      <c r="B9" s="52" t="n"/>
      <c r="C9" s="53" t="inlineStr">
        <is>
          <t>마케팅1팀</t>
        </is>
      </c>
      <c r="D9" s="52" t="n"/>
      <c r="E9" s="54" t="n"/>
      <c r="F9" s="52" t="n"/>
      <c r="G9" s="55" t="n"/>
      <c r="H9" s="54" t="n"/>
      <c r="I9" s="54" t="n"/>
      <c r="J9" s="54" t="n"/>
      <c r="K9" s="56">
        <f>IF(SUM(U9:AY9)=0,"",SUM(U9:AY9))</f>
        <v/>
      </c>
      <c r="L9" s="57">
        <f>IFERROR(INDEX(U$2:AY$2,MATCH(TRUE,U9:AY9&lt;&gt;"",0)),"")</f>
        <v/>
      </c>
      <c r="M9" s="58">
        <f>IFERROR(LOOKUP(2,1/(U9:AY9&lt;&gt;""),U$2:AY$2),"")</f>
        <v/>
      </c>
      <c r="N9" s="59">
        <f>IF(OR(G9="",M9=""),"",G9-M9)</f>
        <v/>
      </c>
      <c r="O9" s="60" t="n"/>
      <c r="P9" s="61" t="n"/>
      <c r="U9" s="62" t="n"/>
      <c r="V9" s="62" t="n"/>
      <c r="W9" s="62" t="n"/>
      <c r="X9" s="62" t="n"/>
      <c r="Y9" s="62" t="n"/>
      <c r="Z9" s="62" t="n"/>
      <c r="AA9" s="62" t="n"/>
      <c r="AB9" s="62" t="n"/>
      <c r="AC9" s="62" t="n"/>
      <c r="AD9" s="62" t="n"/>
      <c r="AE9" s="62" t="n"/>
      <c r="AF9" s="62" t="n"/>
      <c r="AG9" s="62" t="n"/>
      <c r="AH9" s="62" t="n"/>
      <c r="AI9" s="62" t="n"/>
      <c r="AJ9" s="62" t="n"/>
      <c r="AK9" s="62" t="n"/>
      <c r="AL9" s="62" t="n"/>
      <c r="AM9" s="62" t="n"/>
      <c r="AN9" s="62" t="n"/>
      <c r="AO9" s="62" t="n"/>
      <c r="AP9" s="62" t="n"/>
      <c r="AQ9" s="62" t="n"/>
      <c r="AR9" s="62" t="n"/>
      <c r="AS9" s="62" t="n"/>
      <c r="AT9" s="62" t="n"/>
      <c r="AU9" s="62" t="n"/>
      <c r="AV9" s="62" t="n"/>
      <c r="AW9" s="62" t="n"/>
      <c r="AX9" s="62" t="n"/>
      <c r="AY9" s="62" t="n"/>
    </row>
    <row r="10">
      <c r="A10" s="38">
        <f>IF(D10="","",COUNTA($D$9:D10))</f>
        <v/>
      </c>
      <c r="B10" s="52" t="n"/>
      <c r="C10" s="53" t="inlineStr">
        <is>
          <t>마케팅1팀</t>
        </is>
      </c>
      <c r="D10" s="52" t="n"/>
      <c r="E10" s="54" t="n"/>
      <c r="F10" s="52" t="n"/>
      <c r="G10" s="55" t="n"/>
      <c r="H10" s="54" t="n"/>
      <c r="I10" s="54" t="n"/>
      <c r="J10" s="54" t="n"/>
      <c r="K10" s="56">
        <f>IF(SUM(U10:AY10)=0,"",SUM(U10:AY10))</f>
        <v/>
      </c>
      <c r="L10" s="57">
        <f>IFERROR(INDEX(U$2:AY$2,MATCH(TRUE,U10:AY10&lt;&gt;"",0)),"")</f>
        <v/>
      </c>
      <c r="M10" s="58">
        <f>IFERROR(LOOKUP(2,1/(U10:AY10&lt;&gt;""),U$2:AY$2),"")</f>
        <v/>
      </c>
      <c r="N10" s="59">
        <f>IF(OR(G10="",M10=""),"",G10-M10)</f>
        <v/>
      </c>
      <c r="O10" s="60" t="n"/>
      <c r="P10" s="61" t="n"/>
      <c r="U10" s="62" t="n"/>
      <c r="V10" s="62" t="n"/>
      <c r="W10" s="62" t="n"/>
      <c r="X10" s="62" t="n"/>
      <c r="Y10" s="62" t="n"/>
      <c r="Z10" s="62" t="n"/>
      <c r="AA10" s="62" t="n"/>
      <c r="AB10" s="62" t="n"/>
      <c r="AC10" s="62" t="n"/>
      <c r="AD10" s="62" t="n"/>
      <c r="AE10" s="62" t="n"/>
      <c r="AF10" s="62" t="n"/>
      <c r="AG10" s="62" t="n"/>
      <c r="AH10" s="62" t="n"/>
      <c r="AI10" s="62" t="n"/>
      <c r="AJ10" s="62" t="n"/>
      <c r="AK10" s="62" t="n"/>
      <c r="AL10" s="62" t="n"/>
      <c r="AM10" s="62" t="n"/>
      <c r="AN10" s="62" t="n"/>
      <c r="AO10" s="62" t="n"/>
      <c r="AP10" s="62" t="n"/>
      <c r="AQ10" s="62" t="n"/>
      <c r="AR10" s="62" t="n"/>
      <c r="AS10" s="62" t="n"/>
      <c r="AT10" s="62" t="n"/>
      <c r="AU10" s="62" t="n"/>
      <c r="AV10" s="62" t="n"/>
      <c r="AW10" s="62" t="n"/>
      <c r="AX10" s="62" t="n"/>
      <c r="AY10" s="62" t="n"/>
    </row>
    <row r="11">
      <c r="A11" s="38">
        <f>IF(D11="","",COUNTA($D$9:D11))</f>
        <v/>
      </c>
      <c r="B11" s="52" t="n"/>
      <c r="C11" s="53" t="inlineStr">
        <is>
          <t>마케팅1팀</t>
        </is>
      </c>
      <c r="D11" s="52" t="n"/>
      <c r="E11" s="54" t="n"/>
      <c r="F11" s="52" t="n"/>
      <c r="G11" s="55" t="n"/>
      <c r="H11" s="54" t="n"/>
      <c r="I11" s="54" t="n"/>
      <c r="J11" s="54" t="n"/>
      <c r="K11" s="56">
        <f>IF(SUM(U11:AY11)=0,"",SUM(U11:AY11))</f>
        <v/>
      </c>
      <c r="L11" s="57">
        <f>IFERROR(INDEX(U$2:AY$2,MATCH(TRUE,U11:AY11&lt;&gt;"",0)),"")</f>
        <v/>
      </c>
      <c r="M11" s="58">
        <f>IFERROR(LOOKUP(2,1/(U11:AY11&lt;&gt;""),U$2:AY$2),"")</f>
        <v/>
      </c>
      <c r="N11" s="59">
        <f>IF(OR(G11="",M11=""),"",G11-M11)</f>
        <v/>
      </c>
      <c r="O11" s="60" t="n"/>
      <c r="P11" s="61" t="n"/>
      <c r="U11" s="62" t="n"/>
      <c r="V11" s="62" t="n"/>
      <c r="W11" s="62" t="n"/>
      <c r="X11" s="62" t="n"/>
      <c r="Y11" s="62" t="n"/>
      <c r="Z11" s="62" t="n"/>
      <c r="AA11" s="62" t="n"/>
      <c r="AB11" s="62" t="n"/>
      <c r="AC11" s="62" t="n"/>
      <c r="AD11" s="62" t="n"/>
      <c r="AE11" s="62" t="n"/>
      <c r="AF11" s="62" t="n"/>
      <c r="AG11" s="62" t="n"/>
      <c r="AH11" s="62" t="n"/>
      <c r="AI11" s="62" t="n"/>
      <c r="AJ11" s="62" t="n"/>
      <c r="AK11" s="62" t="n"/>
      <c r="AL11" s="62" t="n"/>
      <c r="AM11" s="62" t="n"/>
      <c r="AN11" s="62" t="n"/>
      <c r="AO11" s="62" t="n"/>
      <c r="AP11" s="62" t="n"/>
      <c r="AQ11" s="62" t="n"/>
      <c r="AR11" s="62" t="n"/>
      <c r="AS11" s="62" t="n"/>
      <c r="AT11" s="62" t="n"/>
      <c r="AU11" s="62" t="n"/>
      <c r="AV11" s="62" t="n"/>
      <c r="AW11" s="62" t="n"/>
      <c r="AX11" s="62" t="n"/>
      <c r="AY11" s="62" t="n"/>
    </row>
    <row r="12">
      <c r="A12" s="38">
        <f>IF(D12="","",COUNTA($D$9:D12))</f>
        <v/>
      </c>
      <c r="B12" s="52" t="n"/>
      <c r="C12" s="53" t="inlineStr">
        <is>
          <t>마케팅1팀</t>
        </is>
      </c>
      <c r="D12" s="52" t="n"/>
      <c r="E12" s="54" t="n"/>
      <c r="F12" s="52" t="n"/>
      <c r="G12" s="55" t="n"/>
      <c r="H12" s="54" t="n"/>
      <c r="I12" s="54" t="n"/>
      <c r="J12" s="54" t="n"/>
      <c r="K12" s="56">
        <f>IF(SUM(U12:AY12)=0,"",SUM(U12:AY12))</f>
        <v/>
      </c>
      <c r="L12" s="57">
        <f>IFERROR(INDEX(U$2:AY$2,MATCH(TRUE,U12:AY12&lt;&gt;"",0)),"")</f>
        <v/>
      </c>
      <c r="M12" s="58">
        <f>IFERROR(LOOKUP(2,1/(U12:AY12&lt;&gt;""),U$2:AY$2),"")</f>
        <v/>
      </c>
      <c r="N12" s="59">
        <f>IF(OR(G12="",M12=""),"",G12-M12)</f>
        <v/>
      </c>
      <c r="O12" s="60" t="n"/>
      <c r="P12" s="61" t="n"/>
      <c r="U12" s="62" t="n"/>
      <c r="V12" s="62" t="n"/>
      <c r="W12" s="62" t="n"/>
      <c r="X12" s="62" t="n"/>
      <c r="Y12" s="62" t="n"/>
      <c r="Z12" s="62" t="n"/>
      <c r="AA12" s="62" t="n"/>
      <c r="AB12" s="62" t="n"/>
      <c r="AC12" s="62" t="n"/>
      <c r="AD12" s="62" t="n"/>
      <c r="AE12" s="62" t="n"/>
      <c r="AF12" s="62" t="n"/>
      <c r="AG12" s="62" t="n"/>
      <c r="AH12" s="62" t="n"/>
      <c r="AI12" s="62" t="n"/>
      <c r="AJ12" s="62" t="n"/>
      <c r="AK12" s="62" t="n"/>
      <c r="AL12" s="62" t="n"/>
      <c r="AM12" s="62" t="n"/>
      <c r="AN12" s="62" t="n"/>
      <c r="AO12" s="62" t="n"/>
      <c r="AP12" s="62" t="n"/>
      <c r="AQ12" s="62" t="n"/>
      <c r="AR12" s="62" t="n"/>
      <c r="AS12" s="62" t="n"/>
      <c r="AT12" s="62" t="n"/>
      <c r="AU12" s="62" t="n"/>
      <c r="AV12" s="62" t="n"/>
      <c r="AW12" s="62" t="n"/>
      <c r="AX12" s="62" t="n"/>
      <c r="AY12" s="62" t="n"/>
    </row>
    <row r="13">
      <c r="A13" s="38">
        <f>IF(D13="","",COUNTA($D$9:D13))</f>
        <v/>
      </c>
      <c r="B13" s="52" t="n"/>
      <c r="C13" s="53" t="inlineStr">
        <is>
          <t>마케팅1팀</t>
        </is>
      </c>
      <c r="D13" s="52" t="n"/>
      <c r="E13" s="54" t="n"/>
      <c r="F13" s="52" t="n"/>
      <c r="G13" s="55" t="n"/>
      <c r="H13" s="54" t="n"/>
      <c r="I13" s="54" t="n"/>
      <c r="J13" s="54" t="n"/>
      <c r="K13" s="56">
        <f>IF(SUM(U13:AY13)=0,"",SUM(U13:AY13))</f>
        <v/>
      </c>
      <c r="L13" s="57">
        <f>IFERROR(INDEX(U$2:AY$2,MATCH(TRUE,U13:AY13&lt;&gt;"",0)),"")</f>
        <v/>
      </c>
      <c r="M13" s="58">
        <f>IFERROR(LOOKUP(2,1/(U13:AY13&lt;&gt;""),U$2:AY$2),"")</f>
        <v/>
      </c>
      <c r="N13" s="59">
        <f>IF(OR(G13="",M13=""),"",G13-M13)</f>
        <v/>
      </c>
      <c r="O13" s="60" t="n"/>
      <c r="P13" s="61" t="n"/>
      <c r="U13" s="62" t="n"/>
      <c r="V13" s="62" t="n"/>
      <c r="W13" s="62" t="n"/>
      <c r="X13" s="62" t="n"/>
      <c r="Y13" s="62" t="n"/>
      <c r="Z13" s="62" t="n"/>
      <c r="AA13" s="62" t="n"/>
      <c r="AB13" s="62" t="n"/>
      <c r="AC13" s="62" t="n"/>
      <c r="AD13" s="62" t="n"/>
      <c r="AE13" s="62" t="n"/>
      <c r="AF13" s="62" t="n"/>
      <c r="AG13" s="62" t="n"/>
      <c r="AH13" s="62" t="n"/>
      <c r="AI13" s="62" t="n"/>
      <c r="AJ13" s="62" t="n"/>
      <c r="AK13" s="62" t="n"/>
      <c r="AL13" s="62" t="n"/>
      <c r="AM13" s="62" t="n"/>
      <c r="AN13" s="62" t="n"/>
      <c r="AO13" s="62" t="n"/>
      <c r="AP13" s="62" t="n"/>
      <c r="AQ13" s="62" t="n"/>
      <c r="AR13" s="62" t="n"/>
      <c r="AS13" s="62" t="n"/>
      <c r="AT13" s="62" t="n"/>
      <c r="AU13" s="62" t="n"/>
      <c r="AV13" s="62" t="n"/>
      <c r="AW13" s="62" t="n"/>
      <c r="AX13" s="62" t="n"/>
      <c r="AY13" s="62" t="n"/>
    </row>
    <row r="14">
      <c r="A14" s="38">
        <f>IF(D14="","",COUNTA($D$9:D14))</f>
        <v/>
      </c>
      <c r="B14" s="52" t="n"/>
      <c r="C14" s="53" t="inlineStr">
        <is>
          <t>마케팅1팀</t>
        </is>
      </c>
      <c r="D14" s="52" t="n"/>
      <c r="E14" s="54" t="n"/>
      <c r="F14" s="52" t="n"/>
      <c r="G14" s="55" t="n"/>
      <c r="H14" s="54" t="n"/>
      <c r="I14" s="54" t="n"/>
      <c r="J14" s="54" t="n"/>
      <c r="K14" s="56">
        <f>IF(SUM(U14:AY14)=0,"",SUM(U14:AY14))</f>
        <v/>
      </c>
      <c r="L14" s="57">
        <f>IFERROR(INDEX(U$2:AY$2,MATCH(TRUE,U14:AY14&lt;&gt;"",0)),"")</f>
        <v/>
      </c>
      <c r="M14" s="58">
        <f>IFERROR(LOOKUP(2,1/(U14:AY14&lt;&gt;""),U$2:AY$2),"")</f>
        <v/>
      </c>
      <c r="N14" s="59">
        <f>IF(OR(G14="",M14=""),"",G14-M14)</f>
        <v/>
      </c>
      <c r="O14" s="60" t="n"/>
      <c r="P14" s="61" t="n"/>
      <c r="U14" s="62" t="n"/>
      <c r="V14" s="62" t="n"/>
      <c r="W14" s="62" t="n"/>
      <c r="X14" s="62" t="n"/>
      <c r="Y14" s="62" t="n"/>
      <c r="Z14" s="62" t="n"/>
      <c r="AA14" s="62" t="n"/>
      <c r="AB14" s="62" t="n"/>
      <c r="AC14" s="62" t="n"/>
      <c r="AD14" s="62" t="n"/>
      <c r="AE14" s="62" t="n"/>
      <c r="AF14" s="62" t="n"/>
      <c r="AG14" s="62" t="n"/>
      <c r="AH14" s="62" t="n"/>
      <c r="AI14" s="62" t="n"/>
      <c r="AJ14" s="62" t="n"/>
      <c r="AK14" s="62" t="n"/>
      <c r="AL14" s="62" t="n"/>
      <c r="AM14" s="62" t="n"/>
      <c r="AN14" s="62" t="n"/>
      <c r="AO14" s="62" t="n"/>
      <c r="AP14" s="62" t="n"/>
      <c r="AQ14" s="62" t="n"/>
      <c r="AR14" s="62" t="n"/>
      <c r="AS14" s="62" t="n"/>
      <c r="AT14" s="62" t="n"/>
      <c r="AU14" s="62" t="n"/>
      <c r="AV14" s="62" t="n"/>
      <c r="AW14" s="62" t="n"/>
      <c r="AX14" s="62" t="n"/>
      <c r="AY14" s="62" t="n"/>
    </row>
    <row r="15">
      <c r="A15" s="38">
        <f>IF(D15="","",COUNTA($D$9:D15))</f>
        <v/>
      </c>
      <c r="B15" s="52" t="n"/>
      <c r="C15" s="53" t="inlineStr">
        <is>
          <t>마케팅1팀</t>
        </is>
      </c>
      <c r="D15" s="52" t="n"/>
      <c r="E15" s="54" t="n"/>
      <c r="F15" s="52" t="n"/>
      <c r="G15" s="55" t="n"/>
      <c r="H15" s="54" t="n"/>
      <c r="I15" s="54" t="n"/>
      <c r="J15" s="54" t="n"/>
      <c r="K15" s="56">
        <f>IF(SUM(U15:AY15)=0,"",SUM(U15:AY15))</f>
        <v/>
      </c>
      <c r="L15" s="57">
        <f>IFERROR(INDEX(U$2:AY$2,MATCH(TRUE,U15:AY15&lt;&gt;"",0)),"")</f>
        <v/>
      </c>
      <c r="M15" s="58">
        <f>IFERROR(LOOKUP(2,1/(U15:AY15&lt;&gt;""),U$2:AY$2),"")</f>
        <v/>
      </c>
      <c r="N15" s="59">
        <f>IF(OR(G15="",M15=""),"",G15-M15)</f>
        <v/>
      </c>
      <c r="O15" s="60" t="n"/>
      <c r="P15" s="61" t="n"/>
      <c r="U15" s="62" t="n"/>
      <c r="V15" s="62" t="n"/>
      <c r="W15" s="62" t="n"/>
      <c r="X15" s="62" t="n"/>
      <c r="Y15" s="62" t="n"/>
      <c r="Z15" s="62" t="n"/>
      <c r="AA15" s="62" t="n"/>
      <c r="AB15" s="62" t="n"/>
      <c r="AC15" s="62" t="n"/>
      <c r="AD15" s="62" t="n"/>
      <c r="AE15" s="62" t="n"/>
      <c r="AF15" s="62" t="n"/>
      <c r="AG15" s="62" t="n"/>
      <c r="AH15" s="62" t="n"/>
      <c r="AI15" s="62" t="n"/>
      <c r="AJ15" s="62" t="n"/>
      <c r="AK15" s="62" t="n"/>
      <c r="AL15" s="62" t="n"/>
      <c r="AM15" s="62" t="n"/>
      <c r="AN15" s="62" t="n"/>
      <c r="AO15" s="62" t="n"/>
      <c r="AP15" s="62" t="n"/>
      <c r="AQ15" s="62" t="n"/>
      <c r="AR15" s="62" t="n"/>
      <c r="AS15" s="62" t="n"/>
      <c r="AT15" s="62" t="n"/>
      <c r="AU15" s="62" t="n"/>
      <c r="AV15" s="62" t="n"/>
      <c r="AW15" s="62" t="n"/>
      <c r="AX15" s="62" t="n"/>
      <c r="AY15" s="62" t="n"/>
    </row>
    <row r="16">
      <c r="A16" s="38">
        <f>IF(D16="","",COUNTA($D$9:D16))</f>
        <v/>
      </c>
      <c r="B16" s="52" t="n"/>
      <c r="C16" s="53" t="inlineStr">
        <is>
          <t>마케팅1팀</t>
        </is>
      </c>
      <c r="D16" s="52" t="n"/>
      <c r="E16" s="54" t="n"/>
      <c r="F16" s="52" t="n"/>
      <c r="G16" s="55" t="n"/>
      <c r="H16" s="54" t="n"/>
      <c r="I16" s="54" t="n"/>
      <c r="J16" s="54" t="n"/>
      <c r="K16" s="56">
        <f>IF(SUM(U16:AY16)=0,"",SUM(U16:AY16))</f>
        <v/>
      </c>
      <c r="L16" s="57">
        <f>IFERROR(INDEX(U$2:AY$2,MATCH(TRUE,U16:AY16&lt;&gt;"",0)),"")</f>
        <v/>
      </c>
      <c r="M16" s="58">
        <f>IFERROR(LOOKUP(2,1/(U16:AY16&lt;&gt;""),U$2:AY$2),"")</f>
        <v/>
      </c>
      <c r="N16" s="59">
        <f>IF(OR(G16="",M16=""),"",G16-M16)</f>
        <v/>
      </c>
      <c r="O16" s="60" t="n"/>
      <c r="P16" s="61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  <c r="AG16" s="62" t="n"/>
      <c r="AH16" s="62" t="n"/>
      <c r="AI16" s="62" t="n"/>
      <c r="AJ16" s="62" t="n"/>
      <c r="AK16" s="62" t="n"/>
      <c r="AL16" s="62" t="n"/>
      <c r="AM16" s="62" t="n"/>
      <c r="AN16" s="62" t="n"/>
      <c r="AO16" s="62" t="n"/>
      <c r="AP16" s="62" t="n"/>
      <c r="AQ16" s="62" t="n"/>
      <c r="AR16" s="62" t="n"/>
      <c r="AS16" s="62" t="n"/>
      <c r="AT16" s="62" t="n"/>
      <c r="AU16" s="62" t="n"/>
      <c r="AV16" s="62" t="n"/>
      <c r="AW16" s="62" t="n"/>
      <c r="AX16" s="62" t="n"/>
      <c r="AY16" s="62" t="n"/>
    </row>
    <row r="17">
      <c r="A17" s="38">
        <f>IF(D17="","",COUNTA($D$9:D17))</f>
        <v/>
      </c>
      <c r="B17" s="52" t="n"/>
      <c r="C17" s="53" t="inlineStr">
        <is>
          <t>마케팅1팀</t>
        </is>
      </c>
      <c r="D17" s="52" t="n"/>
      <c r="E17" s="54" t="n"/>
      <c r="F17" s="52" t="n"/>
      <c r="G17" s="55" t="n"/>
      <c r="H17" s="54" t="n"/>
      <c r="I17" s="54" t="n"/>
      <c r="J17" s="54" t="n"/>
      <c r="K17" s="56">
        <f>IF(SUM(U17:AY17)=0,"",SUM(U17:AY17))</f>
        <v/>
      </c>
      <c r="L17" s="57">
        <f>IFERROR(INDEX(U$2:AY$2,MATCH(TRUE,U17:AY17&lt;&gt;"",0)),"")</f>
        <v/>
      </c>
      <c r="M17" s="58">
        <f>IFERROR(LOOKUP(2,1/(U17:AY17&lt;&gt;""),U$2:AY$2),"")</f>
        <v/>
      </c>
      <c r="N17" s="59">
        <f>IF(OR(G17="",M17=""),"",G17-M17)</f>
        <v/>
      </c>
      <c r="O17" s="60" t="n"/>
      <c r="P17" s="61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  <c r="AG17" s="62" t="n"/>
      <c r="AH17" s="62" t="n"/>
      <c r="AI17" s="62" t="n"/>
      <c r="AJ17" s="62" t="n"/>
      <c r="AK17" s="62" t="n"/>
      <c r="AL17" s="62" t="n"/>
      <c r="AM17" s="62" t="n"/>
      <c r="AN17" s="62" t="n"/>
      <c r="AO17" s="62" t="n"/>
      <c r="AP17" s="62" t="n"/>
      <c r="AQ17" s="62" t="n"/>
      <c r="AR17" s="62" t="n"/>
      <c r="AS17" s="62" t="n"/>
      <c r="AT17" s="62" t="n"/>
      <c r="AU17" s="62" t="n"/>
      <c r="AV17" s="62" t="n"/>
      <c r="AW17" s="62" t="n"/>
      <c r="AX17" s="62" t="n"/>
      <c r="AY17" s="62" t="n"/>
    </row>
    <row r="18">
      <c r="A18" s="38">
        <f>IF(D18="","",COUNTA($D$9:D18))</f>
        <v/>
      </c>
      <c r="B18" s="52" t="n"/>
      <c r="C18" s="53" t="inlineStr">
        <is>
          <t>마케팅1팀</t>
        </is>
      </c>
      <c r="D18" s="52" t="n"/>
      <c r="E18" s="54" t="n"/>
      <c r="F18" s="52" t="n"/>
      <c r="G18" s="55" t="n"/>
      <c r="H18" s="54" t="n"/>
      <c r="I18" s="54" t="n"/>
      <c r="J18" s="54" t="n"/>
      <c r="K18" s="56">
        <f>IF(SUM(U18:AY18)=0,"",SUM(U18:AY18))</f>
        <v/>
      </c>
      <c r="L18" s="57">
        <f>IFERROR(INDEX(U$2:AY$2,MATCH(TRUE,U18:AY18&lt;&gt;"",0)),"")</f>
        <v/>
      </c>
      <c r="M18" s="58">
        <f>IFERROR(LOOKUP(2,1/(U18:AY18&lt;&gt;""),U$2:AY$2),"")</f>
        <v/>
      </c>
      <c r="N18" s="59">
        <f>IF(OR(G18="",M18=""),"",G18-M18)</f>
        <v/>
      </c>
      <c r="O18" s="60" t="n"/>
      <c r="P18" s="61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  <c r="AG18" s="62" t="n"/>
      <c r="AH18" s="62" t="n"/>
      <c r="AI18" s="62" t="n"/>
      <c r="AJ18" s="62" t="n"/>
      <c r="AK18" s="62" t="n"/>
      <c r="AL18" s="62" t="n"/>
      <c r="AM18" s="62" t="n"/>
      <c r="AN18" s="62" t="n"/>
      <c r="AO18" s="62" t="n"/>
      <c r="AP18" s="62" t="n"/>
      <c r="AQ18" s="62" t="n"/>
      <c r="AR18" s="62" t="n"/>
      <c r="AS18" s="62" t="n"/>
      <c r="AT18" s="62" t="n"/>
      <c r="AU18" s="62" t="n"/>
      <c r="AV18" s="62" t="n"/>
      <c r="AW18" s="62" t="n"/>
      <c r="AX18" s="62" t="n"/>
      <c r="AY18" s="62" t="n"/>
    </row>
    <row r="19">
      <c r="A19" s="38">
        <f>IF(D19="","",COUNTA($D$9:D19))</f>
        <v/>
      </c>
      <c r="B19" s="52" t="n"/>
      <c r="C19" s="53" t="inlineStr">
        <is>
          <t>마케팅1팀</t>
        </is>
      </c>
      <c r="D19" s="52" t="n"/>
      <c r="E19" s="54" t="n"/>
      <c r="F19" s="52" t="n"/>
      <c r="G19" s="55" t="n"/>
      <c r="H19" s="54" t="n"/>
      <c r="I19" s="54" t="n"/>
      <c r="J19" s="54" t="n"/>
      <c r="K19" s="56">
        <f>IF(SUM(U19:AY19)=0,"",SUM(U19:AY19))</f>
        <v/>
      </c>
      <c r="L19" s="57">
        <f>IFERROR(INDEX(U$2:AY$2,MATCH(TRUE,U19:AY19&lt;&gt;"",0)),"")</f>
        <v/>
      </c>
      <c r="M19" s="58">
        <f>IFERROR(LOOKUP(2,1/(U19:AY19&lt;&gt;""),U$2:AY$2),"")</f>
        <v/>
      </c>
      <c r="N19" s="59">
        <f>IF(OR(G19="",M19=""),"",G19-M19)</f>
        <v/>
      </c>
      <c r="O19" s="60" t="n"/>
      <c r="P19" s="61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  <c r="AG19" s="62" t="n"/>
      <c r="AH19" s="62" t="n"/>
      <c r="AI19" s="62" t="n"/>
      <c r="AJ19" s="62" t="n"/>
      <c r="AK19" s="62" t="n"/>
      <c r="AL19" s="62" t="n"/>
      <c r="AM19" s="62" t="n"/>
      <c r="AN19" s="62" t="n"/>
      <c r="AO19" s="62" t="n"/>
      <c r="AP19" s="62" t="n"/>
      <c r="AQ19" s="62" t="n"/>
      <c r="AR19" s="62" t="n"/>
      <c r="AS19" s="62" t="n"/>
      <c r="AT19" s="62" t="n"/>
      <c r="AU19" s="62" t="n"/>
      <c r="AV19" s="62" t="n"/>
      <c r="AW19" s="62" t="n"/>
      <c r="AX19" s="62" t="n"/>
      <c r="AY19" s="62" t="n"/>
    </row>
    <row r="20">
      <c r="A20" s="38">
        <f>IF(D20="","",COUNTA($D$9:D20))</f>
        <v/>
      </c>
      <c r="B20" s="52" t="n"/>
      <c r="C20" s="53" t="inlineStr">
        <is>
          <t>마케팅1팀</t>
        </is>
      </c>
      <c r="D20" s="52" t="n"/>
      <c r="E20" s="54" t="n"/>
      <c r="F20" s="52" t="n"/>
      <c r="G20" s="55" t="n"/>
      <c r="H20" s="54" t="n"/>
      <c r="I20" s="54" t="n"/>
      <c r="J20" s="54" t="n"/>
      <c r="K20" s="56">
        <f>IF(SUM(U20:AY20)=0,"",SUM(U20:AY20))</f>
        <v/>
      </c>
      <c r="L20" s="57">
        <f>IFERROR(INDEX(U$2:AY$2,MATCH(TRUE,U20:AY20&lt;&gt;"",0)),"")</f>
        <v/>
      </c>
      <c r="M20" s="58">
        <f>IFERROR(LOOKUP(2,1/(U20:AY20&lt;&gt;""),U$2:AY$2),"")</f>
        <v/>
      </c>
      <c r="N20" s="59">
        <f>IF(OR(G20="",M20=""),"",G20-M20)</f>
        <v/>
      </c>
      <c r="O20" s="60" t="n"/>
      <c r="P20" s="61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  <c r="AG20" s="62" t="n"/>
      <c r="AH20" s="62" t="n"/>
      <c r="AI20" s="62" t="n"/>
      <c r="AJ20" s="62" t="n"/>
      <c r="AK20" s="62" t="n"/>
      <c r="AL20" s="62" t="n"/>
      <c r="AM20" s="62" t="n"/>
      <c r="AN20" s="62" t="n"/>
      <c r="AO20" s="62" t="n"/>
      <c r="AP20" s="62" t="n"/>
      <c r="AQ20" s="62" t="n"/>
      <c r="AR20" s="62" t="n"/>
      <c r="AS20" s="62" t="n"/>
      <c r="AT20" s="62" t="n"/>
      <c r="AU20" s="62" t="n"/>
      <c r="AV20" s="62" t="n"/>
      <c r="AW20" s="62" t="n"/>
      <c r="AX20" s="62" t="n"/>
      <c r="AY20" s="62" t="n"/>
    </row>
    <row r="21">
      <c r="A21" s="38">
        <f>IF(D21="","",COUNTA($D$9:D21))</f>
        <v/>
      </c>
      <c r="B21" s="52" t="n"/>
      <c r="C21" s="53" t="inlineStr">
        <is>
          <t>마케팅1팀</t>
        </is>
      </c>
      <c r="D21" s="52" t="n"/>
      <c r="E21" s="54" t="n"/>
      <c r="F21" s="52" t="n"/>
      <c r="G21" s="55" t="n"/>
      <c r="H21" s="54" t="n"/>
      <c r="I21" s="54" t="n"/>
      <c r="J21" s="54" t="n"/>
      <c r="K21" s="56">
        <f>IF(SUM(U21:AY21)=0,"",SUM(U21:AY21))</f>
        <v/>
      </c>
      <c r="L21" s="57">
        <f>IFERROR(INDEX(U$2:AY$2,MATCH(TRUE,U21:AY21&lt;&gt;"",0)),"")</f>
        <v/>
      </c>
      <c r="M21" s="58">
        <f>IFERROR(LOOKUP(2,1/(U21:AY21&lt;&gt;""),U$2:AY$2),"")</f>
        <v/>
      </c>
      <c r="N21" s="59">
        <f>IF(OR(G21="",M21=""),"",G21-M21)</f>
        <v/>
      </c>
      <c r="O21" s="60" t="n"/>
      <c r="P21" s="61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  <c r="AG21" s="62" t="n"/>
      <c r="AH21" s="62" t="n"/>
      <c r="AI21" s="62" t="n"/>
      <c r="AJ21" s="62" t="n"/>
      <c r="AK21" s="62" t="n"/>
      <c r="AL21" s="62" t="n"/>
      <c r="AM21" s="62" t="n"/>
      <c r="AN21" s="62" t="n"/>
      <c r="AO21" s="62" t="n"/>
      <c r="AP21" s="62" t="n"/>
      <c r="AQ21" s="62" t="n"/>
      <c r="AR21" s="62" t="n"/>
      <c r="AS21" s="62" t="n"/>
      <c r="AT21" s="62" t="n"/>
      <c r="AU21" s="62" t="n"/>
      <c r="AV21" s="62" t="n"/>
      <c r="AW21" s="62" t="n"/>
      <c r="AX21" s="62" t="n"/>
      <c r="AY21" s="62" t="n"/>
    </row>
    <row r="22">
      <c r="A22" s="38">
        <f>IF(D22="","",COUNTA($D$9:D22))</f>
        <v/>
      </c>
      <c r="B22" s="52" t="n"/>
      <c r="C22" s="53" t="inlineStr">
        <is>
          <t>마케팅1팀</t>
        </is>
      </c>
      <c r="D22" s="52" t="n"/>
      <c r="E22" s="54" t="n"/>
      <c r="F22" s="52" t="n"/>
      <c r="G22" s="55" t="n"/>
      <c r="H22" s="54" t="n"/>
      <c r="I22" s="54" t="n"/>
      <c r="J22" s="54" t="n"/>
      <c r="K22" s="56">
        <f>IF(SUM(U22:AY22)=0,"",SUM(U22:AY22))</f>
        <v/>
      </c>
      <c r="L22" s="57">
        <f>IFERROR(INDEX(U$2:AY$2,MATCH(TRUE,U22:AY22&lt;&gt;"",0)),"")</f>
        <v/>
      </c>
      <c r="M22" s="58">
        <f>IFERROR(LOOKUP(2,1/(U22:AY22&lt;&gt;""),U$2:AY$2),"")</f>
        <v/>
      </c>
      <c r="N22" s="59">
        <f>IF(OR(G22="",M22=""),"",G22-M22)</f>
        <v/>
      </c>
      <c r="O22" s="60" t="n"/>
      <c r="P22" s="61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  <c r="AG22" s="62" t="n"/>
      <c r="AH22" s="62" t="n"/>
      <c r="AI22" s="62" t="n"/>
      <c r="AJ22" s="62" t="n"/>
      <c r="AK22" s="62" t="n"/>
      <c r="AL22" s="62" t="n"/>
      <c r="AM22" s="62" t="n"/>
      <c r="AN22" s="62" t="n"/>
      <c r="AO22" s="62" t="n"/>
      <c r="AP22" s="62" t="n"/>
      <c r="AQ22" s="62" t="n"/>
      <c r="AR22" s="62" t="n"/>
      <c r="AS22" s="62" t="n"/>
      <c r="AT22" s="62" t="n"/>
      <c r="AU22" s="62" t="n"/>
      <c r="AV22" s="62" t="n"/>
      <c r="AW22" s="62" t="n"/>
      <c r="AX22" s="62" t="n"/>
      <c r="AY22" s="62" t="n"/>
    </row>
    <row r="23">
      <c r="A23" s="38">
        <f>IF(D23="","",COUNTA($D$9:D23))</f>
        <v/>
      </c>
      <c r="B23" s="52" t="n"/>
      <c r="C23" s="53" t="inlineStr">
        <is>
          <t>마케팅1팀</t>
        </is>
      </c>
      <c r="D23" s="52" t="n"/>
      <c r="E23" s="54" t="n"/>
      <c r="F23" s="52" t="n"/>
      <c r="G23" s="55" t="n"/>
      <c r="H23" s="54" t="n"/>
      <c r="I23" s="54" t="n"/>
      <c r="J23" s="54" t="n"/>
      <c r="K23" s="56">
        <f>IF(SUM(U23:AY23)=0,"",SUM(U23:AY23))</f>
        <v/>
      </c>
      <c r="L23" s="57">
        <f>IFERROR(INDEX(U$2:AY$2,MATCH(TRUE,U23:AY23&lt;&gt;"",0)),"")</f>
        <v/>
      </c>
      <c r="M23" s="58">
        <f>IFERROR(LOOKUP(2,1/(U23:AY23&lt;&gt;""),U$2:AY$2),"")</f>
        <v/>
      </c>
      <c r="N23" s="59">
        <f>IF(OR(G23="",M23=""),"",G23-M23)</f>
        <v/>
      </c>
      <c r="O23" s="60" t="n"/>
      <c r="P23" s="61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  <c r="AG23" s="62" t="n"/>
      <c r="AH23" s="62" t="n"/>
      <c r="AI23" s="62" t="n"/>
      <c r="AJ23" s="62" t="n"/>
      <c r="AK23" s="62" t="n"/>
      <c r="AL23" s="62" t="n"/>
      <c r="AM23" s="62" t="n"/>
      <c r="AN23" s="62" t="n"/>
      <c r="AO23" s="62" t="n"/>
      <c r="AP23" s="62" t="n"/>
      <c r="AQ23" s="62" t="n"/>
      <c r="AR23" s="62" t="n"/>
      <c r="AS23" s="62" t="n"/>
      <c r="AT23" s="62" t="n"/>
      <c r="AU23" s="62" t="n"/>
      <c r="AV23" s="62" t="n"/>
      <c r="AW23" s="62" t="n"/>
      <c r="AX23" s="62" t="n"/>
      <c r="AY23" s="62" t="n"/>
    </row>
    <row r="24">
      <c r="A24" s="38">
        <f>IF(D24="","",COUNTA($D$9:D24))</f>
        <v/>
      </c>
      <c r="B24" s="52" t="n"/>
      <c r="C24" s="53" t="inlineStr">
        <is>
          <t>마케팅1팀</t>
        </is>
      </c>
      <c r="D24" s="52" t="n"/>
      <c r="E24" s="54" t="n"/>
      <c r="F24" s="52" t="n"/>
      <c r="G24" s="55" t="n"/>
      <c r="H24" s="54" t="n"/>
      <c r="I24" s="54" t="n"/>
      <c r="J24" s="54" t="n"/>
      <c r="K24" s="56">
        <f>IF(SUM(U24:AY24)=0,"",SUM(U24:AY24))</f>
        <v/>
      </c>
      <c r="L24" s="57">
        <f>IFERROR(INDEX(U$2:AY$2,MATCH(TRUE,U24:AY24&lt;&gt;"",0)),"")</f>
        <v/>
      </c>
      <c r="M24" s="58">
        <f>IFERROR(LOOKUP(2,1/(U24:AY24&lt;&gt;""),U$2:AY$2),"")</f>
        <v/>
      </c>
      <c r="N24" s="59">
        <f>IF(OR(G24="",M24=""),"",G24-M24)</f>
        <v/>
      </c>
      <c r="O24" s="60" t="n"/>
      <c r="P24" s="61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  <c r="AG24" s="62" t="n"/>
      <c r="AH24" s="62" t="n"/>
      <c r="AI24" s="62" t="n"/>
      <c r="AJ24" s="62" t="n"/>
      <c r="AK24" s="62" t="n"/>
      <c r="AL24" s="62" t="n"/>
      <c r="AM24" s="62" t="n"/>
      <c r="AN24" s="62" t="n"/>
      <c r="AO24" s="62" t="n"/>
      <c r="AP24" s="62" t="n"/>
      <c r="AQ24" s="62" t="n"/>
      <c r="AR24" s="62" t="n"/>
      <c r="AS24" s="62" t="n"/>
      <c r="AT24" s="62" t="n"/>
      <c r="AU24" s="62" t="n"/>
      <c r="AV24" s="62" t="n"/>
      <c r="AW24" s="62" t="n"/>
      <c r="AX24" s="62" t="n"/>
      <c r="AY24" s="62" t="n"/>
    </row>
    <row r="25">
      <c r="A25" s="38">
        <f>IF(D25="","",COUNTA($D$9:D25))</f>
        <v/>
      </c>
      <c r="B25" s="52" t="n"/>
      <c r="C25" s="53" t="inlineStr">
        <is>
          <t>마케팅1팀</t>
        </is>
      </c>
      <c r="D25" s="52" t="n"/>
      <c r="E25" s="54" t="n"/>
      <c r="F25" s="52" t="n"/>
      <c r="G25" s="55" t="n"/>
      <c r="H25" s="54" t="n"/>
      <c r="I25" s="54" t="n"/>
      <c r="J25" s="54" t="n"/>
      <c r="K25" s="56">
        <f>IF(SUM(U25:AY25)=0,"",SUM(U25:AY25))</f>
        <v/>
      </c>
      <c r="L25" s="57">
        <f>IFERROR(INDEX(U$2:AY$2,MATCH(TRUE,U25:AY25&lt;&gt;"",0)),"")</f>
        <v/>
      </c>
      <c r="M25" s="58">
        <f>IFERROR(LOOKUP(2,1/(U25:AY25&lt;&gt;""),U$2:AY$2),"")</f>
        <v/>
      </c>
      <c r="N25" s="59">
        <f>IF(OR(G25="",M25=""),"",G25-M25)</f>
        <v/>
      </c>
      <c r="O25" s="60" t="n"/>
      <c r="P25" s="61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  <c r="AG25" s="62" t="n"/>
      <c r="AH25" s="62" t="n"/>
      <c r="AI25" s="62" t="n"/>
      <c r="AJ25" s="62" t="n"/>
      <c r="AK25" s="62" t="n"/>
      <c r="AL25" s="62" t="n"/>
      <c r="AM25" s="62" t="n"/>
      <c r="AN25" s="62" t="n"/>
      <c r="AO25" s="62" t="n"/>
      <c r="AP25" s="62" t="n"/>
      <c r="AQ25" s="62" t="n"/>
      <c r="AR25" s="62" t="n"/>
      <c r="AS25" s="62" t="n"/>
      <c r="AT25" s="62" t="n"/>
      <c r="AU25" s="62" t="n"/>
      <c r="AV25" s="62" t="n"/>
      <c r="AW25" s="62" t="n"/>
      <c r="AX25" s="62" t="n"/>
      <c r="AY25" s="62" t="n"/>
    </row>
    <row r="26">
      <c r="A26" s="38">
        <f>IF(D26="","",COUNTA($D$9:D26))</f>
        <v/>
      </c>
      <c r="B26" s="52" t="n"/>
      <c r="C26" s="53" t="inlineStr">
        <is>
          <t>마케팅1팀</t>
        </is>
      </c>
      <c r="D26" s="52" t="n"/>
      <c r="E26" s="54" t="n"/>
      <c r="F26" s="52" t="n"/>
      <c r="G26" s="55" t="n"/>
      <c r="H26" s="54" t="n"/>
      <c r="I26" s="54" t="n"/>
      <c r="J26" s="54" t="n"/>
      <c r="K26" s="56">
        <f>IF(SUM(U26:AY26)=0,"",SUM(U26:AY26))</f>
        <v/>
      </c>
      <c r="L26" s="57">
        <f>IFERROR(INDEX(U$2:AY$2,MATCH(TRUE,U26:AY26&lt;&gt;"",0)),"")</f>
        <v/>
      </c>
      <c r="M26" s="58">
        <f>IFERROR(LOOKUP(2,1/(U26:AY26&lt;&gt;""),U$2:AY$2),"")</f>
        <v/>
      </c>
      <c r="N26" s="59">
        <f>IF(OR(G26="",M26=""),"",G26-M26)</f>
        <v/>
      </c>
      <c r="O26" s="60" t="n"/>
      <c r="P26" s="61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  <c r="AG26" s="62" t="n"/>
      <c r="AH26" s="62" t="n"/>
      <c r="AI26" s="62" t="n"/>
      <c r="AJ26" s="62" t="n"/>
      <c r="AK26" s="62" t="n"/>
      <c r="AL26" s="62" t="n"/>
      <c r="AM26" s="62" t="n"/>
      <c r="AN26" s="62" t="n"/>
      <c r="AO26" s="62" t="n"/>
      <c r="AP26" s="62" t="n"/>
      <c r="AQ26" s="62" t="n"/>
      <c r="AR26" s="62" t="n"/>
      <c r="AS26" s="62" t="n"/>
      <c r="AT26" s="62" t="n"/>
      <c r="AU26" s="62" t="n"/>
      <c r="AV26" s="62" t="n"/>
      <c r="AW26" s="62" t="n"/>
      <c r="AX26" s="62" t="n"/>
      <c r="AY26" s="62" t="n"/>
    </row>
    <row r="27">
      <c r="A27" s="38">
        <f>IF(D27="","",COUNTA($D$9:D27))</f>
        <v/>
      </c>
      <c r="B27" s="52" t="n"/>
      <c r="C27" s="53" t="inlineStr">
        <is>
          <t>마케팅1팀</t>
        </is>
      </c>
      <c r="D27" s="52" t="n"/>
      <c r="E27" s="54" t="n"/>
      <c r="F27" s="52" t="n"/>
      <c r="G27" s="55" t="n"/>
      <c r="H27" s="54" t="n"/>
      <c r="I27" s="54" t="n"/>
      <c r="J27" s="54" t="n"/>
      <c r="K27" s="56">
        <f>IF(SUM(U27:AY27)=0,"",SUM(U27:AY27))</f>
        <v/>
      </c>
      <c r="L27" s="57">
        <f>IFERROR(INDEX(U$2:AY$2,MATCH(TRUE,U27:AY27&lt;&gt;"",0)),"")</f>
        <v/>
      </c>
      <c r="M27" s="58">
        <f>IFERROR(LOOKUP(2,1/(U27:AY27&lt;&gt;""),U$2:AY$2),"")</f>
        <v/>
      </c>
      <c r="N27" s="59">
        <f>IF(OR(G27="",M27=""),"",G27-M27)</f>
        <v/>
      </c>
      <c r="O27" s="60" t="n"/>
      <c r="P27" s="61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  <c r="AG27" s="62" t="n"/>
      <c r="AH27" s="62" t="n"/>
      <c r="AI27" s="62" t="n"/>
      <c r="AJ27" s="62" t="n"/>
      <c r="AK27" s="62" t="n"/>
      <c r="AL27" s="62" t="n"/>
      <c r="AM27" s="62" t="n"/>
      <c r="AN27" s="62" t="n"/>
      <c r="AO27" s="62" t="n"/>
      <c r="AP27" s="62" t="n"/>
      <c r="AQ27" s="62" t="n"/>
      <c r="AR27" s="62" t="n"/>
      <c r="AS27" s="62" t="n"/>
      <c r="AT27" s="62" t="n"/>
      <c r="AU27" s="62" t="n"/>
      <c r="AV27" s="62" t="n"/>
      <c r="AW27" s="62" t="n"/>
      <c r="AX27" s="62" t="n"/>
      <c r="AY27" s="62" t="n"/>
    </row>
    <row r="28">
      <c r="A28" s="38">
        <f>IF(D28="","",COUNTA($D$9:D28))</f>
        <v/>
      </c>
      <c r="B28" s="52" t="n"/>
      <c r="C28" s="53" t="inlineStr">
        <is>
          <t>마케팅1팀</t>
        </is>
      </c>
      <c r="D28" s="52" t="n"/>
      <c r="E28" s="54" t="n"/>
      <c r="F28" s="52" t="n"/>
      <c r="G28" s="55" t="n"/>
      <c r="H28" s="54" t="n"/>
      <c r="I28" s="54" t="n"/>
      <c r="J28" s="54" t="n"/>
      <c r="K28" s="56">
        <f>IF(SUM(U28:AY28)=0,"",SUM(U28:AY28))</f>
        <v/>
      </c>
      <c r="L28" s="57">
        <f>IFERROR(INDEX(U$2:AY$2,MATCH(TRUE,U28:AY28&lt;&gt;"",0)),"")</f>
        <v/>
      </c>
      <c r="M28" s="58">
        <f>IFERROR(LOOKUP(2,1/(U28:AY28&lt;&gt;""),U$2:AY$2),"")</f>
        <v/>
      </c>
      <c r="N28" s="59">
        <f>IF(OR(G28="",M28=""),"",G28-M28)</f>
        <v/>
      </c>
      <c r="O28" s="60" t="n"/>
      <c r="P28" s="61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  <c r="AG28" s="62" t="n"/>
      <c r="AH28" s="62" t="n"/>
      <c r="AI28" s="62" t="n"/>
      <c r="AJ28" s="62" t="n"/>
      <c r="AK28" s="62" t="n"/>
      <c r="AL28" s="62" t="n"/>
      <c r="AM28" s="62" t="n"/>
      <c r="AN28" s="62" t="n"/>
      <c r="AO28" s="62" t="n"/>
      <c r="AP28" s="62" t="n"/>
      <c r="AQ28" s="62" t="n"/>
      <c r="AR28" s="62" t="n"/>
      <c r="AS28" s="62" t="n"/>
      <c r="AT28" s="62" t="n"/>
      <c r="AU28" s="62" t="n"/>
      <c r="AV28" s="62" t="n"/>
      <c r="AW28" s="62" t="n"/>
      <c r="AX28" s="62" t="n"/>
      <c r="AY28" s="62" t="n"/>
    </row>
    <row r="29">
      <c r="A29" s="38">
        <f>IF(D29="","",COUNTA($D$9:D29))</f>
        <v/>
      </c>
      <c r="B29" s="52" t="n"/>
      <c r="C29" s="53" t="inlineStr">
        <is>
          <t>마케팅1팀</t>
        </is>
      </c>
      <c r="D29" s="52" t="n"/>
      <c r="E29" s="54" t="n"/>
      <c r="F29" s="52" t="n"/>
      <c r="G29" s="55" t="n"/>
      <c r="H29" s="54" t="n"/>
      <c r="I29" s="54" t="n"/>
      <c r="J29" s="54" t="n"/>
      <c r="K29" s="56">
        <f>IF(SUM(U29:AY29)=0,"",SUM(U29:AY29))</f>
        <v/>
      </c>
      <c r="L29" s="57">
        <f>IFERROR(INDEX(U$2:AY$2,MATCH(TRUE,U29:AY29&lt;&gt;"",0)),"")</f>
        <v/>
      </c>
      <c r="M29" s="58">
        <f>IFERROR(LOOKUP(2,1/(U29:AY29&lt;&gt;""),U$2:AY$2),"")</f>
        <v/>
      </c>
      <c r="N29" s="59">
        <f>IF(OR(G29="",M29=""),"",G29-M29)</f>
        <v/>
      </c>
      <c r="O29" s="60" t="n"/>
      <c r="P29" s="61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  <c r="AG29" s="62" t="n"/>
      <c r="AH29" s="62" t="n"/>
      <c r="AI29" s="62" t="n"/>
      <c r="AJ29" s="62" t="n"/>
      <c r="AK29" s="62" t="n"/>
      <c r="AL29" s="62" t="n"/>
      <c r="AM29" s="62" t="n"/>
      <c r="AN29" s="62" t="n"/>
      <c r="AO29" s="62" t="n"/>
      <c r="AP29" s="62" t="n"/>
      <c r="AQ29" s="62" t="n"/>
      <c r="AR29" s="62" t="n"/>
      <c r="AS29" s="62" t="n"/>
      <c r="AT29" s="62" t="n"/>
      <c r="AU29" s="62" t="n"/>
      <c r="AV29" s="62" t="n"/>
      <c r="AW29" s="62" t="n"/>
      <c r="AX29" s="62" t="n"/>
      <c r="AY29" s="62" t="n"/>
    </row>
    <row r="30">
      <c r="A30" s="38">
        <f>IF(D30="","",COUNTA($D$9:D30))</f>
        <v/>
      </c>
      <c r="B30" s="52" t="n"/>
      <c r="C30" s="53" t="inlineStr">
        <is>
          <t>마케팅1팀</t>
        </is>
      </c>
      <c r="D30" s="52" t="n"/>
      <c r="E30" s="54" t="n"/>
      <c r="F30" s="52" t="n"/>
      <c r="G30" s="55" t="n"/>
      <c r="H30" s="54" t="n"/>
      <c r="I30" s="54" t="n"/>
      <c r="J30" s="54" t="n"/>
      <c r="K30" s="56">
        <f>IF(SUM(U30:AY30)=0,"",SUM(U30:AY30))</f>
        <v/>
      </c>
      <c r="L30" s="57">
        <f>IFERROR(INDEX(U$2:AY$2,MATCH(TRUE,U30:AY30&lt;&gt;"",0)),"")</f>
        <v/>
      </c>
      <c r="M30" s="58">
        <f>IFERROR(LOOKUP(2,1/(U30:AY30&lt;&gt;""),U$2:AY$2),"")</f>
        <v/>
      </c>
      <c r="N30" s="59">
        <f>IF(OR(G30="",M30=""),"",G30-M30)</f>
        <v/>
      </c>
      <c r="O30" s="60" t="n"/>
      <c r="P30" s="61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  <c r="AG30" s="62" t="n"/>
      <c r="AH30" s="62" t="n"/>
      <c r="AI30" s="62" t="n"/>
      <c r="AJ30" s="62" t="n"/>
      <c r="AK30" s="62" t="n"/>
      <c r="AL30" s="62" t="n"/>
      <c r="AM30" s="62" t="n"/>
      <c r="AN30" s="62" t="n"/>
      <c r="AO30" s="62" t="n"/>
      <c r="AP30" s="62" t="n"/>
      <c r="AQ30" s="62" t="n"/>
      <c r="AR30" s="62" t="n"/>
      <c r="AS30" s="62" t="n"/>
      <c r="AT30" s="62" t="n"/>
      <c r="AU30" s="62" t="n"/>
      <c r="AV30" s="62" t="n"/>
      <c r="AW30" s="62" t="n"/>
      <c r="AX30" s="62" t="n"/>
      <c r="AY30" s="62" t="n"/>
    </row>
    <row r="31">
      <c r="A31" s="38">
        <f>IF(D31="","",COUNTA($D$9:D31))</f>
        <v/>
      </c>
      <c r="B31" s="52" t="n"/>
      <c r="C31" s="53" t="inlineStr">
        <is>
          <t>마케팅1팀</t>
        </is>
      </c>
      <c r="D31" s="52" t="n"/>
      <c r="E31" s="54" t="n"/>
      <c r="F31" s="52" t="n"/>
      <c r="G31" s="55" t="n"/>
      <c r="H31" s="54" t="n"/>
      <c r="I31" s="54" t="n"/>
      <c r="J31" s="54" t="n"/>
      <c r="K31" s="56">
        <f>IF(SUM(U31:AY31)=0,"",SUM(U31:AY31))</f>
        <v/>
      </c>
      <c r="L31" s="57">
        <f>IFERROR(INDEX(U$2:AY$2,MATCH(TRUE,U31:AY31&lt;&gt;"",0)),"")</f>
        <v/>
      </c>
      <c r="M31" s="58">
        <f>IFERROR(LOOKUP(2,1/(U31:AY31&lt;&gt;""),U$2:AY$2),"")</f>
        <v/>
      </c>
      <c r="N31" s="59">
        <f>IF(OR(G31="",M31=""),"",G31-M31)</f>
        <v/>
      </c>
      <c r="O31" s="60" t="n"/>
      <c r="P31" s="61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  <c r="AG31" s="62" t="n"/>
      <c r="AH31" s="62" t="n"/>
      <c r="AI31" s="62" t="n"/>
      <c r="AJ31" s="62" t="n"/>
      <c r="AK31" s="62" t="n"/>
      <c r="AL31" s="62" t="n"/>
      <c r="AM31" s="62" t="n"/>
      <c r="AN31" s="62" t="n"/>
      <c r="AO31" s="62" t="n"/>
      <c r="AP31" s="62" t="n"/>
      <c r="AQ31" s="62" t="n"/>
      <c r="AR31" s="62" t="n"/>
      <c r="AS31" s="62" t="n"/>
      <c r="AT31" s="62" t="n"/>
      <c r="AU31" s="62" t="n"/>
      <c r="AV31" s="62" t="n"/>
      <c r="AW31" s="62" t="n"/>
      <c r="AX31" s="62" t="n"/>
      <c r="AY31" s="62" t="n"/>
    </row>
    <row r="32">
      <c r="A32" s="38">
        <f>IF(D32="","",COUNTA($D$9:D32))</f>
        <v/>
      </c>
      <c r="B32" s="52" t="n"/>
      <c r="C32" s="53" t="inlineStr">
        <is>
          <t>마케팅1팀</t>
        </is>
      </c>
      <c r="D32" s="52" t="n"/>
      <c r="E32" s="54" t="n"/>
      <c r="F32" s="52" t="n"/>
      <c r="G32" s="55" t="n"/>
      <c r="H32" s="54" t="n"/>
      <c r="I32" s="54" t="n"/>
      <c r="J32" s="54" t="n"/>
      <c r="K32" s="56">
        <f>IF(SUM(U32:AY32)=0,"",SUM(U32:AY32))</f>
        <v/>
      </c>
      <c r="L32" s="57">
        <f>IFERROR(INDEX(U$2:AY$2,MATCH(TRUE,U32:AY32&lt;&gt;"",0)),"")</f>
        <v/>
      </c>
      <c r="M32" s="58">
        <f>IFERROR(LOOKUP(2,1/(U32:AY32&lt;&gt;""),U$2:AY$2),"")</f>
        <v/>
      </c>
      <c r="N32" s="59">
        <f>IF(OR(G32="",M32=""),"",G32-M32)</f>
        <v/>
      </c>
      <c r="O32" s="60" t="n"/>
      <c r="P32" s="61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  <c r="AG32" s="62" t="n"/>
      <c r="AH32" s="62" t="n"/>
      <c r="AI32" s="62" t="n"/>
      <c r="AJ32" s="62" t="n"/>
      <c r="AK32" s="62" t="n"/>
      <c r="AL32" s="62" t="n"/>
      <c r="AM32" s="62" t="n"/>
      <c r="AN32" s="62" t="n"/>
      <c r="AO32" s="62" t="n"/>
      <c r="AP32" s="62" t="n"/>
      <c r="AQ32" s="62" t="n"/>
      <c r="AR32" s="62" t="n"/>
      <c r="AS32" s="62" t="n"/>
      <c r="AT32" s="62" t="n"/>
      <c r="AU32" s="62" t="n"/>
      <c r="AV32" s="62" t="n"/>
      <c r="AW32" s="62" t="n"/>
      <c r="AX32" s="62" t="n"/>
      <c r="AY32" s="62" t="n"/>
    </row>
    <row r="33">
      <c r="A33" s="38">
        <f>IF(D33="","",COUNTA($D$9:D33))</f>
        <v/>
      </c>
      <c r="B33" s="52" t="n"/>
      <c r="C33" s="53" t="inlineStr">
        <is>
          <t>마케팅1팀</t>
        </is>
      </c>
      <c r="D33" s="52" t="n"/>
      <c r="E33" s="54" t="n"/>
      <c r="F33" s="52" t="n"/>
      <c r="G33" s="55" t="n"/>
      <c r="H33" s="54" t="n"/>
      <c r="I33" s="54" t="n"/>
      <c r="J33" s="54" t="n"/>
      <c r="K33" s="56">
        <f>IF(SUM(U33:AY33)=0,"",SUM(U33:AY33))</f>
        <v/>
      </c>
      <c r="L33" s="57">
        <f>IFERROR(INDEX(U$2:AY$2,MATCH(TRUE,U33:AY33&lt;&gt;"",0)),"")</f>
        <v/>
      </c>
      <c r="M33" s="58">
        <f>IFERROR(LOOKUP(2,1/(U33:AY33&lt;&gt;""),U$2:AY$2),"")</f>
        <v/>
      </c>
      <c r="N33" s="59">
        <f>IF(OR(G33="",M33=""),"",G33-M33)</f>
        <v/>
      </c>
      <c r="O33" s="60" t="n"/>
      <c r="P33" s="61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  <c r="AG33" s="62" t="n"/>
      <c r="AH33" s="62" t="n"/>
      <c r="AI33" s="62" t="n"/>
      <c r="AJ33" s="62" t="n"/>
      <c r="AK33" s="62" t="n"/>
      <c r="AL33" s="62" t="n"/>
      <c r="AM33" s="62" t="n"/>
      <c r="AN33" s="62" t="n"/>
      <c r="AO33" s="62" t="n"/>
      <c r="AP33" s="62" t="n"/>
      <c r="AQ33" s="62" t="n"/>
      <c r="AR33" s="62" t="n"/>
      <c r="AS33" s="62" t="n"/>
      <c r="AT33" s="62" t="n"/>
      <c r="AU33" s="62" t="n"/>
      <c r="AV33" s="62" t="n"/>
      <c r="AW33" s="62" t="n"/>
      <c r="AX33" s="62" t="n"/>
      <c r="AY33" s="62" t="n"/>
    </row>
    <row r="34">
      <c r="A34" s="38">
        <f>IF(D34="","",COUNTA($D$9:D34))</f>
        <v/>
      </c>
      <c r="B34" s="52" t="n"/>
      <c r="C34" s="53" t="inlineStr">
        <is>
          <t>마케팅1팀</t>
        </is>
      </c>
      <c r="D34" s="52" t="n"/>
      <c r="E34" s="54" t="n"/>
      <c r="F34" s="52" t="n"/>
      <c r="G34" s="55" t="n"/>
      <c r="H34" s="54" t="n"/>
      <c r="I34" s="54" t="n"/>
      <c r="J34" s="54" t="n"/>
      <c r="K34" s="56">
        <f>IF(SUM(U34:AY34)=0,"",SUM(U34:AY34))</f>
        <v/>
      </c>
      <c r="L34" s="57">
        <f>IFERROR(INDEX(U$2:AY$2,MATCH(TRUE,U34:AY34&lt;&gt;"",0)),"")</f>
        <v/>
      </c>
      <c r="M34" s="58">
        <f>IFERROR(LOOKUP(2,1/(U34:AY34&lt;&gt;""),U$2:AY$2),"")</f>
        <v/>
      </c>
      <c r="N34" s="59">
        <f>IF(OR(G34="",M34=""),"",G34-M34)</f>
        <v/>
      </c>
      <c r="O34" s="60" t="n"/>
      <c r="P34" s="61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  <c r="AG34" s="62" t="n"/>
      <c r="AH34" s="62" t="n"/>
      <c r="AI34" s="62" t="n"/>
      <c r="AJ34" s="62" t="n"/>
      <c r="AK34" s="62" t="n"/>
      <c r="AL34" s="62" t="n"/>
      <c r="AM34" s="62" t="n"/>
      <c r="AN34" s="62" t="n"/>
      <c r="AO34" s="62" t="n"/>
      <c r="AP34" s="62" t="n"/>
      <c r="AQ34" s="62" t="n"/>
      <c r="AR34" s="62" t="n"/>
      <c r="AS34" s="62" t="n"/>
      <c r="AT34" s="62" t="n"/>
      <c r="AU34" s="62" t="n"/>
      <c r="AV34" s="62" t="n"/>
      <c r="AW34" s="62" t="n"/>
      <c r="AX34" s="62" t="n"/>
      <c r="AY34" s="62" t="n"/>
    </row>
    <row r="35">
      <c r="A35" s="38">
        <f>IF(D35="","",COUNTA($D$9:D35))</f>
        <v/>
      </c>
      <c r="B35" s="52" t="n"/>
      <c r="C35" s="53" t="inlineStr">
        <is>
          <t>마케팅1팀</t>
        </is>
      </c>
      <c r="D35" s="52" t="n"/>
      <c r="E35" s="54" t="n"/>
      <c r="F35" s="52" t="n"/>
      <c r="G35" s="55" t="n"/>
      <c r="H35" s="54" t="n"/>
      <c r="I35" s="54" t="n"/>
      <c r="J35" s="54" t="n"/>
      <c r="K35" s="56">
        <f>IF(SUM(U35:AY35)=0,"",SUM(U35:AY35))</f>
        <v/>
      </c>
      <c r="L35" s="57">
        <f>IFERROR(INDEX(U$2:AY$2,MATCH(TRUE,U35:AY35&lt;&gt;"",0)),"")</f>
        <v/>
      </c>
      <c r="M35" s="58">
        <f>IFERROR(LOOKUP(2,1/(U35:AY35&lt;&gt;""),U$2:AY$2),"")</f>
        <v/>
      </c>
      <c r="N35" s="59">
        <f>IF(OR(G35="",M35=""),"",G35-M35)</f>
        <v/>
      </c>
      <c r="O35" s="60" t="n"/>
      <c r="P35" s="61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  <c r="AG35" s="62" t="n"/>
      <c r="AH35" s="62" t="n"/>
      <c r="AI35" s="62" t="n"/>
      <c r="AJ35" s="62" t="n"/>
      <c r="AK35" s="62" t="n"/>
      <c r="AL35" s="62" t="n"/>
      <c r="AM35" s="62" t="n"/>
      <c r="AN35" s="62" t="n"/>
      <c r="AO35" s="62" t="n"/>
      <c r="AP35" s="62" t="n"/>
      <c r="AQ35" s="62" t="n"/>
      <c r="AR35" s="62" t="n"/>
      <c r="AS35" s="62" t="n"/>
      <c r="AT35" s="62" t="n"/>
      <c r="AU35" s="62" t="n"/>
      <c r="AV35" s="62" t="n"/>
      <c r="AW35" s="62" t="n"/>
      <c r="AX35" s="62" t="n"/>
      <c r="AY35" s="62" t="n"/>
    </row>
    <row r="36">
      <c r="A36" s="38">
        <f>IF(D36="","",COUNTA($D$9:D36))</f>
        <v/>
      </c>
      <c r="B36" s="52" t="n"/>
      <c r="C36" s="53" t="inlineStr">
        <is>
          <t>마케팅1팀</t>
        </is>
      </c>
      <c r="D36" s="52" t="n"/>
      <c r="E36" s="54" t="n"/>
      <c r="F36" s="52" t="n"/>
      <c r="G36" s="55" t="n"/>
      <c r="H36" s="54" t="n"/>
      <c r="I36" s="54" t="n"/>
      <c r="J36" s="54" t="n"/>
      <c r="K36" s="56">
        <f>IF(SUM(U36:AY36)=0,"",SUM(U36:AY36))</f>
        <v/>
      </c>
      <c r="L36" s="57">
        <f>IFERROR(INDEX(U$2:AY$2,MATCH(TRUE,U36:AY36&lt;&gt;"",0)),"")</f>
        <v/>
      </c>
      <c r="M36" s="58">
        <f>IFERROR(LOOKUP(2,1/(U36:AY36&lt;&gt;""),U$2:AY$2),"")</f>
        <v/>
      </c>
      <c r="N36" s="59">
        <f>IF(OR(G36="",M36=""),"",G36-M36)</f>
        <v/>
      </c>
      <c r="O36" s="60" t="n"/>
      <c r="P36" s="61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  <c r="AG36" s="62" t="n"/>
      <c r="AH36" s="62" t="n"/>
      <c r="AI36" s="62" t="n"/>
      <c r="AJ36" s="62" t="n"/>
      <c r="AK36" s="62" t="n"/>
      <c r="AL36" s="62" t="n"/>
      <c r="AM36" s="62" t="n"/>
      <c r="AN36" s="62" t="n"/>
      <c r="AO36" s="62" t="n"/>
      <c r="AP36" s="62" t="n"/>
      <c r="AQ36" s="62" t="n"/>
      <c r="AR36" s="62" t="n"/>
      <c r="AS36" s="62" t="n"/>
      <c r="AT36" s="62" t="n"/>
      <c r="AU36" s="62" t="n"/>
      <c r="AV36" s="62" t="n"/>
      <c r="AW36" s="62" t="n"/>
      <c r="AX36" s="62" t="n"/>
      <c r="AY36" s="62" t="n"/>
    </row>
    <row r="37">
      <c r="A37" s="38">
        <f>IF(D37="","",COUNTA($D$9:D37))</f>
        <v/>
      </c>
      <c r="B37" s="52" t="n"/>
      <c r="C37" s="53" t="inlineStr">
        <is>
          <t>마케팅1팀</t>
        </is>
      </c>
      <c r="D37" s="52" t="n"/>
      <c r="E37" s="54" t="n"/>
      <c r="F37" s="52" t="n"/>
      <c r="G37" s="55" t="n"/>
      <c r="H37" s="54" t="n"/>
      <c r="I37" s="54" t="n"/>
      <c r="J37" s="54" t="n"/>
      <c r="K37" s="56">
        <f>IF(SUM(U37:AY37)=0,"",SUM(U37:AY37))</f>
        <v/>
      </c>
      <c r="L37" s="57">
        <f>IFERROR(INDEX(U$2:AY$2,MATCH(TRUE,U37:AY37&lt;&gt;"",0)),"")</f>
        <v/>
      </c>
      <c r="M37" s="58">
        <f>IFERROR(LOOKUP(2,1/(U37:AY37&lt;&gt;""),U$2:AY$2),"")</f>
        <v/>
      </c>
      <c r="N37" s="59">
        <f>IF(OR(G37="",M37=""),"",G37-M37)</f>
        <v/>
      </c>
      <c r="O37" s="60" t="n"/>
      <c r="P37" s="61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  <c r="AG37" s="62" t="n"/>
      <c r="AH37" s="62" t="n"/>
      <c r="AI37" s="62" t="n"/>
      <c r="AJ37" s="62" t="n"/>
      <c r="AK37" s="62" t="n"/>
      <c r="AL37" s="62" t="n"/>
      <c r="AM37" s="62" t="n"/>
      <c r="AN37" s="62" t="n"/>
      <c r="AO37" s="62" t="n"/>
      <c r="AP37" s="62" t="n"/>
      <c r="AQ37" s="62" t="n"/>
      <c r="AR37" s="62" t="n"/>
      <c r="AS37" s="62" t="n"/>
      <c r="AT37" s="62" t="n"/>
      <c r="AU37" s="62" t="n"/>
      <c r="AV37" s="62" t="n"/>
      <c r="AW37" s="62" t="n"/>
      <c r="AX37" s="62" t="n"/>
      <c r="AY37" s="62" t="n"/>
    </row>
    <row r="38">
      <c r="A38" s="38">
        <f>IF(D38="","",COUNTA($D$9:D38))</f>
        <v/>
      </c>
      <c r="B38" s="52" t="n"/>
      <c r="C38" s="53" t="inlineStr">
        <is>
          <t>마케팅1팀</t>
        </is>
      </c>
      <c r="D38" s="52" t="n"/>
      <c r="E38" s="54" t="n"/>
      <c r="F38" s="52" t="n"/>
      <c r="G38" s="55" t="n"/>
      <c r="H38" s="54" t="n"/>
      <c r="I38" s="54" t="n"/>
      <c r="J38" s="54" t="n"/>
      <c r="K38" s="56">
        <f>IF(SUM(U38:AY38)=0,"",SUM(U38:AY38))</f>
        <v/>
      </c>
      <c r="L38" s="57">
        <f>IFERROR(INDEX(U$2:AY$2,MATCH(TRUE,U38:AY38&lt;&gt;"",0)),"")</f>
        <v/>
      </c>
      <c r="M38" s="58">
        <f>IFERROR(LOOKUP(2,1/(U38:AY38&lt;&gt;""),U$2:AY$2),"")</f>
        <v/>
      </c>
      <c r="N38" s="59">
        <f>IF(OR(G38="",M38=""),"",G38-M38)</f>
        <v/>
      </c>
      <c r="O38" s="60" t="n"/>
      <c r="P38" s="61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  <c r="AG38" s="62" t="n"/>
      <c r="AH38" s="62" t="n"/>
      <c r="AI38" s="62" t="n"/>
      <c r="AJ38" s="62" t="n"/>
      <c r="AK38" s="62" t="n"/>
      <c r="AL38" s="62" t="n"/>
      <c r="AM38" s="62" t="n"/>
      <c r="AN38" s="62" t="n"/>
      <c r="AO38" s="62" t="n"/>
      <c r="AP38" s="62" t="n"/>
      <c r="AQ38" s="62" t="n"/>
      <c r="AR38" s="62" t="n"/>
      <c r="AS38" s="62" t="n"/>
      <c r="AT38" s="62" t="n"/>
      <c r="AU38" s="62" t="n"/>
      <c r="AV38" s="62" t="n"/>
      <c r="AW38" s="62" t="n"/>
      <c r="AX38" s="62" t="n"/>
      <c r="AY38" s="62" t="n"/>
    </row>
    <row r="39">
      <c r="A39" s="63" t="inlineStr">
        <is>
          <t>마케팅2팀  (40~69행)</t>
        </is>
      </c>
      <c r="U39" s="64" t="n"/>
      <c r="V39" s="64" t="n"/>
      <c r="W39" s="64" t="n"/>
      <c r="X39" s="64" t="n"/>
      <c r="Y39" s="64" t="n"/>
      <c r="Z39" s="64" t="n"/>
      <c r="AA39" s="64" t="n"/>
      <c r="AB39" s="64" t="n"/>
      <c r="AC39" s="64" t="n"/>
      <c r="AD39" s="64" t="n"/>
      <c r="AE39" s="64" t="n"/>
      <c r="AF39" s="64" t="n"/>
      <c r="AG39" s="64" t="n"/>
      <c r="AH39" s="64" t="n"/>
      <c r="AI39" s="64" t="n"/>
      <c r="AJ39" s="64" t="n"/>
      <c r="AK39" s="64" t="n"/>
      <c r="AL39" s="64" t="n"/>
      <c r="AM39" s="64" t="n"/>
      <c r="AN39" s="64" t="n"/>
      <c r="AO39" s="64" t="n"/>
      <c r="AP39" s="64" t="n"/>
      <c r="AQ39" s="64" t="n"/>
      <c r="AR39" s="64" t="n"/>
      <c r="AS39" s="64" t="n"/>
      <c r="AT39" s="64" t="n"/>
      <c r="AU39" s="64" t="n"/>
      <c r="AV39" s="64" t="n"/>
      <c r="AW39" s="64" t="n"/>
      <c r="AX39" s="64" t="n"/>
      <c r="AY39" s="64" t="n"/>
    </row>
    <row r="40">
      <c r="A40" s="38">
        <f>IF(D40="","",COUNTA($D$40:D40))</f>
        <v/>
      </c>
      <c r="B40" s="52" t="n"/>
      <c r="C40" s="65" t="inlineStr">
        <is>
          <t>마케팅2팀</t>
        </is>
      </c>
      <c r="D40" s="52" t="n"/>
      <c r="E40" s="54" t="n"/>
      <c r="F40" s="52" t="n"/>
      <c r="G40" s="55" t="n"/>
      <c r="H40" s="54" t="n"/>
      <c r="I40" s="54" t="n"/>
      <c r="J40" s="54" t="n"/>
      <c r="K40" s="56">
        <f>IF(SUM(U40:AY40)=0,"",SUM(U40:AY40))</f>
        <v/>
      </c>
      <c r="L40" s="57">
        <f>IFERROR(INDEX(U$2:AY$2,MATCH(TRUE,U40:AY40&lt;&gt;"",0)),"")</f>
        <v/>
      </c>
      <c r="M40" s="58">
        <f>IFERROR(LOOKUP(2,1/(U40:AY40&lt;&gt;""),U$2:AY$2),"")</f>
        <v/>
      </c>
      <c r="N40" s="59">
        <f>IF(OR(G40="",M40=""),"",G40-M40)</f>
        <v/>
      </c>
      <c r="O40" s="60" t="n"/>
      <c r="P40" s="61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  <c r="AG40" s="62" t="n"/>
      <c r="AH40" s="62" t="n"/>
      <c r="AI40" s="62" t="n"/>
      <c r="AJ40" s="62" t="n"/>
      <c r="AK40" s="62" t="n"/>
      <c r="AL40" s="62" t="n"/>
      <c r="AM40" s="62" t="n"/>
      <c r="AN40" s="62" t="n"/>
      <c r="AO40" s="62" t="n"/>
      <c r="AP40" s="62" t="n"/>
      <c r="AQ40" s="62" t="n"/>
      <c r="AR40" s="62" t="n"/>
      <c r="AS40" s="62" t="n"/>
      <c r="AT40" s="62" t="n"/>
      <c r="AU40" s="62" t="n"/>
      <c r="AV40" s="62" t="n"/>
      <c r="AW40" s="62" t="n"/>
      <c r="AX40" s="62" t="n"/>
      <c r="AY40" s="62" t="n"/>
    </row>
    <row r="41">
      <c r="A41" s="38">
        <f>IF(D41="","",COUNTA($D$40:D41))</f>
        <v/>
      </c>
      <c r="B41" s="52" t="n"/>
      <c r="C41" s="65" t="inlineStr">
        <is>
          <t>마케팅2팀</t>
        </is>
      </c>
      <c r="D41" s="52" t="n"/>
      <c r="E41" s="54" t="n"/>
      <c r="F41" s="52" t="n"/>
      <c r="G41" s="55" t="n"/>
      <c r="H41" s="54" t="n"/>
      <c r="I41" s="54" t="n"/>
      <c r="J41" s="54" t="n"/>
      <c r="K41" s="56">
        <f>IF(SUM(U41:AY41)=0,"",SUM(U41:AY41))</f>
        <v/>
      </c>
      <c r="L41" s="57">
        <f>IFERROR(INDEX(U$2:AY$2,MATCH(TRUE,U41:AY41&lt;&gt;"",0)),"")</f>
        <v/>
      </c>
      <c r="M41" s="58">
        <f>IFERROR(LOOKUP(2,1/(U41:AY41&lt;&gt;""),U$2:AY$2),"")</f>
        <v/>
      </c>
      <c r="N41" s="59">
        <f>IF(OR(G41="",M41=""),"",G41-M41)</f>
        <v/>
      </c>
      <c r="O41" s="60" t="n"/>
      <c r="P41" s="61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  <c r="AG41" s="62" t="n"/>
      <c r="AH41" s="62" t="n"/>
      <c r="AI41" s="62" t="n"/>
      <c r="AJ41" s="62" t="n"/>
      <c r="AK41" s="62" t="n"/>
      <c r="AL41" s="62" t="n"/>
      <c r="AM41" s="62" t="n"/>
      <c r="AN41" s="62" t="n"/>
      <c r="AO41" s="62" t="n"/>
      <c r="AP41" s="62" t="n"/>
      <c r="AQ41" s="62" t="n"/>
      <c r="AR41" s="62" t="n"/>
      <c r="AS41" s="62" t="n"/>
      <c r="AT41" s="62" t="n"/>
      <c r="AU41" s="62" t="n"/>
      <c r="AV41" s="62" t="n"/>
      <c r="AW41" s="62" t="n"/>
      <c r="AX41" s="62" t="n"/>
      <c r="AY41" s="62" t="n"/>
    </row>
    <row r="42">
      <c r="A42" s="38">
        <f>IF(D42="","",COUNTA($D$40:D42))</f>
        <v/>
      </c>
      <c r="B42" s="52" t="n"/>
      <c r="C42" s="65" t="inlineStr">
        <is>
          <t>마케팅2팀</t>
        </is>
      </c>
      <c r="D42" s="52" t="n"/>
      <c r="E42" s="54" t="n"/>
      <c r="F42" s="52" t="n"/>
      <c r="G42" s="55" t="n"/>
      <c r="H42" s="54" t="n"/>
      <c r="I42" s="54" t="n"/>
      <c r="J42" s="54" t="n"/>
      <c r="K42" s="56">
        <f>IF(SUM(U42:AY42)=0,"",SUM(U42:AY42))</f>
        <v/>
      </c>
      <c r="L42" s="57">
        <f>IFERROR(INDEX(U$2:AY$2,MATCH(TRUE,U42:AY42&lt;&gt;"",0)),"")</f>
        <v/>
      </c>
      <c r="M42" s="58">
        <f>IFERROR(LOOKUP(2,1/(U42:AY42&lt;&gt;""),U$2:AY$2),"")</f>
        <v/>
      </c>
      <c r="N42" s="59">
        <f>IF(OR(G42="",M42=""),"",G42-M42)</f>
        <v/>
      </c>
      <c r="O42" s="60" t="n"/>
      <c r="P42" s="61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  <c r="AG42" s="62" t="n"/>
      <c r="AH42" s="62" t="n"/>
      <c r="AI42" s="62" t="n"/>
      <c r="AJ42" s="62" t="n"/>
      <c r="AK42" s="62" t="n"/>
      <c r="AL42" s="62" t="n"/>
      <c r="AM42" s="62" t="n"/>
      <c r="AN42" s="62" t="n"/>
      <c r="AO42" s="62" t="n"/>
      <c r="AP42" s="62" t="n"/>
      <c r="AQ42" s="62" t="n"/>
      <c r="AR42" s="62" t="n"/>
      <c r="AS42" s="62" t="n"/>
      <c r="AT42" s="62" t="n"/>
      <c r="AU42" s="62" t="n"/>
      <c r="AV42" s="62" t="n"/>
      <c r="AW42" s="62" t="n"/>
      <c r="AX42" s="62" t="n"/>
      <c r="AY42" s="62" t="n"/>
    </row>
    <row r="43">
      <c r="A43" s="38">
        <f>IF(D43="","",COUNTA($D$40:D43))</f>
        <v/>
      </c>
      <c r="B43" s="52" t="n"/>
      <c r="C43" s="65" t="inlineStr">
        <is>
          <t>마케팅2팀</t>
        </is>
      </c>
      <c r="D43" s="52" t="n"/>
      <c r="E43" s="54" t="n"/>
      <c r="F43" s="52" t="n"/>
      <c r="G43" s="55" t="n"/>
      <c r="H43" s="54" t="n"/>
      <c r="I43" s="54" t="n"/>
      <c r="J43" s="54" t="n"/>
      <c r="K43" s="56">
        <f>IF(SUM(U43:AY43)=0,"",SUM(U43:AY43))</f>
        <v/>
      </c>
      <c r="L43" s="57">
        <f>IFERROR(INDEX(U$2:AY$2,MATCH(TRUE,U43:AY43&lt;&gt;"",0)),"")</f>
        <v/>
      </c>
      <c r="M43" s="58">
        <f>IFERROR(LOOKUP(2,1/(U43:AY43&lt;&gt;""),U$2:AY$2),"")</f>
        <v/>
      </c>
      <c r="N43" s="59">
        <f>IF(OR(G43="",M43=""),"",G43-M43)</f>
        <v/>
      </c>
      <c r="O43" s="60" t="n"/>
      <c r="P43" s="61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  <c r="AG43" s="62" t="n"/>
      <c r="AH43" s="62" t="n"/>
      <c r="AI43" s="62" t="n"/>
      <c r="AJ43" s="62" t="n"/>
      <c r="AK43" s="62" t="n"/>
      <c r="AL43" s="62" t="n"/>
      <c r="AM43" s="62" t="n"/>
      <c r="AN43" s="62" t="n"/>
      <c r="AO43" s="62" t="n"/>
      <c r="AP43" s="62" t="n"/>
      <c r="AQ43" s="62" t="n"/>
      <c r="AR43" s="62" t="n"/>
      <c r="AS43" s="62" t="n"/>
      <c r="AT43" s="62" t="n"/>
      <c r="AU43" s="62" t="n"/>
      <c r="AV43" s="62" t="n"/>
      <c r="AW43" s="62" t="n"/>
      <c r="AX43" s="62" t="n"/>
      <c r="AY43" s="62" t="n"/>
    </row>
    <row r="44">
      <c r="A44" s="38">
        <f>IF(D44="","",COUNTA($D$40:D44))</f>
        <v/>
      </c>
      <c r="B44" s="52" t="n"/>
      <c r="C44" s="65" t="inlineStr">
        <is>
          <t>마케팅2팀</t>
        </is>
      </c>
      <c r="D44" s="52" t="n"/>
      <c r="E44" s="54" t="n"/>
      <c r="F44" s="52" t="n"/>
      <c r="G44" s="55" t="n"/>
      <c r="H44" s="54" t="n"/>
      <c r="I44" s="54" t="n"/>
      <c r="J44" s="54" t="n"/>
      <c r="K44" s="56">
        <f>IF(SUM(U44:AY44)=0,"",SUM(U44:AY44))</f>
        <v/>
      </c>
      <c r="L44" s="57">
        <f>IFERROR(INDEX(U$2:AY$2,MATCH(TRUE,U44:AY44&lt;&gt;"",0)),"")</f>
        <v/>
      </c>
      <c r="M44" s="58">
        <f>IFERROR(LOOKUP(2,1/(U44:AY44&lt;&gt;""),U$2:AY$2),"")</f>
        <v/>
      </c>
      <c r="N44" s="59">
        <f>IF(OR(G44="",M44=""),"",G44-M44)</f>
        <v/>
      </c>
      <c r="O44" s="60" t="n"/>
      <c r="P44" s="61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  <c r="AG44" s="62" t="n"/>
      <c r="AH44" s="62" t="n"/>
      <c r="AI44" s="62" t="n"/>
      <c r="AJ44" s="62" t="n"/>
      <c r="AK44" s="62" t="n"/>
      <c r="AL44" s="62" t="n"/>
      <c r="AM44" s="62" t="n"/>
      <c r="AN44" s="62" t="n"/>
      <c r="AO44" s="62" t="n"/>
      <c r="AP44" s="62" t="n"/>
      <c r="AQ44" s="62" t="n"/>
      <c r="AR44" s="62" t="n"/>
      <c r="AS44" s="62" t="n"/>
      <c r="AT44" s="62" t="n"/>
      <c r="AU44" s="62" t="n"/>
      <c r="AV44" s="62" t="n"/>
      <c r="AW44" s="62" t="n"/>
      <c r="AX44" s="62" t="n"/>
      <c r="AY44" s="62" t="n"/>
    </row>
    <row r="45">
      <c r="A45" s="38">
        <f>IF(D45="","",COUNTA($D$40:D45))</f>
        <v/>
      </c>
      <c r="B45" s="52" t="n"/>
      <c r="C45" s="65" t="inlineStr">
        <is>
          <t>마케팅2팀</t>
        </is>
      </c>
      <c r="D45" s="52" t="n"/>
      <c r="E45" s="54" t="n"/>
      <c r="F45" s="52" t="n"/>
      <c r="G45" s="55" t="n"/>
      <c r="H45" s="54" t="n"/>
      <c r="I45" s="54" t="n"/>
      <c r="J45" s="54" t="n"/>
      <c r="K45" s="56">
        <f>IF(SUM(U45:AY45)=0,"",SUM(U45:AY45))</f>
        <v/>
      </c>
      <c r="L45" s="57">
        <f>IFERROR(INDEX(U$2:AY$2,MATCH(TRUE,U45:AY45&lt;&gt;"",0)),"")</f>
        <v/>
      </c>
      <c r="M45" s="58">
        <f>IFERROR(LOOKUP(2,1/(U45:AY45&lt;&gt;""),U$2:AY$2),"")</f>
        <v/>
      </c>
      <c r="N45" s="59">
        <f>IF(OR(G45="",M45=""),"",G45-M45)</f>
        <v/>
      </c>
      <c r="O45" s="60" t="n"/>
      <c r="P45" s="61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  <c r="AG45" s="62" t="n"/>
      <c r="AH45" s="62" t="n"/>
      <c r="AI45" s="62" t="n"/>
      <c r="AJ45" s="62" t="n"/>
      <c r="AK45" s="62" t="n"/>
      <c r="AL45" s="62" t="n"/>
      <c r="AM45" s="62" t="n"/>
      <c r="AN45" s="62" t="n"/>
      <c r="AO45" s="62" t="n"/>
      <c r="AP45" s="62" t="n"/>
      <c r="AQ45" s="62" t="n"/>
      <c r="AR45" s="62" t="n"/>
      <c r="AS45" s="62" t="n"/>
      <c r="AT45" s="62" t="n"/>
      <c r="AU45" s="62" t="n"/>
      <c r="AV45" s="62" t="n"/>
      <c r="AW45" s="62" t="n"/>
      <c r="AX45" s="62" t="n"/>
      <c r="AY45" s="62" t="n"/>
    </row>
    <row r="46">
      <c r="A46" s="38">
        <f>IF(D46="","",COUNTA($D$40:D46))</f>
        <v/>
      </c>
      <c r="B46" s="52" t="n"/>
      <c r="C46" s="65" t="inlineStr">
        <is>
          <t>마케팅2팀</t>
        </is>
      </c>
      <c r="D46" s="52" t="n"/>
      <c r="E46" s="54" t="n"/>
      <c r="F46" s="52" t="n"/>
      <c r="G46" s="55" t="n"/>
      <c r="H46" s="54" t="n"/>
      <c r="I46" s="54" t="n"/>
      <c r="J46" s="54" t="n"/>
      <c r="K46" s="56">
        <f>IF(SUM(U46:AY46)=0,"",SUM(U46:AY46))</f>
        <v/>
      </c>
      <c r="L46" s="57">
        <f>IFERROR(INDEX(U$2:AY$2,MATCH(TRUE,U46:AY46&lt;&gt;"",0)),"")</f>
        <v/>
      </c>
      <c r="M46" s="58">
        <f>IFERROR(LOOKUP(2,1/(U46:AY46&lt;&gt;""),U$2:AY$2),"")</f>
        <v/>
      </c>
      <c r="N46" s="59">
        <f>IF(OR(G46="",M46=""),"",G46-M46)</f>
        <v/>
      </c>
      <c r="O46" s="60" t="n"/>
      <c r="P46" s="61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  <c r="AG46" s="62" t="n"/>
      <c r="AH46" s="62" t="n"/>
      <c r="AI46" s="62" t="n"/>
      <c r="AJ46" s="62" t="n"/>
      <c r="AK46" s="62" t="n"/>
      <c r="AL46" s="62" t="n"/>
      <c r="AM46" s="62" t="n"/>
      <c r="AN46" s="62" t="n"/>
      <c r="AO46" s="62" t="n"/>
      <c r="AP46" s="62" t="n"/>
      <c r="AQ46" s="62" t="n"/>
      <c r="AR46" s="62" t="n"/>
      <c r="AS46" s="62" t="n"/>
      <c r="AT46" s="62" t="n"/>
      <c r="AU46" s="62" t="n"/>
      <c r="AV46" s="62" t="n"/>
      <c r="AW46" s="62" t="n"/>
      <c r="AX46" s="62" t="n"/>
      <c r="AY46" s="62" t="n"/>
    </row>
    <row r="47">
      <c r="A47" s="38">
        <f>IF(D47="","",COUNTA($D$40:D47))</f>
        <v/>
      </c>
      <c r="B47" s="52" t="n"/>
      <c r="C47" s="65" t="inlineStr">
        <is>
          <t>마케팅2팀</t>
        </is>
      </c>
      <c r="D47" s="52" t="n"/>
      <c r="E47" s="54" t="n"/>
      <c r="F47" s="52" t="n"/>
      <c r="G47" s="55" t="n"/>
      <c r="H47" s="54" t="n"/>
      <c r="I47" s="54" t="n"/>
      <c r="J47" s="54" t="n"/>
      <c r="K47" s="56">
        <f>IF(SUM(U47:AY47)=0,"",SUM(U47:AY47))</f>
        <v/>
      </c>
      <c r="L47" s="57">
        <f>IFERROR(INDEX(U$2:AY$2,MATCH(TRUE,U47:AY47&lt;&gt;"",0)),"")</f>
        <v/>
      </c>
      <c r="M47" s="58">
        <f>IFERROR(LOOKUP(2,1/(U47:AY47&lt;&gt;""),U$2:AY$2),"")</f>
        <v/>
      </c>
      <c r="N47" s="59">
        <f>IF(OR(G47="",M47=""),"",G47-M47)</f>
        <v/>
      </c>
      <c r="O47" s="60" t="n"/>
      <c r="P47" s="61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  <c r="AG47" s="62" t="n"/>
      <c r="AH47" s="62" t="n"/>
      <c r="AI47" s="62" t="n"/>
      <c r="AJ47" s="62" t="n"/>
      <c r="AK47" s="62" t="n"/>
      <c r="AL47" s="62" t="n"/>
      <c r="AM47" s="62" t="n"/>
      <c r="AN47" s="62" t="n"/>
      <c r="AO47" s="62" t="n"/>
      <c r="AP47" s="62" t="n"/>
      <c r="AQ47" s="62" t="n"/>
      <c r="AR47" s="62" t="n"/>
      <c r="AS47" s="62" t="n"/>
      <c r="AT47" s="62" t="n"/>
      <c r="AU47" s="62" t="n"/>
      <c r="AV47" s="62" t="n"/>
      <c r="AW47" s="62" t="n"/>
      <c r="AX47" s="62" t="n"/>
      <c r="AY47" s="62" t="n"/>
    </row>
    <row r="48">
      <c r="A48" s="38">
        <f>IF(D48="","",COUNTA($D$40:D48))</f>
        <v/>
      </c>
      <c r="B48" s="52" t="n"/>
      <c r="C48" s="65" t="inlineStr">
        <is>
          <t>마케팅2팀</t>
        </is>
      </c>
      <c r="D48" s="52" t="n"/>
      <c r="E48" s="54" t="n"/>
      <c r="F48" s="52" t="n"/>
      <c r="G48" s="55" t="n"/>
      <c r="H48" s="54" t="n"/>
      <c r="I48" s="54" t="n"/>
      <c r="J48" s="54" t="n"/>
      <c r="K48" s="56">
        <f>IF(SUM(U48:AY48)=0,"",SUM(U48:AY48))</f>
        <v/>
      </c>
      <c r="L48" s="57">
        <f>IFERROR(INDEX(U$2:AY$2,MATCH(TRUE,U48:AY48&lt;&gt;"",0)),"")</f>
        <v/>
      </c>
      <c r="M48" s="58">
        <f>IFERROR(LOOKUP(2,1/(U48:AY48&lt;&gt;""),U$2:AY$2),"")</f>
        <v/>
      </c>
      <c r="N48" s="59">
        <f>IF(OR(G48="",M48=""),"",G48-M48)</f>
        <v/>
      </c>
      <c r="O48" s="60" t="n"/>
      <c r="P48" s="61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  <c r="AG48" s="62" t="n"/>
      <c r="AH48" s="62" t="n"/>
      <c r="AI48" s="62" t="n"/>
      <c r="AJ48" s="62" t="n"/>
      <c r="AK48" s="62" t="n"/>
      <c r="AL48" s="62" t="n"/>
      <c r="AM48" s="62" t="n"/>
      <c r="AN48" s="62" t="n"/>
      <c r="AO48" s="62" t="n"/>
      <c r="AP48" s="62" t="n"/>
      <c r="AQ48" s="62" t="n"/>
      <c r="AR48" s="62" t="n"/>
      <c r="AS48" s="62" t="n"/>
      <c r="AT48" s="62" t="n"/>
      <c r="AU48" s="62" t="n"/>
      <c r="AV48" s="62" t="n"/>
      <c r="AW48" s="62" t="n"/>
      <c r="AX48" s="62" t="n"/>
      <c r="AY48" s="62" t="n"/>
    </row>
    <row r="49">
      <c r="A49" s="38">
        <f>IF(D49="","",COUNTA($D$40:D49))</f>
        <v/>
      </c>
      <c r="B49" s="52" t="n"/>
      <c r="C49" s="65" t="inlineStr">
        <is>
          <t>마케팅2팀</t>
        </is>
      </c>
      <c r="D49" s="52" t="n"/>
      <c r="E49" s="54" t="n"/>
      <c r="F49" s="52" t="n"/>
      <c r="G49" s="55" t="n"/>
      <c r="H49" s="54" t="n"/>
      <c r="I49" s="54" t="n"/>
      <c r="J49" s="54" t="n"/>
      <c r="K49" s="56">
        <f>IF(SUM(U49:AY49)=0,"",SUM(U49:AY49))</f>
        <v/>
      </c>
      <c r="L49" s="57">
        <f>IFERROR(INDEX(U$2:AY$2,MATCH(TRUE,U49:AY49&lt;&gt;"",0)),"")</f>
        <v/>
      </c>
      <c r="M49" s="58">
        <f>IFERROR(LOOKUP(2,1/(U49:AY49&lt;&gt;""),U$2:AY$2),"")</f>
        <v/>
      </c>
      <c r="N49" s="59">
        <f>IF(OR(G49="",M49=""),"",G49-M49)</f>
        <v/>
      </c>
      <c r="O49" s="60" t="n"/>
      <c r="P49" s="61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  <c r="AG49" s="62" t="n"/>
      <c r="AH49" s="62" t="n"/>
      <c r="AI49" s="62" t="n"/>
      <c r="AJ49" s="62" t="n"/>
      <c r="AK49" s="62" t="n"/>
      <c r="AL49" s="62" t="n"/>
      <c r="AM49" s="62" t="n"/>
      <c r="AN49" s="62" t="n"/>
      <c r="AO49" s="62" t="n"/>
      <c r="AP49" s="62" t="n"/>
      <c r="AQ49" s="62" t="n"/>
      <c r="AR49" s="62" t="n"/>
      <c r="AS49" s="62" t="n"/>
      <c r="AT49" s="62" t="n"/>
      <c r="AU49" s="62" t="n"/>
      <c r="AV49" s="62" t="n"/>
      <c r="AW49" s="62" t="n"/>
      <c r="AX49" s="62" t="n"/>
      <c r="AY49" s="62" t="n"/>
    </row>
    <row r="50">
      <c r="A50" s="38">
        <f>IF(D50="","",COUNTA($D$40:D50))</f>
        <v/>
      </c>
      <c r="B50" s="52" t="n"/>
      <c r="C50" s="65" t="inlineStr">
        <is>
          <t>마케팅2팀</t>
        </is>
      </c>
      <c r="D50" s="52" t="n"/>
      <c r="E50" s="54" t="n"/>
      <c r="F50" s="52" t="n"/>
      <c r="G50" s="55" t="n"/>
      <c r="H50" s="54" t="n"/>
      <c r="I50" s="54" t="n"/>
      <c r="J50" s="54" t="n"/>
      <c r="K50" s="56">
        <f>IF(SUM(U50:AY50)=0,"",SUM(U50:AY50))</f>
        <v/>
      </c>
      <c r="L50" s="57">
        <f>IFERROR(INDEX(U$2:AY$2,MATCH(TRUE,U50:AY50&lt;&gt;"",0)),"")</f>
        <v/>
      </c>
      <c r="M50" s="58">
        <f>IFERROR(LOOKUP(2,1/(U50:AY50&lt;&gt;""),U$2:AY$2),"")</f>
        <v/>
      </c>
      <c r="N50" s="59">
        <f>IF(OR(G50="",M50=""),"",G50-M50)</f>
        <v/>
      </c>
      <c r="O50" s="60" t="n"/>
      <c r="P50" s="61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  <c r="AG50" s="62" t="n"/>
      <c r="AH50" s="62" t="n"/>
      <c r="AI50" s="62" t="n"/>
      <c r="AJ50" s="62" t="n"/>
      <c r="AK50" s="62" t="n"/>
      <c r="AL50" s="62" t="n"/>
      <c r="AM50" s="62" t="n"/>
      <c r="AN50" s="62" t="n"/>
      <c r="AO50" s="62" t="n"/>
      <c r="AP50" s="62" t="n"/>
      <c r="AQ50" s="62" t="n"/>
      <c r="AR50" s="62" t="n"/>
      <c r="AS50" s="62" t="n"/>
      <c r="AT50" s="62" t="n"/>
      <c r="AU50" s="62" t="n"/>
      <c r="AV50" s="62" t="n"/>
      <c r="AW50" s="62" t="n"/>
      <c r="AX50" s="62" t="n"/>
      <c r="AY50" s="62" t="n"/>
    </row>
    <row r="51">
      <c r="A51" s="38">
        <f>IF(D51="","",COUNTA($D$40:D51))</f>
        <v/>
      </c>
      <c r="B51" s="52" t="n"/>
      <c r="C51" s="65" t="inlineStr">
        <is>
          <t>마케팅2팀</t>
        </is>
      </c>
      <c r="D51" s="52" t="n"/>
      <c r="E51" s="54" t="n"/>
      <c r="F51" s="52" t="n"/>
      <c r="G51" s="55" t="n"/>
      <c r="H51" s="54" t="n"/>
      <c r="I51" s="54" t="n"/>
      <c r="J51" s="54" t="n"/>
      <c r="K51" s="56">
        <f>IF(SUM(U51:AY51)=0,"",SUM(U51:AY51))</f>
        <v/>
      </c>
      <c r="L51" s="57">
        <f>IFERROR(INDEX(U$2:AY$2,MATCH(TRUE,U51:AY51&lt;&gt;"",0)),"")</f>
        <v/>
      </c>
      <c r="M51" s="58">
        <f>IFERROR(LOOKUP(2,1/(U51:AY51&lt;&gt;""),U$2:AY$2),"")</f>
        <v/>
      </c>
      <c r="N51" s="59">
        <f>IF(OR(G51="",M51=""),"",G51-M51)</f>
        <v/>
      </c>
      <c r="O51" s="60" t="n"/>
      <c r="P51" s="61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  <c r="AG51" s="62" t="n"/>
      <c r="AH51" s="62" t="n"/>
      <c r="AI51" s="62" t="n"/>
      <c r="AJ51" s="62" t="n"/>
      <c r="AK51" s="62" t="n"/>
      <c r="AL51" s="62" t="n"/>
      <c r="AM51" s="62" t="n"/>
      <c r="AN51" s="62" t="n"/>
      <c r="AO51" s="62" t="n"/>
      <c r="AP51" s="62" t="n"/>
      <c r="AQ51" s="62" t="n"/>
      <c r="AR51" s="62" t="n"/>
      <c r="AS51" s="62" t="n"/>
      <c r="AT51" s="62" t="n"/>
      <c r="AU51" s="62" t="n"/>
      <c r="AV51" s="62" t="n"/>
      <c r="AW51" s="62" t="n"/>
      <c r="AX51" s="62" t="n"/>
      <c r="AY51" s="62" t="n"/>
    </row>
    <row r="52">
      <c r="A52" s="38">
        <f>IF(D52="","",COUNTA($D$40:D52))</f>
        <v/>
      </c>
      <c r="B52" s="52" t="n"/>
      <c r="C52" s="65" t="inlineStr">
        <is>
          <t>마케팅2팀</t>
        </is>
      </c>
      <c r="D52" s="52" t="n"/>
      <c r="E52" s="54" t="n"/>
      <c r="F52" s="52" t="n"/>
      <c r="G52" s="55" t="n"/>
      <c r="H52" s="54" t="n"/>
      <c r="I52" s="54" t="n"/>
      <c r="J52" s="54" t="n"/>
      <c r="K52" s="56">
        <f>IF(SUM(U52:AY52)=0,"",SUM(U52:AY52))</f>
        <v/>
      </c>
      <c r="L52" s="57">
        <f>IFERROR(INDEX(U$2:AY$2,MATCH(TRUE,U52:AY52&lt;&gt;"",0)),"")</f>
        <v/>
      </c>
      <c r="M52" s="58">
        <f>IFERROR(LOOKUP(2,1/(U52:AY52&lt;&gt;""),U$2:AY$2),"")</f>
        <v/>
      </c>
      <c r="N52" s="59">
        <f>IF(OR(G52="",M52=""),"",G52-M52)</f>
        <v/>
      </c>
      <c r="O52" s="60" t="n"/>
      <c r="P52" s="61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  <c r="AG52" s="62" t="n"/>
      <c r="AH52" s="62" t="n"/>
      <c r="AI52" s="62" t="n"/>
      <c r="AJ52" s="62" t="n"/>
      <c r="AK52" s="62" t="n"/>
      <c r="AL52" s="62" t="n"/>
      <c r="AM52" s="62" t="n"/>
      <c r="AN52" s="62" t="n"/>
      <c r="AO52" s="62" t="n"/>
      <c r="AP52" s="62" t="n"/>
      <c r="AQ52" s="62" t="n"/>
      <c r="AR52" s="62" t="n"/>
      <c r="AS52" s="62" t="n"/>
      <c r="AT52" s="62" t="n"/>
      <c r="AU52" s="62" t="n"/>
      <c r="AV52" s="62" t="n"/>
      <c r="AW52" s="62" t="n"/>
      <c r="AX52" s="62" t="n"/>
      <c r="AY52" s="62" t="n"/>
    </row>
    <row r="53">
      <c r="A53" s="38">
        <f>IF(D53="","",COUNTA($D$40:D53))</f>
        <v/>
      </c>
      <c r="B53" s="52" t="n"/>
      <c r="C53" s="65" t="inlineStr">
        <is>
          <t>마케팅2팀</t>
        </is>
      </c>
      <c r="D53" s="52" t="n"/>
      <c r="E53" s="54" t="n"/>
      <c r="F53" s="52" t="n"/>
      <c r="G53" s="55" t="n"/>
      <c r="H53" s="54" t="n"/>
      <c r="I53" s="54" t="n"/>
      <c r="J53" s="54" t="n"/>
      <c r="K53" s="56">
        <f>IF(SUM(U53:AY53)=0,"",SUM(U53:AY53))</f>
        <v/>
      </c>
      <c r="L53" s="57">
        <f>IFERROR(INDEX(U$2:AY$2,MATCH(TRUE,U53:AY53&lt;&gt;"",0)),"")</f>
        <v/>
      </c>
      <c r="M53" s="58">
        <f>IFERROR(LOOKUP(2,1/(U53:AY53&lt;&gt;""),U$2:AY$2),"")</f>
        <v/>
      </c>
      <c r="N53" s="59">
        <f>IF(OR(G53="",M53=""),"",G53-M53)</f>
        <v/>
      </c>
      <c r="O53" s="60" t="n"/>
      <c r="P53" s="61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  <c r="AG53" s="62" t="n"/>
      <c r="AH53" s="62" t="n"/>
      <c r="AI53" s="62" t="n"/>
      <c r="AJ53" s="62" t="n"/>
      <c r="AK53" s="62" t="n"/>
      <c r="AL53" s="62" t="n"/>
      <c r="AM53" s="62" t="n"/>
      <c r="AN53" s="62" t="n"/>
      <c r="AO53" s="62" t="n"/>
      <c r="AP53" s="62" t="n"/>
      <c r="AQ53" s="62" t="n"/>
      <c r="AR53" s="62" t="n"/>
      <c r="AS53" s="62" t="n"/>
      <c r="AT53" s="62" t="n"/>
      <c r="AU53" s="62" t="n"/>
      <c r="AV53" s="62" t="n"/>
      <c r="AW53" s="62" t="n"/>
      <c r="AX53" s="62" t="n"/>
      <c r="AY53" s="62" t="n"/>
    </row>
    <row r="54">
      <c r="A54" s="38">
        <f>IF(D54="","",COUNTA($D$40:D54))</f>
        <v/>
      </c>
      <c r="B54" s="52" t="n"/>
      <c r="C54" s="65" t="inlineStr">
        <is>
          <t>마케팅2팀</t>
        </is>
      </c>
      <c r="D54" s="52" t="n"/>
      <c r="E54" s="54" t="n"/>
      <c r="F54" s="52" t="n"/>
      <c r="G54" s="55" t="n"/>
      <c r="H54" s="54" t="n"/>
      <c r="I54" s="54" t="n"/>
      <c r="J54" s="54" t="n"/>
      <c r="K54" s="56">
        <f>IF(SUM(U54:AY54)=0,"",SUM(U54:AY54))</f>
        <v/>
      </c>
      <c r="L54" s="57">
        <f>IFERROR(INDEX(U$2:AY$2,MATCH(TRUE,U54:AY54&lt;&gt;"",0)),"")</f>
        <v/>
      </c>
      <c r="M54" s="58">
        <f>IFERROR(LOOKUP(2,1/(U54:AY54&lt;&gt;""),U$2:AY$2),"")</f>
        <v/>
      </c>
      <c r="N54" s="59">
        <f>IF(OR(G54="",M54=""),"",G54-M54)</f>
        <v/>
      </c>
      <c r="O54" s="60" t="n"/>
      <c r="P54" s="61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  <c r="AG54" s="62" t="n"/>
      <c r="AH54" s="62" t="n"/>
      <c r="AI54" s="62" t="n"/>
      <c r="AJ54" s="62" t="n"/>
      <c r="AK54" s="62" t="n"/>
      <c r="AL54" s="62" t="n"/>
      <c r="AM54" s="62" t="n"/>
      <c r="AN54" s="62" t="n"/>
      <c r="AO54" s="62" t="n"/>
      <c r="AP54" s="62" t="n"/>
      <c r="AQ54" s="62" t="n"/>
      <c r="AR54" s="62" t="n"/>
      <c r="AS54" s="62" t="n"/>
      <c r="AT54" s="62" t="n"/>
      <c r="AU54" s="62" t="n"/>
      <c r="AV54" s="62" t="n"/>
      <c r="AW54" s="62" t="n"/>
      <c r="AX54" s="62" t="n"/>
      <c r="AY54" s="62" t="n"/>
    </row>
    <row r="55">
      <c r="A55" s="38">
        <f>IF(D55="","",COUNTA($D$40:D55))</f>
        <v/>
      </c>
      <c r="B55" s="52" t="n"/>
      <c r="C55" s="65" t="inlineStr">
        <is>
          <t>마케팅2팀</t>
        </is>
      </c>
      <c r="D55" s="52" t="n"/>
      <c r="E55" s="54" t="n"/>
      <c r="F55" s="52" t="n"/>
      <c r="G55" s="55" t="n"/>
      <c r="H55" s="54" t="n"/>
      <c r="I55" s="54" t="n"/>
      <c r="J55" s="54" t="n"/>
      <c r="K55" s="56">
        <f>IF(SUM(U55:AY55)=0,"",SUM(U55:AY55))</f>
        <v/>
      </c>
      <c r="L55" s="57">
        <f>IFERROR(INDEX(U$2:AY$2,MATCH(TRUE,U55:AY55&lt;&gt;"",0)),"")</f>
        <v/>
      </c>
      <c r="M55" s="58">
        <f>IFERROR(LOOKUP(2,1/(U55:AY55&lt;&gt;""),U$2:AY$2),"")</f>
        <v/>
      </c>
      <c r="N55" s="59">
        <f>IF(OR(G55="",M55=""),"",G55-M55)</f>
        <v/>
      </c>
      <c r="O55" s="60" t="n"/>
      <c r="P55" s="61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  <c r="AG55" s="62" t="n"/>
      <c r="AH55" s="62" t="n"/>
      <c r="AI55" s="62" t="n"/>
      <c r="AJ55" s="62" t="n"/>
      <c r="AK55" s="62" t="n"/>
      <c r="AL55" s="62" t="n"/>
      <c r="AM55" s="62" t="n"/>
      <c r="AN55" s="62" t="n"/>
      <c r="AO55" s="62" t="n"/>
      <c r="AP55" s="62" t="n"/>
      <c r="AQ55" s="62" t="n"/>
      <c r="AR55" s="62" t="n"/>
      <c r="AS55" s="62" t="n"/>
      <c r="AT55" s="62" t="n"/>
      <c r="AU55" s="62" t="n"/>
      <c r="AV55" s="62" t="n"/>
      <c r="AW55" s="62" t="n"/>
      <c r="AX55" s="62" t="n"/>
      <c r="AY55" s="62" t="n"/>
    </row>
    <row r="56">
      <c r="A56" s="38">
        <f>IF(D56="","",COUNTA($D$40:D56))</f>
        <v/>
      </c>
      <c r="B56" s="52" t="n"/>
      <c r="C56" s="65" t="inlineStr">
        <is>
          <t>마케팅2팀</t>
        </is>
      </c>
      <c r="D56" s="52" t="n"/>
      <c r="E56" s="54" t="n"/>
      <c r="F56" s="52" t="n"/>
      <c r="G56" s="55" t="n"/>
      <c r="H56" s="54" t="n"/>
      <c r="I56" s="54" t="n"/>
      <c r="J56" s="54" t="n"/>
      <c r="K56" s="56">
        <f>IF(SUM(U56:AY56)=0,"",SUM(U56:AY56))</f>
        <v/>
      </c>
      <c r="L56" s="57">
        <f>IFERROR(INDEX(U$2:AY$2,MATCH(TRUE,U56:AY56&lt;&gt;"",0)),"")</f>
        <v/>
      </c>
      <c r="M56" s="58">
        <f>IFERROR(LOOKUP(2,1/(U56:AY56&lt;&gt;""),U$2:AY$2),"")</f>
        <v/>
      </c>
      <c r="N56" s="59">
        <f>IF(OR(G56="",M56=""),"",G56-M56)</f>
        <v/>
      </c>
      <c r="O56" s="60" t="n"/>
      <c r="P56" s="61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  <c r="AG56" s="62" t="n"/>
      <c r="AH56" s="62" t="n"/>
      <c r="AI56" s="62" t="n"/>
      <c r="AJ56" s="62" t="n"/>
      <c r="AK56" s="62" t="n"/>
      <c r="AL56" s="62" t="n"/>
      <c r="AM56" s="62" t="n"/>
      <c r="AN56" s="62" t="n"/>
      <c r="AO56" s="62" t="n"/>
      <c r="AP56" s="62" t="n"/>
      <c r="AQ56" s="62" t="n"/>
      <c r="AR56" s="62" t="n"/>
      <c r="AS56" s="62" t="n"/>
      <c r="AT56" s="62" t="n"/>
      <c r="AU56" s="62" t="n"/>
      <c r="AV56" s="62" t="n"/>
      <c r="AW56" s="62" t="n"/>
      <c r="AX56" s="62" t="n"/>
      <c r="AY56" s="62" t="n"/>
    </row>
    <row r="57">
      <c r="A57" s="38">
        <f>IF(D57="","",COUNTA($D$40:D57))</f>
        <v/>
      </c>
      <c r="B57" s="52" t="n"/>
      <c r="C57" s="65" t="inlineStr">
        <is>
          <t>마케팅2팀</t>
        </is>
      </c>
      <c r="D57" s="52" t="n"/>
      <c r="E57" s="54" t="n"/>
      <c r="F57" s="52" t="n"/>
      <c r="G57" s="55" t="n"/>
      <c r="H57" s="54" t="n"/>
      <c r="I57" s="54" t="n"/>
      <c r="J57" s="54" t="n"/>
      <c r="K57" s="56">
        <f>IF(SUM(U57:AY57)=0,"",SUM(U57:AY57))</f>
        <v/>
      </c>
      <c r="L57" s="57">
        <f>IFERROR(INDEX(U$2:AY$2,MATCH(TRUE,U57:AY57&lt;&gt;"",0)),"")</f>
        <v/>
      </c>
      <c r="M57" s="58">
        <f>IFERROR(LOOKUP(2,1/(U57:AY57&lt;&gt;""),U$2:AY$2),"")</f>
        <v/>
      </c>
      <c r="N57" s="59">
        <f>IF(OR(G57="",M57=""),"",G57-M57)</f>
        <v/>
      </c>
      <c r="O57" s="60" t="n"/>
      <c r="P57" s="61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  <c r="AG57" s="62" t="n"/>
      <c r="AH57" s="62" t="n"/>
      <c r="AI57" s="62" t="n"/>
      <c r="AJ57" s="62" t="n"/>
      <c r="AK57" s="62" t="n"/>
      <c r="AL57" s="62" t="n"/>
      <c r="AM57" s="62" t="n"/>
      <c r="AN57" s="62" t="n"/>
      <c r="AO57" s="62" t="n"/>
      <c r="AP57" s="62" t="n"/>
      <c r="AQ57" s="62" t="n"/>
      <c r="AR57" s="62" t="n"/>
      <c r="AS57" s="62" t="n"/>
      <c r="AT57" s="62" t="n"/>
      <c r="AU57" s="62" t="n"/>
      <c r="AV57" s="62" t="n"/>
      <c r="AW57" s="62" t="n"/>
      <c r="AX57" s="62" t="n"/>
      <c r="AY57" s="62" t="n"/>
    </row>
    <row r="58">
      <c r="A58" s="38">
        <f>IF(D58="","",COUNTA($D$40:D58))</f>
        <v/>
      </c>
      <c r="B58" s="52" t="n"/>
      <c r="C58" s="65" t="inlineStr">
        <is>
          <t>마케팅2팀</t>
        </is>
      </c>
      <c r="D58" s="52" t="n"/>
      <c r="E58" s="54" t="n"/>
      <c r="F58" s="52" t="n"/>
      <c r="G58" s="55" t="n"/>
      <c r="H58" s="54" t="n"/>
      <c r="I58" s="54" t="n"/>
      <c r="J58" s="54" t="n"/>
      <c r="K58" s="56">
        <f>IF(SUM(U58:AY58)=0,"",SUM(U58:AY58))</f>
        <v/>
      </c>
      <c r="L58" s="57">
        <f>IFERROR(INDEX(U$2:AY$2,MATCH(TRUE,U58:AY58&lt;&gt;"",0)),"")</f>
        <v/>
      </c>
      <c r="M58" s="58">
        <f>IFERROR(LOOKUP(2,1/(U58:AY58&lt;&gt;""),U$2:AY$2),"")</f>
        <v/>
      </c>
      <c r="N58" s="59">
        <f>IF(OR(G58="",M58=""),"",G58-M58)</f>
        <v/>
      </c>
      <c r="O58" s="60" t="n"/>
      <c r="P58" s="61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  <c r="AG58" s="62" t="n"/>
      <c r="AH58" s="62" t="n"/>
      <c r="AI58" s="62" t="n"/>
      <c r="AJ58" s="62" t="n"/>
      <c r="AK58" s="62" t="n"/>
      <c r="AL58" s="62" t="n"/>
      <c r="AM58" s="62" t="n"/>
      <c r="AN58" s="62" t="n"/>
      <c r="AO58" s="62" t="n"/>
      <c r="AP58" s="62" t="n"/>
      <c r="AQ58" s="62" t="n"/>
      <c r="AR58" s="62" t="n"/>
      <c r="AS58" s="62" t="n"/>
      <c r="AT58" s="62" t="n"/>
      <c r="AU58" s="62" t="n"/>
      <c r="AV58" s="62" t="n"/>
      <c r="AW58" s="62" t="n"/>
      <c r="AX58" s="62" t="n"/>
      <c r="AY58" s="62" t="n"/>
    </row>
    <row r="59">
      <c r="A59" s="38">
        <f>IF(D59="","",COUNTA($D$40:D59))</f>
        <v/>
      </c>
      <c r="B59" s="52" t="n"/>
      <c r="C59" s="65" t="inlineStr">
        <is>
          <t>마케팅2팀</t>
        </is>
      </c>
      <c r="D59" s="52" t="n"/>
      <c r="E59" s="54" t="n"/>
      <c r="F59" s="52" t="n"/>
      <c r="G59" s="55" t="n"/>
      <c r="H59" s="54" t="n"/>
      <c r="I59" s="54" t="n"/>
      <c r="J59" s="54" t="n"/>
      <c r="K59" s="56">
        <f>IF(SUM(U59:AY59)=0,"",SUM(U59:AY59))</f>
        <v/>
      </c>
      <c r="L59" s="57">
        <f>IFERROR(INDEX(U$2:AY$2,MATCH(TRUE,U59:AY59&lt;&gt;"",0)),"")</f>
        <v/>
      </c>
      <c r="M59" s="58">
        <f>IFERROR(LOOKUP(2,1/(U59:AY59&lt;&gt;""),U$2:AY$2),"")</f>
        <v/>
      </c>
      <c r="N59" s="59">
        <f>IF(OR(G59="",M59=""),"",G59-M59)</f>
        <v/>
      </c>
      <c r="O59" s="60" t="n"/>
      <c r="P59" s="61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  <c r="AG59" s="62" t="n"/>
      <c r="AH59" s="62" t="n"/>
      <c r="AI59" s="62" t="n"/>
      <c r="AJ59" s="62" t="n"/>
      <c r="AK59" s="62" t="n"/>
      <c r="AL59" s="62" t="n"/>
      <c r="AM59" s="62" t="n"/>
      <c r="AN59" s="62" t="n"/>
      <c r="AO59" s="62" t="n"/>
      <c r="AP59" s="62" t="n"/>
      <c r="AQ59" s="62" t="n"/>
      <c r="AR59" s="62" t="n"/>
      <c r="AS59" s="62" t="n"/>
      <c r="AT59" s="62" t="n"/>
      <c r="AU59" s="62" t="n"/>
      <c r="AV59" s="62" t="n"/>
      <c r="AW59" s="62" t="n"/>
      <c r="AX59" s="62" t="n"/>
      <c r="AY59" s="62" t="n"/>
    </row>
    <row r="60">
      <c r="A60" s="38">
        <f>IF(D60="","",COUNTA($D$40:D60))</f>
        <v/>
      </c>
      <c r="B60" s="52" t="n"/>
      <c r="C60" s="65" t="inlineStr">
        <is>
          <t>마케팅2팀</t>
        </is>
      </c>
      <c r="D60" s="52" t="n"/>
      <c r="E60" s="54" t="n"/>
      <c r="F60" s="52" t="n"/>
      <c r="G60" s="55" t="n"/>
      <c r="H60" s="54" t="n"/>
      <c r="I60" s="54" t="n"/>
      <c r="J60" s="54" t="n"/>
      <c r="K60" s="56">
        <f>IF(SUM(U60:AY60)=0,"",SUM(U60:AY60))</f>
        <v/>
      </c>
      <c r="L60" s="57">
        <f>IFERROR(INDEX(U$2:AY$2,MATCH(TRUE,U60:AY60&lt;&gt;"",0)),"")</f>
        <v/>
      </c>
      <c r="M60" s="58">
        <f>IFERROR(LOOKUP(2,1/(U60:AY60&lt;&gt;""),U$2:AY$2),"")</f>
        <v/>
      </c>
      <c r="N60" s="59">
        <f>IF(OR(G60="",M60=""),"",G60-M60)</f>
        <v/>
      </c>
      <c r="O60" s="60" t="n"/>
      <c r="P60" s="61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  <c r="AG60" s="62" t="n"/>
      <c r="AH60" s="62" t="n"/>
      <c r="AI60" s="62" t="n"/>
      <c r="AJ60" s="62" t="n"/>
      <c r="AK60" s="62" t="n"/>
      <c r="AL60" s="62" t="n"/>
      <c r="AM60" s="62" t="n"/>
      <c r="AN60" s="62" t="n"/>
      <c r="AO60" s="62" t="n"/>
      <c r="AP60" s="62" t="n"/>
      <c r="AQ60" s="62" t="n"/>
      <c r="AR60" s="62" t="n"/>
      <c r="AS60" s="62" t="n"/>
      <c r="AT60" s="62" t="n"/>
      <c r="AU60" s="62" t="n"/>
      <c r="AV60" s="62" t="n"/>
      <c r="AW60" s="62" t="n"/>
      <c r="AX60" s="62" t="n"/>
      <c r="AY60" s="62" t="n"/>
    </row>
    <row r="61">
      <c r="A61" s="38">
        <f>IF(D61="","",COUNTA($D$40:D61))</f>
        <v/>
      </c>
      <c r="B61" s="52" t="n"/>
      <c r="C61" s="65" t="inlineStr">
        <is>
          <t>마케팅2팀</t>
        </is>
      </c>
      <c r="D61" s="52" t="n"/>
      <c r="E61" s="54" t="n"/>
      <c r="F61" s="52" t="n"/>
      <c r="G61" s="55" t="n"/>
      <c r="H61" s="54" t="n"/>
      <c r="I61" s="54" t="n"/>
      <c r="J61" s="54" t="n"/>
      <c r="K61" s="56">
        <f>IF(SUM(U61:AY61)=0,"",SUM(U61:AY61))</f>
        <v/>
      </c>
      <c r="L61" s="57">
        <f>IFERROR(INDEX(U$2:AY$2,MATCH(TRUE,U61:AY61&lt;&gt;"",0)),"")</f>
        <v/>
      </c>
      <c r="M61" s="58">
        <f>IFERROR(LOOKUP(2,1/(U61:AY61&lt;&gt;""),U$2:AY$2),"")</f>
        <v/>
      </c>
      <c r="N61" s="59">
        <f>IF(OR(G61="",M61=""),"",G61-M61)</f>
        <v/>
      </c>
      <c r="O61" s="60" t="n"/>
      <c r="P61" s="61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  <c r="AG61" s="62" t="n"/>
      <c r="AH61" s="62" t="n"/>
      <c r="AI61" s="62" t="n"/>
      <c r="AJ61" s="62" t="n"/>
      <c r="AK61" s="62" t="n"/>
      <c r="AL61" s="62" t="n"/>
      <c r="AM61" s="62" t="n"/>
      <c r="AN61" s="62" t="n"/>
      <c r="AO61" s="62" t="n"/>
      <c r="AP61" s="62" t="n"/>
      <c r="AQ61" s="62" t="n"/>
      <c r="AR61" s="62" t="n"/>
      <c r="AS61" s="62" t="n"/>
      <c r="AT61" s="62" t="n"/>
      <c r="AU61" s="62" t="n"/>
      <c r="AV61" s="62" t="n"/>
      <c r="AW61" s="62" t="n"/>
      <c r="AX61" s="62" t="n"/>
      <c r="AY61" s="62" t="n"/>
    </row>
    <row r="62">
      <c r="A62" s="38">
        <f>IF(D62="","",COUNTA($D$40:D62))</f>
        <v/>
      </c>
      <c r="B62" s="52" t="n"/>
      <c r="C62" s="65" t="inlineStr">
        <is>
          <t>마케팅2팀</t>
        </is>
      </c>
      <c r="D62" s="52" t="n"/>
      <c r="E62" s="54" t="n"/>
      <c r="F62" s="52" t="n"/>
      <c r="G62" s="55" t="n"/>
      <c r="H62" s="54" t="n"/>
      <c r="I62" s="54" t="n"/>
      <c r="J62" s="54" t="n"/>
      <c r="K62" s="56">
        <f>IF(SUM(U62:AY62)=0,"",SUM(U62:AY62))</f>
        <v/>
      </c>
      <c r="L62" s="57">
        <f>IFERROR(INDEX(U$2:AY$2,MATCH(TRUE,U62:AY62&lt;&gt;"",0)),"")</f>
        <v/>
      </c>
      <c r="M62" s="58">
        <f>IFERROR(LOOKUP(2,1/(U62:AY62&lt;&gt;""),U$2:AY$2),"")</f>
        <v/>
      </c>
      <c r="N62" s="59">
        <f>IF(OR(G62="",M62=""),"",G62-M62)</f>
        <v/>
      </c>
      <c r="O62" s="60" t="n"/>
      <c r="P62" s="61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  <c r="AG62" s="62" t="n"/>
      <c r="AH62" s="62" t="n"/>
      <c r="AI62" s="62" t="n"/>
      <c r="AJ62" s="62" t="n"/>
      <c r="AK62" s="62" t="n"/>
      <c r="AL62" s="62" t="n"/>
      <c r="AM62" s="62" t="n"/>
      <c r="AN62" s="62" t="n"/>
      <c r="AO62" s="62" t="n"/>
      <c r="AP62" s="62" t="n"/>
      <c r="AQ62" s="62" t="n"/>
      <c r="AR62" s="62" t="n"/>
      <c r="AS62" s="62" t="n"/>
      <c r="AT62" s="62" t="n"/>
      <c r="AU62" s="62" t="n"/>
      <c r="AV62" s="62" t="n"/>
      <c r="AW62" s="62" t="n"/>
      <c r="AX62" s="62" t="n"/>
      <c r="AY62" s="62" t="n"/>
    </row>
    <row r="63">
      <c r="A63" s="38">
        <f>IF(D63="","",COUNTA($D$40:D63))</f>
        <v/>
      </c>
      <c r="B63" s="52" t="n"/>
      <c r="C63" s="65" t="inlineStr">
        <is>
          <t>마케팅2팀</t>
        </is>
      </c>
      <c r="D63" s="52" t="n"/>
      <c r="E63" s="54" t="n"/>
      <c r="F63" s="52" t="n"/>
      <c r="G63" s="55" t="n"/>
      <c r="H63" s="54" t="n"/>
      <c r="I63" s="54" t="n"/>
      <c r="J63" s="54" t="n"/>
      <c r="K63" s="56">
        <f>IF(SUM(U63:AY63)=0,"",SUM(U63:AY63))</f>
        <v/>
      </c>
      <c r="L63" s="57">
        <f>IFERROR(INDEX(U$2:AY$2,MATCH(TRUE,U63:AY63&lt;&gt;"",0)),"")</f>
        <v/>
      </c>
      <c r="M63" s="58">
        <f>IFERROR(LOOKUP(2,1/(U63:AY63&lt;&gt;""),U$2:AY$2),"")</f>
        <v/>
      </c>
      <c r="N63" s="59">
        <f>IF(OR(G63="",M63=""),"",G63-M63)</f>
        <v/>
      </c>
      <c r="O63" s="60" t="n"/>
      <c r="P63" s="61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  <c r="AG63" s="62" t="n"/>
      <c r="AH63" s="62" t="n"/>
      <c r="AI63" s="62" t="n"/>
      <c r="AJ63" s="62" t="n"/>
      <c r="AK63" s="62" t="n"/>
      <c r="AL63" s="62" t="n"/>
      <c r="AM63" s="62" t="n"/>
      <c r="AN63" s="62" t="n"/>
      <c r="AO63" s="62" t="n"/>
      <c r="AP63" s="62" t="n"/>
      <c r="AQ63" s="62" t="n"/>
      <c r="AR63" s="62" t="n"/>
      <c r="AS63" s="62" t="n"/>
      <c r="AT63" s="62" t="n"/>
      <c r="AU63" s="62" t="n"/>
      <c r="AV63" s="62" t="n"/>
      <c r="AW63" s="62" t="n"/>
      <c r="AX63" s="62" t="n"/>
      <c r="AY63" s="62" t="n"/>
    </row>
    <row r="64">
      <c r="A64" s="38">
        <f>IF(D64="","",COUNTA($D$40:D64))</f>
        <v/>
      </c>
      <c r="B64" s="52" t="n"/>
      <c r="C64" s="65" t="inlineStr">
        <is>
          <t>마케팅2팀</t>
        </is>
      </c>
      <c r="D64" s="52" t="n"/>
      <c r="E64" s="54" t="n"/>
      <c r="F64" s="52" t="n"/>
      <c r="G64" s="55" t="n"/>
      <c r="H64" s="54" t="n"/>
      <c r="I64" s="54" t="n"/>
      <c r="J64" s="54" t="n"/>
      <c r="K64" s="56">
        <f>IF(SUM(U64:AY64)=0,"",SUM(U64:AY64))</f>
        <v/>
      </c>
      <c r="L64" s="57">
        <f>IFERROR(INDEX(U$2:AY$2,MATCH(TRUE,U64:AY64&lt;&gt;"",0)),"")</f>
        <v/>
      </c>
      <c r="M64" s="58">
        <f>IFERROR(LOOKUP(2,1/(U64:AY64&lt;&gt;""),U$2:AY$2),"")</f>
        <v/>
      </c>
      <c r="N64" s="59">
        <f>IF(OR(G64="",M64=""),"",G64-M64)</f>
        <v/>
      </c>
      <c r="O64" s="60" t="n"/>
      <c r="P64" s="61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  <c r="AG64" s="62" t="n"/>
      <c r="AH64" s="62" t="n"/>
      <c r="AI64" s="62" t="n"/>
      <c r="AJ64" s="62" t="n"/>
      <c r="AK64" s="62" t="n"/>
      <c r="AL64" s="62" t="n"/>
      <c r="AM64" s="62" t="n"/>
      <c r="AN64" s="62" t="n"/>
      <c r="AO64" s="62" t="n"/>
      <c r="AP64" s="62" t="n"/>
      <c r="AQ64" s="62" t="n"/>
      <c r="AR64" s="62" t="n"/>
      <c r="AS64" s="62" t="n"/>
      <c r="AT64" s="62" t="n"/>
      <c r="AU64" s="62" t="n"/>
      <c r="AV64" s="62" t="n"/>
      <c r="AW64" s="62" t="n"/>
      <c r="AX64" s="62" t="n"/>
      <c r="AY64" s="62" t="n"/>
    </row>
    <row r="65">
      <c r="A65" s="38">
        <f>IF(D65="","",COUNTA($D$40:D65))</f>
        <v/>
      </c>
      <c r="B65" s="52" t="n"/>
      <c r="C65" s="65" t="inlineStr">
        <is>
          <t>마케팅2팀</t>
        </is>
      </c>
      <c r="D65" s="52" t="n"/>
      <c r="E65" s="54" t="n"/>
      <c r="F65" s="52" t="n"/>
      <c r="G65" s="55" t="n"/>
      <c r="H65" s="54" t="n"/>
      <c r="I65" s="54" t="n"/>
      <c r="J65" s="54" t="n"/>
      <c r="K65" s="56">
        <f>IF(SUM(U65:AY65)=0,"",SUM(U65:AY65))</f>
        <v/>
      </c>
      <c r="L65" s="57">
        <f>IFERROR(INDEX(U$2:AY$2,MATCH(TRUE,U65:AY65&lt;&gt;"",0)),"")</f>
        <v/>
      </c>
      <c r="M65" s="58">
        <f>IFERROR(LOOKUP(2,1/(U65:AY65&lt;&gt;""),U$2:AY$2),"")</f>
        <v/>
      </c>
      <c r="N65" s="59">
        <f>IF(OR(G65="",M65=""),"",G65-M65)</f>
        <v/>
      </c>
      <c r="O65" s="60" t="n"/>
      <c r="P65" s="61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  <c r="AG65" s="62" t="n"/>
      <c r="AH65" s="62" t="n"/>
      <c r="AI65" s="62" t="n"/>
      <c r="AJ65" s="62" t="n"/>
      <c r="AK65" s="62" t="n"/>
      <c r="AL65" s="62" t="n"/>
      <c r="AM65" s="62" t="n"/>
      <c r="AN65" s="62" t="n"/>
      <c r="AO65" s="62" t="n"/>
      <c r="AP65" s="62" t="n"/>
      <c r="AQ65" s="62" t="n"/>
      <c r="AR65" s="62" t="n"/>
      <c r="AS65" s="62" t="n"/>
      <c r="AT65" s="62" t="n"/>
      <c r="AU65" s="62" t="n"/>
      <c r="AV65" s="62" t="n"/>
      <c r="AW65" s="62" t="n"/>
      <c r="AX65" s="62" t="n"/>
      <c r="AY65" s="62" t="n"/>
    </row>
    <row r="66">
      <c r="A66" s="38">
        <f>IF(D66="","",COUNTA($D$40:D66))</f>
        <v/>
      </c>
      <c r="B66" s="52" t="n"/>
      <c r="C66" s="65" t="inlineStr">
        <is>
          <t>마케팅2팀</t>
        </is>
      </c>
      <c r="D66" s="52" t="n"/>
      <c r="E66" s="54" t="n"/>
      <c r="F66" s="52" t="n"/>
      <c r="G66" s="55" t="n"/>
      <c r="H66" s="54" t="n"/>
      <c r="I66" s="54" t="n"/>
      <c r="J66" s="54" t="n"/>
      <c r="K66" s="56">
        <f>IF(SUM(U66:AY66)=0,"",SUM(U66:AY66))</f>
        <v/>
      </c>
      <c r="L66" s="57">
        <f>IFERROR(INDEX(U$2:AY$2,MATCH(TRUE,U66:AY66&lt;&gt;"",0)),"")</f>
        <v/>
      </c>
      <c r="M66" s="58">
        <f>IFERROR(LOOKUP(2,1/(U66:AY66&lt;&gt;""),U$2:AY$2),"")</f>
        <v/>
      </c>
      <c r="N66" s="59">
        <f>IF(OR(G66="",M66=""),"",G66-M66)</f>
        <v/>
      </c>
      <c r="O66" s="60" t="n"/>
      <c r="P66" s="61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  <c r="AG66" s="62" t="n"/>
      <c r="AH66" s="62" t="n"/>
      <c r="AI66" s="62" t="n"/>
      <c r="AJ66" s="62" t="n"/>
      <c r="AK66" s="62" t="n"/>
      <c r="AL66" s="62" t="n"/>
      <c r="AM66" s="62" t="n"/>
      <c r="AN66" s="62" t="n"/>
      <c r="AO66" s="62" t="n"/>
      <c r="AP66" s="62" t="n"/>
      <c r="AQ66" s="62" t="n"/>
      <c r="AR66" s="62" t="n"/>
      <c r="AS66" s="62" t="n"/>
      <c r="AT66" s="62" t="n"/>
      <c r="AU66" s="62" t="n"/>
      <c r="AV66" s="62" t="n"/>
      <c r="AW66" s="62" t="n"/>
      <c r="AX66" s="62" t="n"/>
      <c r="AY66" s="62" t="n"/>
    </row>
    <row r="67">
      <c r="A67" s="38">
        <f>IF(D67="","",COUNTA($D$40:D67))</f>
        <v/>
      </c>
      <c r="B67" s="52" t="n"/>
      <c r="C67" s="65" t="inlineStr">
        <is>
          <t>마케팅2팀</t>
        </is>
      </c>
      <c r="D67" s="52" t="n"/>
      <c r="E67" s="54" t="n"/>
      <c r="F67" s="52" t="n"/>
      <c r="G67" s="55" t="n"/>
      <c r="H67" s="54" t="n"/>
      <c r="I67" s="54" t="n"/>
      <c r="J67" s="54" t="n"/>
      <c r="K67" s="56">
        <f>IF(SUM(U67:AY67)=0,"",SUM(U67:AY67))</f>
        <v/>
      </c>
      <c r="L67" s="57">
        <f>IFERROR(INDEX(U$2:AY$2,MATCH(TRUE,U67:AY67&lt;&gt;"",0)),"")</f>
        <v/>
      </c>
      <c r="M67" s="58">
        <f>IFERROR(LOOKUP(2,1/(U67:AY67&lt;&gt;""),U$2:AY$2),"")</f>
        <v/>
      </c>
      <c r="N67" s="59">
        <f>IF(OR(G67="",M67=""),"",G67-M67)</f>
        <v/>
      </c>
      <c r="O67" s="60" t="n"/>
      <c r="P67" s="61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  <c r="AG67" s="62" t="n"/>
      <c r="AH67" s="62" t="n"/>
      <c r="AI67" s="62" t="n"/>
      <c r="AJ67" s="62" t="n"/>
      <c r="AK67" s="62" t="n"/>
      <c r="AL67" s="62" t="n"/>
      <c r="AM67" s="62" t="n"/>
      <c r="AN67" s="62" t="n"/>
      <c r="AO67" s="62" t="n"/>
      <c r="AP67" s="62" t="n"/>
      <c r="AQ67" s="62" t="n"/>
      <c r="AR67" s="62" t="n"/>
      <c r="AS67" s="62" t="n"/>
      <c r="AT67" s="62" t="n"/>
      <c r="AU67" s="62" t="n"/>
      <c r="AV67" s="62" t="n"/>
      <c r="AW67" s="62" t="n"/>
      <c r="AX67" s="62" t="n"/>
      <c r="AY67" s="62" t="n"/>
    </row>
    <row r="68">
      <c r="A68" s="38">
        <f>IF(D68="","",COUNTA($D$40:D68))</f>
        <v/>
      </c>
      <c r="B68" s="52" t="n"/>
      <c r="C68" s="65" t="inlineStr">
        <is>
          <t>마케팅2팀</t>
        </is>
      </c>
      <c r="D68" s="52" t="n"/>
      <c r="E68" s="54" t="n"/>
      <c r="F68" s="52" t="n"/>
      <c r="G68" s="55" t="n"/>
      <c r="H68" s="54" t="n"/>
      <c r="I68" s="54" t="n"/>
      <c r="J68" s="54" t="n"/>
      <c r="K68" s="56">
        <f>IF(SUM(U68:AY68)=0,"",SUM(U68:AY68))</f>
        <v/>
      </c>
      <c r="L68" s="57">
        <f>IFERROR(INDEX(U$2:AY$2,MATCH(TRUE,U68:AY68&lt;&gt;"",0)),"")</f>
        <v/>
      </c>
      <c r="M68" s="58">
        <f>IFERROR(LOOKUP(2,1/(U68:AY68&lt;&gt;""),U$2:AY$2),"")</f>
        <v/>
      </c>
      <c r="N68" s="59">
        <f>IF(OR(G68="",M68=""),"",G68-M68)</f>
        <v/>
      </c>
      <c r="O68" s="60" t="n"/>
      <c r="P68" s="61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  <c r="AG68" s="62" t="n"/>
      <c r="AH68" s="62" t="n"/>
      <c r="AI68" s="62" t="n"/>
      <c r="AJ68" s="62" t="n"/>
      <c r="AK68" s="62" t="n"/>
      <c r="AL68" s="62" t="n"/>
      <c r="AM68" s="62" t="n"/>
      <c r="AN68" s="62" t="n"/>
      <c r="AO68" s="62" t="n"/>
      <c r="AP68" s="62" t="n"/>
      <c r="AQ68" s="62" t="n"/>
      <c r="AR68" s="62" t="n"/>
      <c r="AS68" s="62" t="n"/>
      <c r="AT68" s="62" t="n"/>
      <c r="AU68" s="62" t="n"/>
      <c r="AV68" s="62" t="n"/>
      <c r="AW68" s="62" t="n"/>
      <c r="AX68" s="62" t="n"/>
      <c r="AY68" s="62" t="n"/>
    </row>
    <row r="69">
      <c r="A69" s="38">
        <f>IF(D69="","",COUNTA($D$40:D69))</f>
        <v/>
      </c>
      <c r="B69" s="52" t="n"/>
      <c r="C69" s="65" t="inlineStr">
        <is>
          <t>마케팅2팀</t>
        </is>
      </c>
      <c r="D69" s="52" t="n"/>
      <c r="E69" s="54" t="n"/>
      <c r="F69" s="52" t="n"/>
      <c r="G69" s="55" t="n"/>
      <c r="H69" s="54" t="n"/>
      <c r="I69" s="54" t="n"/>
      <c r="J69" s="54" t="n"/>
      <c r="K69" s="56">
        <f>IF(SUM(U69:AY69)=0,"",SUM(U69:AY69))</f>
        <v/>
      </c>
      <c r="L69" s="57">
        <f>IFERROR(INDEX(U$2:AY$2,MATCH(TRUE,U69:AY69&lt;&gt;"",0)),"")</f>
        <v/>
      </c>
      <c r="M69" s="58">
        <f>IFERROR(LOOKUP(2,1/(U69:AY69&lt;&gt;""),U$2:AY$2),"")</f>
        <v/>
      </c>
      <c r="N69" s="59">
        <f>IF(OR(G69="",M69=""),"",G69-M69)</f>
        <v/>
      </c>
      <c r="O69" s="60" t="n"/>
      <c r="P69" s="61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  <c r="AG69" s="62" t="n"/>
      <c r="AH69" s="62" t="n"/>
      <c r="AI69" s="62" t="n"/>
      <c r="AJ69" s="62" t="n"/>
      <c r="AK69" s="62" t="n"/>
      <c r="AL69" s="62" t="n"/>
      <c r="AM69" s="62" t="n"/>
      <c r="AN69" s="62" t="n"/>
      <c r="AO69" s="62" t="n"/>
      <c r="AP69" s="62" t="n"/>
      <c r="AQ69" s="62" t="n"/>
      <c r="AR69" s="62" t="n"/>
      <c r="AS69" s="62" t="n"/>
      <c r="AT69" s="62" t="n"/>
      <c r="AU69" s="62" t="n"/>
      <c r="AV69" s="62" t="n"/>
      <c r="AW69" s="62" t="n"/>
      <c r="AX69" s="62" t="n"/>
      <c r="AY69" s="62" t="n"/>
    </row>
    <row r="70">
      <c r="A70" s="66" t="inlineStr">
        <is>
          <t>마케팅3팀  (71~100행)</t>
        </is>
      </c>
      <c r="U70" s="67" t="n"/>
      <c r="V70" s="67" t="n"/>
      <c r="W70" s="67" t="n"/>
      <c r="X70" s="67" t="n"/>
      <c r="Y70" s="67" t="n"/>
      <c r="Z70" s="67" t="n"/>
      <c r="AA70" s="67" t="n"/>
      <c r="AB70" s="67" t="n"/>
      <c r="AC70" s="67" t="n"/>
      <c r="AD70" s="67" t="n"/>
      <c r="AE70" s="67" t="n"/>
      <c r="AF70" s="67" t="n"/>
      <c r="AG70" s="67" t="n"/>
      <c r="AH70" s="67" t="n"/>
      <c r="AI70" s="67" t="n"/>
      <c r="AJ70" s="67" t="n"/>
      <c r="AK70" s="67" t="n"/>
      <c r="AL70" s="67" t="n"/>
      <c r="AM70" s="67" t="n"/>
      <c r="AN70" s="67" t="n"/>
      <c r="AO70" s="67" t="n"/>
      <c r="AP70" s="67" t="n"/>
      <c r="AQ70" s="67" t="n"/>
      <c r="AR70" s="67" t="n"/>
      <c r="AS70" s="67" t="n"/>
      <c r="AT70" s="67" t="n"/>
      <c r="AU70" s="67" t="n"/>
      <c r="AV70" s="67" t="n"/>
      <c r="AW70" s="67" t="n"/>
      <c r="AX70" s="67" t="n"/>
      <c r="AY70" s="67" t="n"/>
    </row>
    <row r="71">
      <c r="A71" s="38">
        <f>IF(D71="","",COUNTA($D$71:D71))</f>
        <v/>
      </c>
      <c r="B71" s="52" t="n"/>
      <c r="C71" s="68" t="inlineStr">
        <is>
          <t>마케팅3팀</t>
        </is>
      </c>
      <c r="D71" s="52" t="n"/>
      <c r="E71" s="54" t="n"/>
      <c r="F71" s="52" t="n"/>
      <c r="G71" s="55" t="n"/>
      <c r="H71" s="54" t="n"/>
      <c r="I71" s="54" t="n"/>
      <c r="J71" s="54" t="n"/>
      <c r="K71" s="56">
        <f>IF(SUM(U71:AY71)=0,"",SUM(U71:AY71))</f>
        <v/>
      </c>
      <c r="L71" s="57">
        <f>IFERROR(INDEX(U$2:AY$2,MATCH(TRUE,U71:AY71&lt;&gt;"",0)),"")</f>
        <v/>
      </c>
      <c r="M71" s="58">
        <f>IFERROR(LOOKUP(2,1/(U71:AY71&lt;&gt;""),U$2:AY$2),"")</f>
        <v/>
      </c>
      <c r="N71" s="59">
        <f>IF(OR(G71="",M71=""),"",G71-M71)</f>
        <v/>
      </c>
      <c r="O71" s="60" t="n"/>
      <c r="P71" s="61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  <c r="AG71" s="62" t="n"/>
      <c r="AH71" s="62" t="n"/>
      <c r="AI71" s="62" t="n"/>
      <c r="AJ71" s="62" t="n"/>
      <c r="AK71" s="62" t="n"/>
      <c r="AL71" s="62" t="n"/>
      <c r="AM71" s="62" t="n"/>
      <c r="AN71" s="62" t="n"/>
      <c r="AO71" s="62" t="n"/>
      <c r="AP71" s="62" t="n"/>
      <c r="AQ71" s="62" t="n"/>
      <c r="AR71" s="62" t="n"/>
      <c r="AS71" s="62" t="n"/>
      <c r="AT71" s="62" t="n"/>
      <c r="AU71" s="62" t="n"/>
      <c r="AV71" s="62" t="n"/>
      <c r="AW71" s="62" t="n"/>
      <c r="AX71" s="62" t="n"/>
      <c r="AY71" s="62" t="n"/>
    </row>
    <row r="72">
      <c r="A72" s="38">
        <f>IF(D72="","",COUNTA($D$71:D72))</f>
        <v/>
      </c>
      <c r="B72" s="52" t="n"/>
      <c r="C72" s="68" t="inlineStr">
        <is>
          <t>마케팅3팀</t>
        </is>
      </c>
      <c r="D72" s="52" t="n"/>
      <c r="E72" s="54" t="n"/>
      <c r="F72" s="52" t="n"/>
      <c r="G72" s="55" t="n"/>
      <c r="H72" s="54" t="n"/>
      <c r="I72" s="54" t="n"/>
      <c r="J72" s="54" t="n"/>
      <c r="K72" s="56">
        <f>IF(SUM(U72:AY72)=0,"",SUM(U72:AY72))</f>
        <v/>
      </c>
      <c r="L72" s="57">
        <f>IFERROR(INDEX(U$2:AY$2,MATCH(TRUE,U72:AY72&lt;&gt;"",0)),"")</f>
        <v/>
      </c>
      <c r="M72" s="58">
        <f>IFERROR(LOOKUP(2,1/(U72:AY72&lt;&gt;""),U$2:AY$2),"")</f>
        <v/>
      </c>
      <c r="N72" s="59">
        <f>IF(OR(G72="",M72=""),"",G72-M72)</f>
        <v/>
      </c>
      <c r="O72" s="60" t="n"/>
      <c r="P72" s="61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  <c r="AG72" s="62" t="n"/>
      <c r="AH72" s="62" t="n"/>
      <c r="AI72" s="62" t="n"/>
      <c r="AJ72" s="62" t="n"/>
      <c r="AK72" s="62" t="n"/>
      <c r="AL72" s="62" t="n"/>
      <c r="AM72" s="62" t="n"/>
      <c r="AN72" s="62" t="n"/>
      <c r="AO72" s="62" t="n"/>
      <c r="AP72" s="62" t="n"/>
      <c r="AQ72" s="62" t="n"/>
      <c r="AR72" s="62" t="n"/>
      <c r="AS72" s="62" t="n"/>
      <c r="AT72" s="62" t="n"/>
      <c r="AU72" s="62" t="n"/>
      <c r="AV72" s="62" t="n"/>
      <c r="AW72" s="62" t="n"/>
      <c r="AX72" s="62" t="n"/>
      <c r="AY72" s="62" t="n"/>
    </row>
    <row r="73">
      <c r="A73" s="38">
        <f>IF(D73="","",COUNTA($D$71:D73))</f>
        <v/>
      </c>
      <c r="B73" s="52" t="n"/>
      <c r="C73" s="68" t="inlineStr">
        <is>
          <t>마케팅3팀</t>
        </is>
      </c>
      <c r="D73" s="52" t="n"/>
      <c r="E73" s="54" t="n"/>
      <c r="F73" s="52" t="n"/>
      <c r="G73" s="55" t="n"/>
      <c r="H73" s="54" t="n"/>
      <c r="I73" s="54" t="n"/>
      <c r="J73" s="54" t="n"/>
      <c r="K73" s="56">
        <f>IF(SUM(U73:AY73)=0,"",SUM(U73:AY73))</f>
        <v/>
      </c>
      <c r="L73" s="57">
        <f>IFERROR(INDEX(U$2:AY$2,MATCH(TRUE,U73:AY73&lt;&gt;"",0)),"")</f>
        <v/>
      </c>
      <c r="M73" s="58">
        <f>IFERROR(LOOKUP(2,1/(U73:AY73&lt;&gt;""),U$2:AY$2),"")</f>
        <v/>
      </c>
      <c r="N73" s="59">
        <f>IF(OR(G73="",M73=""),"",G73-M73)</f>
        <v/>
      </c>
      <c r="O73" s="60" t="n"/>
      <c r="P73" s="61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  <c r="AG73" s="62" t="n"/>
      <c r="AH73" s="62" t="n"/>
      <c r="AI73" s="62" t="n"/>
      <c r="AJ73" s="62" t="n"/>
      <c r="AK73" s="62" t="n"/>
      <c r="AL73" s="62" t="n"/>
      <c r="AM73" s="62" t="n"/>
      <c r="AN73" s="62" t="n"/>
      <c r="AO73" s="62" t="n"/>
      <c r="AP73" s="62" t="n"/>
      <c r="AQ73" s="62" t="n"/>
      <c r="AR73" s="62" t="n"/>
      <c r="AS73" s="62" t="n"/>
      <c r="AT73" s="62" t="n"/>
      <c r="AU73" s="62" t="n"/>
      <c r="AV73" s="62" t="n"/>
      <c r="AW73" s="62" t="n"/>
      <c r="AX73" s="62" t="n"/>
      <c r="AY73" s="62" t="n"/>
    </row>
    <row r="74">
      <c r="A74" s="38">
        <f>IF(D74="","",COUNTA($D$71:D74))</f>
        <v/>
      </c>
      <c r="B74" s="52" t="n"/>
      <c r="C74" s="68" t="inlineStr">
        <is>
          <t>마케팅3팀</t>
        </is>
      </c>
      <c r="D74" s="52" t="n"/>
      <c r="E74" s="54" t="n"/>
      <c r="F74" s="52" t="n"/>
      <c r="G74" s="55" t="n"/>
      <c r="H74" s="54" t="n"/>
      <c r="I74" s="54" t="n"/>
      <c r="J74" s="54" t="n"/>
      <c r="K74" s="56">
        <f>IF(SUM(U74:AY74)=0,"",SUM(U74:AY74))</f>
        <v/>
      </c>
      <c r="L74" s="57">
        <f>IFERROR(INDEX(U$2:AY$2,MATCH(TRUE,U74:AY74&lt;&gt;"",0)),"")</f>
        <v/>
      </c>
      <c r="M74" s="58">
        <f>IFERROR(LOOKUP(2,1/(U74:AY74&lt;&gt;""),U$2:AY$2),"")</f>
        <v/>
      </c>
      <c r="N74" s="59">
        <f>IF(OR(G74="",M74=""),"",G74-M74)</f>
        <v/>
      </c>
      <c r="O74" s="60" t="n"/>
      <c r="P74" s="61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  <c r="AG74" s="62" t="n"/>
      <c r="AH74" s="62" t="n"/>
      <c r="AI74" s="62" t="n"/>
      <c r="AJ74" s="62" t="n"/>
      <c r="AK74" s="62" t="n"/>
      <c r="AL74" s="62" t="n"/>
      <c r="AM74" s="62" t="n"/>
      <c r="AN74" s="62" t="n"/>
      <c r="AO74" s="62" t="n"/>
      <c r="AP74" s="62" t="n"/>
      <c r="AQ74" s="62" t="n"/>
      <c r="AR74" s="62" t="n"/>
      <c r="AS74" s="62" t="n"/>
      <c r="AT74" s="62" t="n"/>
      <c r="AU74" s="62" t="n"/>
      <c r="AV74" s="62" t="n"/>
      <c r="AW74" s="62" t="n"/>
      <c r="AX74" s="62" t="n"/>
      <c r="AY74" s="62" t="n"/>
    </row>
    <row r="75">
      <c r="A75" s="38">
        <f>IF(D75="","",COUNTA($D$71:D75))</f>
        <v/>
      </c>
      <c r="B75" s="52" t="n"/>
      <c r="C75" s="68" t="inlineStr">
        <is>
          <t>마케팅3팀</t>
        </is>
      </c>
      <c r="D75" s="52" t="n"/>
      <c r="E75" s="54" t="n"/>
      <c r="F75" s="52" t="n"/>
      <c r="G75" s="55" t="n"/>
      <c r="H75" s="54" t="n"/>
      <c r="I75" s="54" t="n"/>
      <c r="J75" s="54" t="n"/>
      <c r="K75" s="56">
        <f>IF(SUM(U75:AY75)=0,"",SUM(U75:AY75))</f>
        <v/>
      </c>
      <c r="L75" s="57">
        <f>IFERROR(INDEX(U$2:AY$2,MATCH(TRUE,U75:AY75&lt;&gt;"",0)),"")</f>
        <v/>
      </c>
      <c r="M75" s="58">
        <f>IFERROR(LOOKUP(2,1/(U75:AY75&lt;&gt;""),U$2:AY$2),"")</f>
        <v/>
      </c>
      <c r="N75" s="59">
        <f>IF(OR(G75="",M75=""),"",G75-M75)</f>
        <v/>
      </c>
      <c r="O75" s="60" t="n"/>
      <c r="P75" s="61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  <c r="AG75" s="62" t="n"/>
      <c r="AH75" s="62" t="n"/>
      <c r="AI75" s="62" t="n"/>
      <c r="AJ75" s="62" t="n"/>
      <c r="AK75" s="62" t="n"/>
      <c r="AL75" s="62" t="n"/>
      <c r="AM75" s="62" t="n"/>
      <c r="AN75" s="62" t="n"/>
      <c r="AO75" s="62" t="n"/>
      <c r="AP75" s="62" t="n"/>
      <c r="AQ75" s="62" t="n"/>
      <c r="AR75" s="62" t="n"/>
      <c r="AS75" s="62" t="n"/>
      <c r="AT75" s="62" t="n"/>
      <c r="AU75" s="62" t="n"/>
      <c r="AV75" s="62" t="n"/>
      <c r="AW75" s="62" t="n"/>
      <c r="AX75" s="62" t="n"/>
      <c r="AY75" s="62" t="n"/>
    </row>
    <row r="76">
      <c r="A76" s="38">
        <f>IF(D76="","",COUNTA($D$71:D76))</f>
        <v/>
      </c>
      <c r="B76" s="52" t="n"/>
      <c r="C76" s="68" t="inlineStr">
        <is>
          <t>마케팅3팀</t>
        </is>
      </c>
      <c r="D76" s="52" t="n"/>
      <c r="E76" s="54" t="n"/>
      <c r="F76" s="52" t="n"/>
      <c r="G76" s="55" t="n"/>
      <c r="H76" s="54" t="n"/>
      <c r="I76" s="54" t="n"/>
      <c r="J76" s="54" t="n"/>
      <c r="K76" s="56">
        <f>IF(SUM(U76:AY76)=0,"",SUM(U76:AY76))</f>
        <v/>
      </c>
      <c r="L76" s="57">
        <f>IFERROR(INDEX(U$2:AY$2,MATCH(TRUE,U76:AY76&lt;&gt;"",0)),"")</f>
        <v/>
      </c>
      <c r="M76" s="58">
        <f>IFERROR(LOOKUP(2,1/(U76:AY76&lt;&gt;""),U$2:AY$2),"")</f>
        <v/>
      </c>
      <c r="N76" s="59">
        <f>IF(OR(G76="",M76=""),"",G76-M76)</f>
        <v/>
      </c>
      <c r="O76" s="60" t="n"/>
      <c r="P76" s="61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  <c r="AG76" s="62" t="n"/>
      <c r="AH76" s="62" t="n"/>
      <c r="AI76" s="62" t="n"/>
      <c r="AJ76" s="62" t="n"/>
      <c r="AK76" s="62" t="n"/>
      <c r="AL76" s="62" t="n"/>
      <c r="AM76" s="62" t="n"/>
      <c r="AN76" s="62" t="n"/>
      <c r="AO76" s="62" t="n"/>
      <c r="AP76" s="62" t="n"/>
      <c r="AQ76" s="62" t="n"/>
      <c r="AR76" s="62" t="n"/>
      <c r="AS76" s="62" t="n"/>
      <c r="AT76" s="62" t="n"/>
      <c r="AU76" s="62" t="n"/>
      <c r="AV76" s="62" t="n"/>
      <c r="AW76" s="62" t="n"/>
      <c r="AX76" s="62" t="n"/>
      <c r="AY76" s="62" t="n"/>
    </row>
    <row r="77">
      <c r="A77" s="38">
        <f>IF(D77="","",COUNTA($D$71:D77))</f>
        <v/>
      </c>
      <c r="B77" s="52" t="n"/>
      <c r="C77" s="68" t="inlineStr">
        <is>
          <t>마케팅3팀</t>
        </is>
      </c>
      <c r="D77" s="52" t="n"/>
      <c r="E77" s="54" t="n"/>
      <c r="F77" s="52" t="n"/>
      <c r="G77" s="55" t="n"/>
      <c r="H77" s="54" t="n"/>
      <c r="I77" s="54" t="n"/>
      <c r="J77" s="54" t="n"/>
      <c r="K77" s="56">
        <f>IF(SUM(U77:AY77)=0,"",SUM(U77:AY77))</f>
        <v/>
      </c>
      <c r="L77" s="57">
        <f>IFERROR(INDEX(U$2:AY$2,MATCH(TRUE,U77:AY77&lt;&gt;"",0)),"")</f>
        <v/>
      </c>
      <c r="M77" s="58">
        <f>IFERROR(LOOKUP(2,1/(U77:AY77&lt;&gt;""),U$2:AY$2),"")</f>
        <v/>
      </c>
      <c r="N77" s="59">
        <f>IF(OR(G77="",M77=""),"",G77-M77)</f>
        <v/>
      </c>
      <c r="O77" s="60" t="n"/>
      <c r="P77" s="61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  <c r="AG77" s="62" t="n"/>
      <c r="AH77" s="62" t="n"/>
      <c r="AI77" s="62" t="n"/>
      <c r="AJ77" s="62" t="n"/>
      <c r="AK77" s="62" t="n"/>
      <c r="AL77" s="62" t="n"/>
      <c r="AM77" s="62" t="n"/>
      <c r="AN77" s="62" t="n"/>
      <c r="AO77" s="62" t="n"/>
      <c r="AP77" s="62" t="n"/>
      <c r="AQ77" s="62" t="n"/>
      <c r="AR77" s="62" t="n"/>
      <c r="AS77" s="62" t="n"/>
      <c r="AT77" s="62" t="n"/>
      <c r="AU77" s="62" t="n"/>
      <c r="AV77" s="62" t="n"/>
      <c r="AW77" s="62" t="n"/>
      <c r="AX77" s="62" t="n"/>
      <c r="AY77" s="62" t="n"/>
    </row>
    <row r="78">
      <c r="A78" s="38">
        <f>IF(D78="","",COUNTA($D$71:D78))</f>
        <v/>
      </c>
      <c r="B78" s="52" t="n"/>
      <c r="C78" s="68" t="inlineStr">
        <is>
          <t>마케팅3팀</t>
        </is>
      </c>
      <c r="D78" s="52" t="n"/>
      <c r="E78" s="54" t="n"/>
      <c r="F78" s="52" t="n"/>
      <c r="G78" s="55" t="n"/>
      <c r="H78" s="54" t="n"/>
      <c r="I78" s="54" t="n"/>
      <c r="J78" s="54" t="n"/>
      <c r="K78" s="56">
        <f>IF(SUM(U78:AY78)=0,"",SUM(U78:AY78))</f>
        <v/>
      </c>
      <c r="L78" s="57">
        <f>IFERROR(INDEX(U$2:AY$2,MATCH(TRUE,U78:AY78&lt;&gt;"",0)),"")</f>
        <v/>
      </c>
      <c r="M78" s="58">
        <f>IFERROR(LOOKUP(2,1/(U78:AY78&lt;&gt;""),U$2:AY$2),"")</f>
        <v/>
      </c>
      <c r="N78" s="59">
        <f>IF(OR(G78="",M78=""),"",G78-M78)</f>
        <v/>
      </c>
      <c r="O78" s="60" t="n"/>
      <c r="P78" s="61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  <c r="AG78" s="62" t="n"/>
      <c r="AH78" s="62" t="n"/>
      <c r="AI78" s="62" t="n"/>
      <c r="AJ78" s="62" t="n"/>
      <c r="AK78" s="62" t="n"/>
      <c r="AL78" s="62" t="n"/>
      <c r="AM78" s="62" t="n"/>
      <c r="AN78" s="62" t="n"/>
      <c r="AO78" s="62" t="n"/>
      <c r="AP78" s="62" t="n"/>
      <c r="AQ78" s="62" t="n"/>
      <c r="AR78" s="62" t="n"/>
      <c r="AS78" s="62" t="n"/>
      <c r="AT78" s="62" t="n"/>
      <c r="AU78" s="62" t="n"/>
      <c r="AV78" s="62" t="n"/>
      <c r="AW78" s="62" t="n"/>
      <c r="AX78" s="62" t="n"/>
      <c r="AY78" s="62" t="n"/>
    </row>
    <row r="79">
      <c r="A79" s="38">
        <f>IF(D79="","",COUNTA($D$71:D79))</f>
        <v/>
      </c>
      <c r="B79" s="52" t="n"/>
      <c r="C79" s="68" t="inlineStr">
        <is>
          <t>마케팅3팀</t>
        </is>
      </c>
      <c r="D79" s="52" t="n"/>
      <c r="E79" s="54" t="n"/>
      <c r="F79" s="52" t="n"/>
      <c r="G79" s="55" t="n"/>
      <c r="H79" s="54" t="n"/>
      <c r="I79" s="54" t="n"/>
      <c r="J79" s="54" t="n"/>
      <c r="K79" s="56">
        <f>IF(SUM(U79:AY79)=0,"",SUM(U79:AY79))</f>
        <v/>
      </c>
      <c r="L79" s="57">
        <f>IFERROR(INDEX(U$2:AY$2,MATCH(TRUE,U79:AY79&lt;&gt;"",0)),"")</f>
        <v/>
      </c>
      <c r="M79" s="58">
        <f>IFERROR(LOOKUP(2,1/(U79:AY79&lt;&gt;""),U$2:AY$2),"")</f>
        <v/>
      </c>
      <c r="N79" s="59">
        <f>IF(OR(G79="",M79=""),"",G79-M79)</f>
        <v/>
      </c>
      <c r="O79" s="60" t="n"/>
      <c r="P79" s="61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  <c r="AG79" s="62" t="n"/>
      <c r="AH79" s="62" t="n"/>
      <c r="AI79" s="62" t="n"/>
      <c r="AJ79" s="62" t="n"/>
      <c r="AK79" s="62" t="n"/>
      <c r="AL79" s="62" t="n"/>
      <c r="AM79" s="62" t="n"/>
      <c r="AN79" s="62" t="n"/>
      <c r="AO79" s="62" t="n"/>
      <c r="AP79" s="62" t="n"/>
      <c r="AQ79" s="62" t="n"/>
      <c r="AR79" s="62" t="n"/>
      <c r="AS79" s="62" t="n"/>
      <c r="AT79" s="62" t="n"/>
      <c r="AU79" s="62" t="n"/>
      <c r="AV79" s="62" t="n"/>
      <c r="AW79" s="62" t="n"/>
      <c r="AX79" s="62" t="n"/>
      <c r="AY79" s="62" t="n"/>
    </row>
    <row r="80">
      <c r="A80" s="38">
        <f>IF(D80="","",COUNTA($D$71:D80))</f>
        <v/>
      </c>
      <c r="B80" s="52" t="n"/>
      <c r="C80" s="68" t="inlineStr">
        <is>
          <t>마케팅3팀</t>
        </is>
      </c>
      <c r="D80" s="52" t="n"/>
      <c r="E80" s="54" t="n"/>
      <c r="F80" s="52" t="n"/>
      <c r="G80" s="55" t="n"/>
      <c r="H80" s="54" t="n"/>
      <c r="I80" s="54" t="n"/>
      <c r="J80" s="54" t="n"/>
      <c r="K80" s="56">
        <f>IF(SUM(U80:AY80)=0,"",SUM(U80:AY80))</f>
        <v/>
      </c>
      <c r="L80" s="57">
        <f>IFERROR(INDEX(U$2:AY$2,MATCH(TRUE,U80:AY80&lt;&gt;"",0)),"")</f>
        <v/>
      </c>
      <c r="M80" s="58">
        <f>IFERROR(LOOKUP(2,1/(U80:AY80&lt;&gt;""),U$2:AY$2),"")</f>
        <v/>
      </c>
      <c r="N80" s="59">
        <f>IF(OR(G80="",M80=""),"",G80-M80)</f>
        <v/>
      </c>
      <c r="O80" s="60" t="n"/>
      <c r="P80" s="61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  <c r="AG80" s="62" t="n"/>
      <c r="AH80" s="62" t="n"/>
      <c r="AI80" s="62" t="n"/>
      <c r="AJ80" s="62" t="n"/>
      <c r="AK80" s="62" t="n"/>
      <c r="AL80" s="62" t="n"/>
      <c r="AM80" s="62" t="n"/>
      <c r="AN80" s="62" t="n"/>
      <c r="AO80" s="62" t="n"/>
      <c r="AP80" s="62" t="n"/>
      <c r="AQ80" s="62" t="n"/>
      <c r="AR80" s="62" t="n"/>
      <c r="AS80" s="62" t="n"/>
      <c r="AT80" s="62" t="n"/>
      <c r="AU80" s="62" t="n"/>
      <c r="AV80" s="62" t="n"/>
      <c r="AW80" s="62" t="n"/>
      <c r="AX80" s="62" t="n"/>
      <c r="AY80" s="62" t="n"/>
    </row>
    <row r="81">
      <c r="A81" s="38">
        <f>IF(D81="","",COUNTA($D$71:D81))</f>
        <v/>
      </c>
      <c r="B81" s="52" t="n"/>
      <c r="C81" s="68" t="inlineStr">
        <is>
          <t>마케팅3팀</t>
        </is>
      </c>
      <c r="D81" s="52" t="n"/>
      <c r="E81" s="54" t="n"/>
      <c r="F81" s="52" t="n"/>
      <c r="G81" s="55" t="n"/>
      <c r="H81" s="54" t="n"/>
      <c r="I81" s="54" t="n"/>
      <c r="J81" s="54" t="n"/>
      <c r="K81" s="56">
        <f>IF(SUM(U81:AY81)=0,"",SUM(U81:AY81))</f>
        <v/>
      </c>
      <c r="L81" s="57">
        <f>IFERROR(INDEX(U$2:AY$2,MATCH(TRUE,U81:AY81&lt;&gt;"",0)),"")</f>
        <v/>
      </c>
      <c r="M81" s="58">
        <f>IFERROR(LOOKUP(2,1/(U81:AY81&lt;&gt;""),U$2:AY$2),"")</f>
        <v/>
      </c>
      <c r="N81" s="59">
        <f>IF(OR(G81="",M81=""),"",G81-M81)</f>
        <v/>
      </c>
      <c r="O81" s="60" t="n"/>
      <c r="P81" s="61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  <c r="AG81" s="62" t="n"/>
      <c r="AH81" s="62" t="n"/>
      <c r="AI81" s="62" t="n"/>
      <c r="AJ81" s="62" t="n"/>
      <c r="AK81" s="62" t="n"/>
      <c r="AL81" s="62" t="n"/>
      <c r="AM81" s="62" t="n"/>
      <c r="AN81" s="62" t="n"/>
      <c r="AO81" s="62" t="n"/>
      <c r="AP81" s="62" t="n"/>
      <c r="AQ81" s="62" t="n"/>
      <c r="AR81" s="62" t="n"/>
      <c r="AS81" s="62" t="n"/>
      <c r="AT81" s="62" t="n"/>
      <c r="AU81" s="62" t="n"/>
      <c r="AV81" s="62" t="n"/>
      <c r="AW81" s="62" t="n"/>
      <c r="AX81" s="62" t="n"/>
      <c r="AY81" s="62" t="n"/>
    </row>
    <row r="82">
      <c r="A82" s="38">
        <f>IF(D82="","",COUNTA($D$71:D82))</f>
        <v/>
      </c>
      <c r="B82" s="52" t="n"/>
      <c r="C82" s="68" t="inlineStr">
        <is>
          <t>마케팅3팀</t>
        </is>
      </c>
      <c r="D82" s="52" t="n"/>
      <c r="E82" s="54" t="n"/>
      <c r="F82" s="52" t="n"/>
      <c r="G82" s="55" t="n"/>
      <c r="H82" s="54" t="n"/>
      <c r="I82" s="54" t="n"/>
      <c r="J82" s="54" t="n"/>
      <c r="K82" s="56">
        <f>IF(SUM(U82:AY82)=0,"",SUM(U82:AY82))</f>
        <v/>
      </c>
      <c r="L82" s="57">
        <f>IFERROR(INDEX(U$2:AY$2,MATCH(TRUE,U82:AY82&lt;&gt;"",0)),"")</f>
        <v/>
      </c>
      <c r="M82" s="58">
        <f>IFERROR(LOOKUP(2,1/(U82:AY82&lt;&gt;""),U$2:AY$2),"")</f>
        <v/>
      </c>
      <c r="N82" s="59">
        <f>IF(OR(G82="",M82=""),"",G82-M82)</f>
        <v/>
      </c>
      <c r="O82" s="60" t="n"/>
      <c r="P82" s="61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  <c r="AG82" s="62" t="n"/>
      <c r="AH82" s="62" t="n"/>
      <c r="AI82" s="62" t="n"/>
      <c r="AJ82" s="62" t="n"/>
      <c r="AK82" s="62" t="n"/>
      <c r="AL82" s="62" t="n"/>
      <c r="AM82" s="62" t="n"/>
      <c r="AN82" s="62" t="n"/>
      <c r="AO82" s="62" t="n"/>
      <c r="AP82" s="62" t="n"/>
      <c r="AQ82" s="62" t="n"/>
      <c r="AR82" s="62" t="n"/>
      <c r="AS82" s="62" t="n"/>
      <c r="AT82" s="62" t="n"/>
      <c r="AU82" s="62" t="n"/>
      <c r="AV82" s="62" t="n"/>
      <c r="AW82" s="62" t="n"/>
      <c r="AX82" s="62" t="n"/>
      <c r="AY82" s="62" t="n"/>
    </row>
    <row r="83">
      <c r="A83" s="38">
        <f>IF(D83="","",COUNTA($D$71:D83))</f>
        <v/>
      </c>
      <c r="B83" s="52" t="n"/>
      <c r="C83" s="68" t="inlineStr">
        <is>
          <t>마케팅3팀</t>
        </is>
      </c>
      <c r="D83" s="52" t="n"/>
      <c r="E83" s="54" t="n"/>
      <c r="F83" s="52" t="n"/>
      <c r="G83" s="55" t="n"/>
      <c r="H83" s="54" t="n"/>
      <c r="I83" s="54" t="n"/>
      <c r="J83" s="54" t="n"/>
      <c r="K83" s="56">
        <f>IF(SUM(U83:AY83)=0,"",SUM(U83:AY83))</f>
        <v/>
      </c>
      <c r="L83" s="57">
        <f>IFERROR(INDEX(U$2:AY$2,MATCH(TRUE,U83:AY83&lt;&gt;"",0)),"")</f>
        <v/>
      </c>
      <c r="M83" s="58">
        <f>IFERROR(LOOKUP(2,1/(U83:AY83&lt;&gt;""),U$2:AY$2),"")</f>
        <v/>
      </c>
      <c r="N83" s="59">
        <f>IF(OR(G83="",M83=""),"",G83-M83)</f>
        <v/>
      </c>
      <c r="O83" s="60" t="n"/>
      <c r="P83" s="61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  <c r="AG83" s="62" t="n"/>
      <c r="AH83" s="62" t="n"/>
      <c r="AI83" s="62" t="n"/>
      <c r="AJ83" s="62" t="n"/>
      <c r="AK83" s="62" t="n"/>
      <c r="AL83" s="62" t="n"/>
      <c r="AM83" s="62" t="n"/>
      <c r="AN83" s="62" t="n"/>
      <c r="AO83" s="62" t="n"/>
      <c r="AP83" s="62" t="n"/>
      <c r="AQ83" s="62" t="n"/>
      <c r="AR83" s="62" t="n"/>
      <c r="AS83" s="62" t="n"/>
      <c r="AT83" s="62" t="n"/>
      <c r="AU83" s="62" t="n"/>
      <c r="AV83" s="62" t="n"/>
      <c r="AW83" s="62" t="n"/>
      <c r="AX83" s="62" t="n"/>
      <c r="AY83" s="62" t="n"/>
    </row>
    <row r="84">
      <c r="A84" s="38">
        <f>IF(D84="","",COUNTA($D$71:D84))</f>
        <v/>
      </c>
      <c r="B84" s="52" t="n"/>
      <c r="C84" s="68" t="inlineStr">
        <is>
          <t>마케팅3팀</t>
        </is>
      </c>
      <c r="D84" s="52" t="n"/>
      <c r="E84" s="54" t="n"/>
      <c r="F84" s="52" t="n"/>
      <c r="G84" s="55" t="n"/>
      <c r="H84" s="54" t="n"/>
      <c r="I84" s="54" t="n"/>
      <c r="J84" s="54" t="n"/>
      <c r="K84" s="56">
        <f>IF(SUM(U84:AY84)=0,"",SUM(U84:AY84))</f>
        <v/>
      </c>
      <c r="L84" s="57">
        <f>IFERROR(INDEX(U$2:AY$2,MATCH(TRUE,U84:AY84&lt;&gt;"",0)),"")</f>
        <v/>
      </c>
      <c r="M84" s="58">
        <f>IFERROR(LOOKUP(2,1/(U84:AY84&lt;&gt;""),U$2:AY$2),"")</f>
        <v/>
      </c>
      <c r="N84" s="59">
        <f>IF(OR(G84="",M84=""),"",G84-M84)</f>
        <v/>
      </c>
      <c r="O84" s="60" t="n"/>
      <c r="P84" s="61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  <c r="AG84" s="62" t="n"/>
      <c r="AH84" s="62" t="n"/>
      <c r="AI84" s="62" t="n"/>
      <c r="AJ84" s="62" t="n"/>
      <c r="AK84" s="62" t="n"/>
      <c r="AL84" s="62" t="n"/>
      <c r="AM84" s="62" t="n"/>
      <c r="AN84" s="62" t="n"/>
      <c r="AO84" s="62" t="n"/>
      <c r="AP84" s="62" t="n"/>
      <c r="AQ84" s="62" t="n"/>
      <c r="AR84" s="62" t="n"/>
      <c r="AS84" s="62" t="n"/>
      <c r="AT84" s="62" t="n"/>
      <c r="AU84" s="62" t="n"/>
      <c r="AV84" s="62" t="n"/>
      <c r="AW84" s="62" t="n"/>
      <c r="AX84" s="62" t="n"/>
      <c r="AY84" s="62" t="n"/>
    </row>
    <row r="85">
      <c r="A85" s="38">
        <f>IF(D85="","",COUNTA($D$71:D85))</f>
        <v/>
      </c>
      <c r="B85" s="52" t="n"/>
      <c r="C85" s="68" t="inlineStr">
        <is>
          <t>마케팅3팀</t>
        </is>
      </c>
      <c r="D85" s="52" t="n"/>
      <c r="E85" s="54" t="n"/>
      <c r="F85" s="52" t="n"/>
      <c r="G85" s="55" t="n"/>
      <c r="H85" s="54" t="n"/>
      <c r="I85" s="54" t="n"/>
      <c r="J85" s="54" t="n"/>
      <c r="K85" s="56">
        <f>IF(SUM(U85:AY85)=0,"",SUM(U85:AY85))</f>
        <v/>
      </c>
      <c r="L85" s="57">
        <f>IFERROR(INDEX(U$2:AY$2,MATCH(TRUE,U85:AY85&lt;&gt;"",0)),"")</f>
        <v/>
      </c>
      <c r="M85" s="58">
        <f>IFERROR(LOOKUP(2,1/(U85:AY85&lt;&gt;""),U$2:AY$2),"")</f>
        <v/>
      </c>
      <c r="N85" s="59">
        <f>IF(OR(G85="",M85=""),"",G85-M85)</f>
        <v/>
      </c>
      <c r="O85" s="60" t="n"/>
      <c r="P85" s="61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  <c r="AG85" s="62" t="n"/>
      <c r="AH85" s="62" t="n"/>
      <c r="AI85" s="62" t="n"/>
      <c r="AJ85" s="62" t="n"/>
      <c r="AK85" s="62" t="n"/>
      <c r="AL85" s="62" t="n"/>
      <c r="AM85" s="62" t="n"/>
      <c r="AN85" s="62" t="n"/>
      <c r="AO85" s="62" t="n"/>
      <c r="AP85" s="62" t="n"/>
      <c r="AQ85" s="62" t="n"/>
      <c r="AR85" s="62" t="n"/>
      <c r="AS85" s="62" t="n"/>
      <c r="AT85" s="62" t="n"/>
      <c r="AU85" s="62" t="n"/>
      <c r="AV85" s="62" t="n"/>
      <c r="AW85" s="62" t="n"/>
      <c r="AX85" s="62" t="n"/>
      <c r="AY85" s="62" t="n"/>
    </row>
    <row r="86">
      <c r="A86" s="38">
        <f>IF(D86="","",COUNTA($D$71:D86))</f>
        <v/>
      </c>
      <c r="B86" s="52" t="n"/>
      <c r="C86" s="68" t="inlineStr">
        <is>
          <t>마케팅3팀</t>
        </is>
      </c>
      <c r="D86" s="52" t="n"/>
      <c r="E86" s="54" t="n"/>
      <c r="F86" s="52" t="n"/>
      <c r="G86" s="55" t="n"/>
      <c r="H86" s="54" t="n"/>
      <c r="I86" s="54" t="n"/>
      <c r="J86" s="54" t="n"/>
      <c r="K86" s="56">
        <f>IF(SUM(U86:AY86)=0,"",SUM(U86:AY86))</f>
        <v/>
      </c>
      <c r="L86" s="57">
        <f>IFERROR(INDEX(U$2:AY$2,MATCH(TRUE,U86:AY86&lt;&gt;"",0)),"")</f>
        <v/>
      </c>
      <c r="M86" s="58">
        <f>IFERROR(LOOKUP(2,1/(U86:AY86&lt;&gt;""),U$2:AY$2),"")</f>
        <v/>
      </c>
      <c r="N86" s="59">
        <f>IF(OR(G86="",M86=""),"",G86-M86)</f>
        <v/>
      </c>
      <c r="O86" s="60" t="n"/>
      <c r="P86" s="61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  <c r="AG86" s="62" t="n"/>
      <c r="AH86" s="62" t="n"/>
      <c r="AI86" s="62" t="n"/>
      <c r="AJ86" s="62" t="n"/>
      <c r="AK86" s="62" t="n"/>
      <c r="AL86" s="62" t="n"/>
      <c r="AM86" s="62" t="n"/>
      <c r="AN86" s="62" t="n"/>
      <c r="AO86" s="62" t="n"/>
      <c r="AP86" s="62" t="n"/>
      <c r="AQ86" s="62" t="n"/>
      <c r="AR86" s="62" t="n"/>
      <c r="AS86" s="62" t="n"/>
      <c r="AT86" s="62" t="n"/>
      <c r="AU86" s="62" t="n"/>
      <c r="AV86" s="62" t="n"/>
      <c r="AW86" s="62" t="n"/>
      <c r="AX86" s="62" t="n"/>
      <c r="AY86" s="62" t="n"/>
    </row>
    <row r="87">
      <c r="A87" s="38">
        <f>IF(D87="","",COUNTA($D$71:D87))</f>
        <v/>
      </c>
      <c r="B87" s="52" t="n"/>
      <c r="C87" s="68" t="inlineStr">
        <is>
          <t>마케팅3팀</t>
        </is>
      </c>
      <c r="D87" s="52" t="n"/>
      <c r="E87" s="54" t="n"/>
      <c r="F87" s="52" t="n"/>
      <c r="G87" s="55" t="n"/>
      <c r="H87" s="54" t="n"/>
      <c r="I87" s="54" t="n"/>
      <c r="J87" s="54" t="n"/>
      <c r="K87" s="56">
        <f>IF(SUM(U87:AY87)=0,"",SUM(U87:AY87))</f>
        <v/>
      </c>
      <c r="L87" s="57">
        <f>IFERROR(INDEX(U$2:AY$2,MATCH(TRUE,U87:AY87&lt;&gt;"",0)),"")</f>
        <v/>
      </c>
      <c r="M87" s="58">
        <f>IFERROR(LOOKUP(2,1/(U87:AY87&lt;&gt;""),U$2:AY$2),"")</f>
        <v/>
      </c>
      <c r="N87" s="59">
        <f>IF(OR(G87="",M87=""),"",G87-M87)</f>
        <v/>
      </c>
      <c r="O87" s="60" t="n"/>
      <c r="P87" s="61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  <c r="AG87" s="62" t="n"/>
      <c r="AH87" s="62" t="n"/>
      <c r="AI87" s="62" t="n"/>
      <c r="AJ87" s="62" t="n"/>
      <c r="AK87" s="62" t="n"/>
      <c r="AL87" s="62" t="n"/>
      <c r="AM87" s="62" t="n"/>
      <c r="AN87" s="62" t="n"/>
      <c r="AO87" s="62" t="n"/>
      <c r="AP87" s="62" t="n"/>
      <c r="AQ87" s="62" t="n"/>
      <c r="AR87" s="62" t="n"/>
      <c r="AS87" s="62" t="n"/>
      <c r="AT87" s="62" t="n"/>
      <c r="AU87" s="62" t="n"/>
      <c r="AV87" s="62" t="n"/>
      <c r="AW87" s="62" t="n"/>
      <c r="AX87" s="62" t="n"/>
      <c r="AY87" s="62" t="n"/>
    </row>
    <row r="88">
      <c r="A88" s="38">
        <f>IF(D88="","",COUNTA($D$71:D88))</f>
        <v/>
      </c>
      <c r="B88" s="52" t="n"/>
      <c r="C88" s="68" t="inlineStr">
        <is>
          <t>마케팅3팀</t>
        </is>
      </c>
      <c r="D88" s="52" t="n"/>
      <c r="E88" s="54" t="n"/>
      <c r="F88" s="52" t="n"/>
      <c r="G88" s="55" t="n"/>
      <c r="H88" s="54" t="n"/>
      <c r="I88" s="54" t="n"/>
      <c r="J88" s="54" t="n"/>
      <c r="K88" s="56">
        <f>IF(SUM(U88:AY88)=0,"",SUM(U88:AY88))</f>
        <v/>
      </c>
      <c r="L88" s="57">
        <f>IFERROR(INDEX(U$2:AY$2,MATCH(TRUE,U88:AY88&lt;&gt;"",0)),"")</f>
        <v/>
      </c>
      <c r="M88" s="58">
        <f>IFERROR(LOOKUP(2,1/(U88:AY88&lt;&gt;""),U$2:AY$2),"")</f>
        <v/>
      </c>
      <c r="N88" s="59">
        <f>IF(OR(G88="",M88=""),"",G88-M88)</f>
        <v/>
      </c>
      <c r="O88" s="60" t="n"/>
      <c r="P88" s="61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  <c r="AG88" s="62" t="n"/>
      <c r="AH88" s="62" t="n"/>
      <c r="AI88" s="62" t="n"/>
      <c r="AJ88" s="62" t="n"/>
      <c r="AK88" s="62" t="n"/>
      <c r="AL88" s="62" t="n"/>
      <c r="AM88" s="62" t="n"/>
      <c r="AN88" s="62" t="n"/>
      <c r="AO88" s="62" t="n"/>
      <c r="AP88" s="62" t="n"/>
      <c r="AQ88" s="62" t="n"/>
      <c r="AR88" s="62" t="n"/>
      <c r="AS88" s="62" t="n"/>
      <c r="AT88" s="62" t="n"/>
      <c r="AU88" s="62" t="n"/>
      <c r="AV88" s="62" t="n"/>
      <c r="AW88" s="62" t="n"/>
      <c r="AX88" s="62" t="n"/>
      <c r="AY88" s="62" t="n"/>
    </row>
    <row r="89">
      <c r="A89" s="38">
        <f>IF(D89="","",COUNTA($D$71:D89))</f>
        <v/>
      </c>
      <c r="B89" s="52" t="n"/>
      <c r="C89" s="68" t="inlineStr">
        <is>
          <t>마케팅3팀</t>
        </is>
      </c>
      <c r="D89" s="52" t="n"/>
      <c r="E89" s="54" t="n"/>
      <c r="F89" s="52" t="n"/>
      <c r="G89" s="55" t="n"/>
      <c r="H89" s="54" t="n"/>
      <c r="I89" s="54" t="n"/>
      <c r="J89" s="54" t="n"/>
      <c r="K89" s="56">
        <f>IF(SUM(U89:AY89)=0,"",SUM(U89:AY89))</f>
        <v/>
      </c>
      <c r="L89" s="57">
        <f>IFERROR(INDEX(U$2:AY$2,MATCH(TRUE,U89:AY89&lt;&gt;"",0)),"")</f>
        <v/>
      </c>
      <c r="M89" s="58">
        <f>IFERROR(LOOKUP(2,1/(U89:AY89&lt;&gt;""),U$2:AY$2),"")</f>
        <v/>
      </c>
      <c r="N89" s="59">
        <f>IF(OR(G89="",M89=""),"",G89-M89)</f>
        <v/>
      </c>
      <c r="O89" s="60" t="n"/>
      <c r="P89" s="61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  <c r="AG89" s="62" t="n"/>
      <c r="AH89" s="62" t="n"/>
      <c r="AI89" s="62" t="n"/>
      <c r="AJ89" s="62" t="n"/>
      <c r="AK89" s="62" t="n"/>
      <c r="AL89" s="62" t="n"/>
      <c r="AM89" s="62" t="n"/>
      <c r="AN89" s="62" t="n"/>
      <c r="AO89" s="62" t="n"/>
      <c r="AP89" s="62" t="n"/>
      <c r="AQ89" s="62" t="n"/>
      <c r="AR89" s="62" t="n"/>
      <c r="AS89" s="62" t="n"/>
      <c r="AT89" s="62" t="n"/>
      <c r="AU89" s="62" t="n"/>
      <c r="AV89" s="62" t="n"/>
      <c r="AW89" s="62" t="n"/>
      <c r="AX89" s="62" t="n"/>
      <c r="AY89" s="62" t="n"/>
    </row>
    <row r="90">
      <c r="A90" s="38">
        <f>IF(D90="","",COUNTA($D$71:D90))</f>
        <v/>
      </c>
      <c r="B90" s="52" t="n"/>
      <c r="C90" s="68" t="inlineStr">
        <is>
          <t>마케팅3팀</t>
        </is>
      </c>
      <c r="D90" s="52" t="n"/>
      <c r="E90" s="54" t="n"/>
      <c r="F90" s="52" t="n"/>
      <c r="G90" s="55" t="n"/>
      <c r="H90" s="54" t="n"/>
      <c r="I90" s="54" t="n"/>
      <c r="J90" s="54" t="n"/>
      <c r="K90" s="56">
        <f>IF(SUM(U90:AY90)=0,"",SUM(U90:AY90))</f>
        <v/>
      </c>
      <c r="L90" s="57">
        <f>IFERROR(INDEX(U$2:AY$2,MATCH(TRUE,U90:AY90&lt;&gt;"",0)),"")</f>
        <v/>
      </c>
      <c r="M90" s="58">
        <f>IFERROR(LOOKUP(2,1/(U90:AY90&lt;&gt;""),U$2:AY$2),"")</f>
        <v/>
      </c>
      <c r="N90" s="59">
        <f>IF(OR(G90="",M90=""),"",G90-M90)</f>
        <v/>
      </c>
      <c r="O90" s="60" t="n"/>
      <c r="P90" s="61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  <c r="AG90" s="62" t="n"/>
      <c r="AH90" s="62" t="n"/>
      <c r="AI90" s="62" t="n"/>
      <c r="AJ90" s="62" t="n"/>
      <c r="AK90" s="62" t="n"/>
      <c r="AL90" s="62" t="n"/>
      <c r="AM90" s="62" t="n"/>
      <c r="AN90" s="62" t="n"/>
      <c r="AO90" s="62" t="n"/>
      <c r="AP90" s="62" t="n"/>
      <c r="AQ90" s="62" t="n"/>
      <c r="AR90" s="62" t="n"/>
      <c r="AS90" s="62" t="n"/>
      <c r="AT90" s="62" t="n"/>
      <c r="AU90" s="62" t="n"/>
      <c r="AV90" s="62" t="n"/>
      <c r="AW90" s="62" t="n"/>
      <c r="AX90" s="62" t="n"/>
      <c r="AY90" s="62" t="n"/>
    </row>
    <row r="91">
      <c r="A91" s="38">
        <f>IF(D91="","",COUNTA($D$71:D91))</f>
        <v/>
      </c>
      <c r="B91" s="52" t="n"/>
      <c r="C91" s="68" t="inlineStr">
        <is>
          <t>마케팅3팀</t>
        </is>
      </c>
      <c r="D91" s="52" t="n"/>
      <c r="E91" s="54" t="n"/>
      <c r="F91" s="52" t="n"/>
      <c r="G91" s="55" t="n"/>
      <c r="H91" s="54" t="n"/>
      <c r="I91" s="54" t="n"/>
      <c r="J91" s="54" t="n"/>
      <c r="K91" s="56">
        <f>IF(SUM(U91:AY91)=0,"",SUM(U91:AY91))</f>
        <v/>
      </c>
      <c r="L91" s="57">
        <f>IFERROR(INDEX(U$2:AY$2,MATCH(TRUE,U91:AY91&lt;&gt;"",0)),"")</f>
        <v/>
      </c>
      <c r="M91" s="58">
        <f>IFERROR(LOOKUP(2,1/(U91:AY91&lt;&gt;""),U$2:AY$2),"")</f>
        <v/>
      </c>
      <c r="N91" s="59">
        <f>IF(OR(G91="",M91=""),"",G91-M91)</f>
        <v/>
      </c>
      <c r="O91" s="60" t="n"/>
      <c r="P91" s="61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  <c r="AG91" s="62" t="n"/>
      <c r="AH91" s="62" t="n"/>
      <c r="AI91" s="62" t="n"/>
      <c r="AJ91" s="62" t="n"/>
      <c r="AK91" s="62" t="n"/>
      <c r="AL91" s="62" t="n"/>
      <c r="AM91" s="62" t="n"/>
      <c r="AN91" s="62" t="n"/>
      <c r="AO91" s="62" t="n"/>
      <c r="AP91" s="62" t="n"/>
      <c r="AQ91" s="62" t="n"/>
      <c r="AR91" s="62" t="n"/>
      <c r="AS91" s="62" t="n"/>
      <c r="AT91" s="62" t="n"/>
      <c r="AU91" s="62" t="n"/>
      <c r="AV91" s="62" t="n"/>
      <c r="AW91" s="62" t="n"/>
      <c r="AX91" s="62" t="n"/>
      <c r="AY91" s="62" t="n"/>
    </row>
    <row r="92">
      <c r="A92" s="38">
        <f>IF(D92="","",COUNTA($D$71:D92))</f>
        <v/>
      </c>
      <c r="B92" s="52" t="n"/>
      <c r="C92" s="68" t="inlineStr">
        <is>
          <t>마케팅3팀</t>
        </is>
      </c>
      <c r="D92" s="52" t="n"/>
      <c r="E92" s="54" t="n"/>
      <c r="F92" s="52" t="n"/>
      <c r="G92" s="55" t="n"/>
      <c r="H92" s="54" t="n"/>
      <c r="I92" s="54" t="n"/>
      <c r="J92" s="54" t="n"/>
      <c r="K92" s="56">
        <f>IF(SUM(U92:AY92)=0,"",SUM(U92:AY92))</f>
        <v/>
      </c>
      <c r="L92" s="57">
        <f>IFERROR(INDEX(U$2:AY$2,MATCH(TRUE,U92:AY92&lt;&gt;"",0)),"")</f>
        <v/>
      </c>
      <c r="M92" s="58">
        <f>IFERROR(LOOKUP(2,1/(U92:AY92&lt;&gt;""),U$2:AY$2),"")</f>
        <v/>
      </c>
      <c r="N92" s="59">
        <f>IF(OR(G92="",M92=""),"",G92-M92)</f>
        <v/>
      </c>
      <c r="O92" s="60" t="n"/>
      <c r="P92" s="61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  <c r="AG92" s="62" t="n"/>
      <c r="AH92" s="62" t="n"/>
      <c r="AI92" s="62" t="n"/>
      <c r="AJ92" s="62" t="n"/>
      <c r="AK92" s="62" t="n"/>
      <c r="AL92" s="62" t="n"/>
      <c r="AM92" s="62" t="n"/>
      <c r="AN92" s="62" t="n"/>
      <c r="AO92" s="62" t="n"/>
      <c r="AP92" s="62" t="n"/>
      <c r="AQ92" s="62" t="n"/>
      <c r="AR92" s="62" t="n"/>
      <c r="AS92" s="62" t="n"/>
      <c r="AT92" s="62" t="n"/>
      <c r="AU92" s="62" t="n"/>
      <c r="AV92" s="62" t="n"/>
      <c r="AW92" s="62" t="n"/>
      <c r="AX92" s="62" t="n"/>
      <c r="AY92" s="62" t="n"/>
    </row>
    <row r="93">
      <c r="A93" s="38">
        <f>IF(D93="","",COUNTA($D$71:D93))</f>
        <v/>
      </c>
      <c r="B93" s="52" t="n"/>
      <c r="C93" s="68" t="inlineStr">
        <is>
          <t>마케팅3팀</t>
        </is>
      </c>
      <c r="D93" s="52" t="n"/>
      <c r="E93" s="54" t="n"/>
      <c r="F93" s="52" t="n"/>
      <c r="G93" s="55" t="n"/>
      <c r="H93" s="54" t="n"/>
      <c r="I93" s="54" t="n"/>
      <c r="J93" s="54" t="n"/>
      <c r="K93" s="56">
        <f>IF(SUM(U93:AY93)=0,"",SUM(U93:AY93))</f>
        <v/>
      </c>
      <c r="L93" s="57">
        <f>IFERROR(INDEX(U$2:AY$2,MATCH(TRUE,U93:AY93&lt;&gt;"",0)),"")</f>
        <v/>
      </c>
      <c r="M93" s="58">
        <f>IFERROR(LOOKUP(2,1/(U93:AY93&lt;&gt;""),U$2:AY$2),"")</f>
        <v/>
      </c>
      <c r="N93" s="59">
        <f>IF(OR(G93="",M93=""),"",G93-M93)</f>
        <v/>
      </c>
      <c r="O93" s="60" t="n"/>
      <c r="P93" s="61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  <c r="AG93" s="62" t="n"/>
      <c r="AH93" s="62" t="n"/>
      <c r="AI93" s="62" t="n"/>
      <c r="AJ93" s="62" t="n"/>
      <c r="AK93" s="62" t="n"/>
      <c r="AL93" s="62" t="n"/>
      <c r="AM93" s="62" t="n"/>
      <c r="AN93" s="62" t="n"/>
      <c r="AO93" s="62" t="n"/>
      <c r="AP93" s="62" t="n"/>
      <c r="AQ93" s="62" t="n"/>
      <c r="AR93" s="62" t="n"/>
      <c r="AS93" s="62" t="n"/>
      <c r="AT93" s="62" t="n"/>
      <c r="AU93" s="62" t="n"/>
      <c r="AV93" s="62" t="n"/>
      <c r="AW93" s="62" t="n"/>
      <c r="AX93" s="62" t="n"/>
      <c r="AY93" s="62" t="n"/>
    </row>
    <row r="94">
      <c r="A94" s="38">
        <f>IF(D94="","",COUNTA($D$71:D94))</f>
        <v/>
      </c>
      <c r="B94" s="52" t="n"/>
      <c r="C94" s="68" t="inlineStr">
        <is>
          <t>마케팅3팀</t>
        </is>
      </c>
      <c r="D94" s="52" t="n"/>
      <c r="E94" s="54" t="n"/>
      <c r="F94" s="52" t="n"/>
      <c r="G94" s="55" t="n"/>
      <c r="H94" s="54" t="n"/>
      <c r="I94" s="54" t="n"/>
      <c r="J94" s="54" t="n"/>
      <c r="K94" s="56">
        <f>IF(SUM(U94:AY94)=0,"",SUM(U94:AY94))</f>
        <v/>
      </c>
      <c r="L94" s="57">
        <f>IFERROR(INDEX(U$2:AY$2,MATCH(TRUE,U94:AY94&lt;&gt;"",0)),"")</f>
        <v/>
      </c>
      <c r="M94" s="58">
        <f>IFERROR(LOOKUP(2,1/(U94:AY94&lt;&gt;""),U$2:AY$2),"")</f>
        <v/>
      </c>
      <c r="N94" s="59">
        <f>IF(OR(G94="",M94=""),"",G94-M94)</f>
        <v/>
      </c>
      <c r="O94" s="60" t="n"/>
      <c r="P94" s="61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  <c r="AG94" s="62" t="n"/>
      <c r="AH94" s="62" t="n"/>
      <c r="AI94" s="62" t="n"/>
      <c r="AJ94" s="62" t="n"/>
      <c r="AK94" s="62" t="n"/>
      <c r="AL94" s="62" t="n"/>
      <c r="AM94" s="62" t="n"/>
      <c r="AN94" s="62" t="n"/>
      <c r="AO94" s="62" t="n"/>
      <c r="AP94" s="62" t="n"/>
      <c r="AQ94" s="62" t="n"/>
      <c r="AR94" s="62" t="n"/>
      <c r="AS94" s="62" t="n"/>
      <c r="AT94" s="62" t="n"/>
      <c r="AU94" s="62" t="n"/>
      <c r="AV94" s="62" t="n"/>
      <c r="AW94" s="62" t="n"/>
      <c r="AX94" s="62" t="n"/>
      <c r="AY94" s="62" t="n"/>
    </row>
    <row r="95">
      <c r="A95" s="38">
        <f>IF(D95="","",COUNTA($D$71:D95))</f>
        <v/>
      </c>
      <c r="B95" s="52" t="n"/>
      <c r="C95" s="68" t="inlineStr">
        <is>
          <t>마케팅3팀</t>
        </is>
      </c>
      <c r="D95" s="52" t="n"/>
      <c r="E95" s="54" t="n"/>
      <c r="F95" s="52" t="n"/>
      <c r="G95" s="55" t="n"/>
      <c r="H95" s="54" t="n"/>
      <c r="I95" s="54" t="n"/>
      <c r="J95" s="54" t="n"/>
      <c r="K95" s="56">
        <f>IF(SUM(U95:AY95)=0,"",SUM(U95:AY95))</f>
        <v/>
      </c>
      <c r="L95" s="57">
        <f>IFERROR(INDEX(U$2:AY$2,MATCH(TRUE,U95:AY95&lt;&gt;"",0)),"")</f>
        <v/>
      </c>
      <c r="M95" s="58">
        <f>IFERROR(LOOKUP(2,1/(U95:AY95&lt;&gt;""),U$2:AY$2),"")</f>
        <v/>
      </c>
      <c r="N95" s="59">
        <f>IF(OR(G95="",M95=""),"",G95-M95)</f>
        <v/>
      </c>
      <c r="O95" s="60" t="n"/>
      <c r="P95" s="61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  <c r="AG95" s="62" t="n"/>
      <c r="AH95" s="62" t="n"/>
      <c r="AI95" s="62" t="n"/>
      <c r="AJ95" s="62" t="n"/>
      <c r="AK95" s="62" t="n"/>
      <c r="AL95" s="62" t="n"/>
      <c r="AM95" s="62" t="n"/>
      <c r="AN95" s="62" t="n"/>
      <c r="AO95" s="62" t="n"/>
      <c r="AP95" s="62" t="n"/>
      <c r="AQ95" s="62" t="n"/>
      <c r="AR95" s="62" t="n"/>
      <c r="AS95" s="62" t="n"/>
      <c r="AT95" s="62" t="n"/>
      <c r="AU95" s="62" t="n"/>
      <c r="AV95" s="62" t="n"/>
      <c r="AW95" s="62" t="n"/>
      <c r="AX95" s="62" t="n"/>
      <c r="AY95" s="62" t="n"/>
    </row>
    <row r="96">
      <c r="A96" s="38">
        <f>IF(D96="","",COUNTA($D$71:D96))</f>
        <v/>
      </c>
      <c r="B96" s="52" t="n"/>
      <c r="C96" s="68" t="inlineStr">
        <is>
          <t>마케팅3팀</t>
        </is>
      </c>
      <c r="D96" s="52" t="n"/>
      <c r="E96" s="54" t="n"/>
      <c r="F96" s="52" t="n"/>
      <c r="G96" s="55" t="n"/>
      <c r="H96" s="54" t="n"/>
      <c r="I96" s="54" t="n"/>
      <c r="J96" s="54" t="n"/>
      <c r="K96" s="56">
        <f>IF(SUM(U96:AY96)=0,"",SUM(U96:AY96))</f>
        <v/>
      </c>
      <c r="L96" s="57">
        <f>IFERROR(INDEX(U$2:AY$2,MATCH(TRUE,U96:AY96&lt;&gt;"",0)),"")</f>
        <v/>
      </c>
      <c r="M96" s="58">
        <f>IFERROR(LOOKUP(2,1/(U96:AY96&lt;&gt;""),U$2:AY$2),"")</f>
        <v/>
      </c>
      <c r="N96" s="59">
        <f>IF(OR(G96="",M96=""),"",G96-M96)</f>
        <v/>
      </c>
      <c r="O96" s="60" t="n"/>
      <c r="P96" s="61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  <c r="AG96" s="62" t="n"/>
      <c r="AH96" s="62" t="n"/>
      <c r="AI96" s="62" t="n"/>
      <c r="AJ96" s="62" t="n"/>
      <c r="AK96" s="62" t="n"/>
      <c r="AL96" s="62" t="n"/>
      <c r="AM96" s="62" t="n"/>
      <c r="AN96" s="62" t="n"/>
      <c r="AO96" s="62" t="n"/>
      <c r="AP96" s="62" t="n"/>
      <c r="AQ96" s="62" t="n"/>
      <c r="AR96" s="62" t="n"/>
      <c r="AS96" s="62" t="n"/>
      <c r="AT96" s="62" t="n"/>
      <c r="AU96" s="62" t="n"/>
      <c r="AV96" s="62" t="n"/>
      <c r="AW96" s="62" t="n"/>
      <c r="AX96" s="62" t="n"/>
      <c r="AY96" s="62" t="n"/>
    </row>
    <row r="97">
      <c r="A97" s="38">
        <f>IF(D97="","",COUNTA($D$71:D97))</f>
        <v/>
      </c>
      <c r="B97" s="52" t="n"/>
      <c r="C97" s="68" t="inlineStr">
        <is>
          <t>마케팅3팀</t>
        </is>
      </c>
      <c r="D97" s="52" t="n"/>
      <c r="E97" s="54" t="n"/>
      <c r="F97" s="52" t="n"/>
      <c r="G97" s="55" t="n"/>
      <c r="H97" s="54" t="n"/>
      <c r="I97" s="54" t="n"/>
      <c r="J97" s="54" t="n"/>
      <c r="K97" s="56">
        <f>IF(SUM(U97:AY97)=0,"",SUM(U97:AY97))</f>
        <v/>
      </c>
      <c r="L97" s="57">
        <f>IFERROR(INDEX(U$2:AY$2,MATCH(TRUE,U97:AY97&lt;&gt;"",0)),"")</f>
        <v/>
      </c>
      <c r="M97" s="58">
        <f>IFERROR(LOOKUP(2,1/(U97:AY97&lt;&gt;""),U$2:AY$2),"")</f>
        <v/>
      </c>
      <c r="N97" s="59">
        <f>IF(OR(G97="",M97=""),"",G97-M97)</f>
        <v/>
      </c>
      <c r="O97" s="60" t="n"/>
      <c r="P97" s="61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  <c r="AG97" s="62" t="n"/>
      <c r="AH97" s="62" t="n"/>
      <c r="AI97" s="62" t="n"/>
      <c r="AJ97" s="62" t="n"/>
      <c r="AK97" s="62" t="n"/>
      <c r="AL97" s="62" t="n"/>
      <c r="AM97" s="62" t="n"/>
      <c r="AN97" s="62" t="n"/>
      <c r="AO97" s="62" t="n"/>
      <c r="AP97" s="62" t="n"/>
      <c r="AQ97" s="62" t="n"/>
      <c r="AR97" s="62" t="n"/>
      <c r="AS97" s="62" t="n"/>
      <c r="AT97" s="62" t="n"/>
      <c r="AU97" s="62" t="n"/>
      <c r="AV97" s="62" t="n"/>
      <c r="AW97" s="62" t="n"/>
      <c r="AX97" s="62" t="n"/>
      <c r="AY97" s="62" t="n"/>
    </row>
    <row r="98">
      <c r="A98" s="38">
        <f>IF(D98="","",COUNTA($D$71:D98))</f>
        <v/>
      </c>
      <c r="B98" s="52" t="n"/>
      <c r="C98" s="68" t="inlineStr">
        <is>
          <t>마케팅3팀</t>
        </is>
      </c>
      <c r="D98" s="52" t="n"/>
      <c r="E98" s="54" t="n"/>
      <c r="F98" s="52" t="n"/>
      <c r="G98" s="55" t="n"/>
      <c r="H98" s="54" t="n"/>
      <c r="I98" s="54" t="n"/>
      <c r="J98" s="54" t="n"/>
      <c r="K98" s="56">
        <f>IF(SUM(U98:AY98)=0,"",SUM(U98:AY98))</f>
        <v/>
      </c>
      <c r="L98" s="57">
        <f>IFERROR(INDEX(U$2:AY$2,MATCH(TRUE,U98:AY98&lt;&gt;"",0)),"")</f>
        <v/>
      </c>
      <c r="M98" s="58">
        <f>IFERROR(LOOKUP(2,1/(U98:AY98&lt;&gt;""),U$2:AY$2),"")</f>
        <v/>
      </c>
      <c r="N98" s="59">
        <f>IF(OR(G98="",M98=""),"",G98-M98)</f>
        <v/>
      </c>
      <c r="O98" s="60" t="n"/>
      <c r="P98" s="61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  <c r="AG98" s="62" t="n"/>
      <c r="AH98" s="62" t="n"/>
      <c r="AI98" s="62" t="n"/>
      <c r="AJ98" s="62" t="n"/>
      <c r="AK98" s="62" t="n"/>
      <c r="AL98" s="62" t="n"/>
      <c r="AM98" s="62" t="n"/>
      <c r="AN98" s="62" t="n"/>
      <c r="AO98" s="62" t="n"/>
      <c r="AP98" s="62" t="n"/>
      <c r="AQ98" s="62" t="n"/>
      <c r="AR98" s="62" t="n"/>
      <c r="AS98" s="62" t="n"/>
      <c r="AT98" s="62" t="n"/>
      <c r="AU98" s="62" t="n"/>
      <c r="AV98" s="62" t="n"/>
      <c r="AW98" s="62" t="n"/>
      <c r="AX98" s="62" t="n"/>
      <c r="AY98" s="62" t="n"/>
    </row>
    <row r="99">
      <c r="A99" s="38">
        <f>IF(D99="","",COUNTA($D$71:D99))</f>
        <v/>
      </c>
      <c r="B99" s="52" t="n"/>
      <c r="C99" s="68" t="inlineStr">
        <is>
          <t>마케팅3팀</t>
        </is>
      </c>
      <c r="D99" s="52" t="n"/>
      <c r="E99" s="54" t="n"/>
      <c r="F99" s="52" t="n"/>
      <c r="G99" s="55" t="n"/>
      <c r="H99" s="54" t="n"/>
      <c r="I99" s="54" t="n"/>
      <c r="J99" s="54" t="n"/>
      <c r="K99" s="56">
        <f>IF(SUM(U99:AY99)=0,"",SUM(U99:AY99))</f>
        <v/>
      </c>
      <c r="L99" s="57">
        <f>IFERROR(INDEX(U$2:AY$2,MATCH(TRUE,U99:AY99&lt;&gt;"",0)),"")</f>
        <v/>
      </c>
      <c r="M99" s="58">
        <f>IFERROR(LOOKUP(2,1/(U99:AY99&lt;&gt;""),U$2:AY$2),"")</f>
        <v/>
      </c>
      <c r="N99" s="59">
        <f>IF(OR(G99="",M99=""),"",G99-M99)</f>
        <v/>
      </c>
      <c r="O99" s="60" t="n"/>
      <c r="P99" s="61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  <c r="AG99" s="62" t="n"/>
      <c r="AH99" s="62" t="n"/>
      <c r="AI99" s="62" t="n"/>
      <c r="AJ99" s="62" t="n"/>
      <c r="AK99" s="62" t="n"/>
      <c r="AL99" s="62" t="n"/>
      <c r="AM99" s="62" t="n"/>
      <c r="AN99" s="62" t="n"/>
      <c r="AO99" s="62" t="n"/>
      <c r="AP99" s="62" t="n"/>
      <c r="AQ99" s="62" t="n"/>
      <c r="AR99" s="62" t="n"/>
      <c r="AS99" s="62" t="n"/>
      <c r="AT99" s="62" t="n"/>
      <c r="AU99" s="62" t="n"/>
      <c r="AV99" s="62" t="n"/>
      <c r="AW99" s="62" t="n"/>
      <c r="AX99" s="62" t="n"/>
      <c r="AY99" s="62" t="n"/>
    </row>
    <row r="100">
      <c r="A100" s="38">
        <f>IF(D100="","",COUNTA($D$71:D100))</f>
        <v/>
      </c>
      <c r="B100" s="52" t="n"/>
      <c r="C100" s="68" t="inlineStr">
        <is>
          <t>마케팅3팀</t>
        </is>
      </c>
      <c r="D100" s="52" t="n"/>
      <c r="E100" s="54" t="n"/>
      <c r="F100" s="52" t="n"/>
      <c r="G100" s="55" t="n"/>
      <c r="H100" s="54" t="n"/>
      <c r="I100" s="54" t="n"/>
      <c r="J100" s="54" t="n"/>
      <c r="K100" s="56">
        <f>IF(SUM(U100:AY100)=0,"",SUM(U100:AY100))</f>
        <v/>
      </c>
      <c r="L100" s="57">
        <f>IFERROR(INDEX(U$2:AY$2,MATCH(TRUE,U100:AY100&lt;&gt;"",0)),"")</f>
        <v/>
      </c>
      <c r="M100" s="58">
        <f>IFERROR(LOOKUP(2,1/(U100:AY100&lt;&gt;""),U$2:AY$2),"")</f>
        <v/>
      </c>
      <c r="N100" s="59">
        <f>IF(OR(G100="",M100=""),"",G100-M100)</f>
        <v/>
      </c>
      <c r="O100" s="60" t="n"/>
      <c r="P100" s="61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  <c r="AG100" s="62" t="n"/>
      <c r="AH100" s="62" t="n"/>
      <c r="AI100" s="62" t="n"/>
      <c r="AJ100" s="62" t="n"/>
      <c r="AK100" s="62" t="n"/>
      <c r="AL100" s="62" t="n"/>
      <c r="AM100" s="62" t="n"/>
      <c r="AN100" s="62" t="n"/>
      <c r="AO100" s="62" t="n"/>
      <c r="AP100" s="62" t="n"/>
      <c r="AQ100" s="62" t="n"/>
      <c r="AR100" s="62" t="n"/>
      <c r="AS100" s="62" t="n"/>
      <c r="AT100" s="62" t="n"/>
      <c r="AU100" s="62" t="n"/>
      <c r="AV100" s="62" t="n"/>
      <c r="AW100" s="62" t="n"/>
      <c r="AX100" s="62" t="n"/>
      <c r="AY100" s="62" t="n"/>
    </row>
    <row r="101">
      <c r="A101" s="69" t="inlineStr">
        <is>
          <t>마케팅4팀  (102~131행)</t>
        </is>
      </c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  <c r="AJ101" s="70" t="n"/>
      <c r="AK101" s="70" t="n"/>
      <c r="AL101" s="70" t="n"/>
      <c r="AM101" s="70" t="n"/>
      <c r="AN101" s="70" t="n"/>
      <c r="AO101" s="70" t="n"/>
      <c r="AP101" s="70" t="n"/>
      <c r="AQ101" s="70" t="n"/>
      <c r="AR101" s="70" t="n"/>
      <c r="AS101" s="70" t="n"/>
      <c r="AT101" s="70" t="n"/>
      <c r="AU101" s="70" t="n"/>
      <c r="AV101" s="70" t="n"/>
      <c r="AW101" s="70" t="n"/>
      <c r="AX101" s="70" t="n"/>
      <c r="AY101" s="70" t="n"/>
    </row>
    <row r="102">
      <c r="A102" s="38">
        <f>IF(D102="","",COUNTA($D$102:D102))</f>
        <v/>
      </c>
      <c r="B102" s="52" t="n"/>
      <c r="C102" s="71" t="inlineStr">
        <is>
          <t>마케팅4팀</t>
        </is>
      </c>
      <c r="D102" s="52" t="n"/>
      <c r="E102" s="54" t="n"/>
      <c r="F102" s="52" t="n"/>
      <c r="G102" s="55" t="n"/>
      <c r="H102" s="54" t="n"/>
      <c r="I102" s="54" t="n"/>
      <c r="J102" s="54" t="n"/>
      <c r="K102" s="56">
        <f>IF(SUM(U102:AY102)=0,"",SUM(U102:AY102))</f>
        <v/>
      </c>
      <c r="L102" s="57">
        <f>IFERROR(INDEX(U$2:AY$2,MATCH(TRUE,U102:AY102&lt;&gt;"",0)),"")</f>
        <v/>
      </c>
      <c r="M102" s="58">
        <f>IFERROR(LOOKUP(2,1/(U102:AY102&lt;&gt;""),U$2:AY$2),"")</f>
        <v/>
      </c>
      <c r="N102" s="59">
        <f>IF(OR(G102="",M102=""),"",G102-M102)</f>
        <v/>
      </c>
      <c r="O102" s="60" t="n"/>
      <c r="P102" s="61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  <c r="AG102" s="62" t="n"/>
      <c r="AH102" s="62" t="n"/>
      <c r="AI102" s="62" t="n"/>
      <c r="AJ102" s="62" t="n"/>
      <c r="AK102" s="62" t="n"/>
      <c r="AL102" s="62" t="n"/>
      <c r="AM102" s="62" t="n"/>
      <c r="AN102" s="62" t="n"/>
      <c r="AO102" s="62" t="n"/>
      <c r="AP102" s="62" t="n"/>
      <c r="AQ102" s="62" t="n"/>
      <c r="AR102" s="62" t="n"/>
      <c r="AS102" s="62" t="n"/>
      <c r="AT102" s="62" t="n"/>
      <c r="AU102" s="62" t="n"/>
      <c r="AV102" s="62" t="n"/>
      <c r="AW102" s="62" t="n"/>
      <c r="AX102" s="62" t="n"/>
      <c r="AY102" s="62" t="n"/>
    </row>
    <row r="103">
      <c r="A103" s="38">
        <f>IF(D103="","",COUNTA($D$102:D103))</f>
        <v/>
      </c>
      <c r="B103" s="52" t="n"/>
      <c r="C103" s="71" t="inlineStr">
        <is>
          <t>마케팅4팀</t>
        </is>
      </c>
      <c r="D103" s="52" t="n"/>
      <c r="E103" s="54" t="n"/>
      <c r="F103" s="52" t="n"/>
      <c r="G103" s="55" t="n"/>
      <c r="H103" s="54" t="n"/>
      <c r="I103" s="54" t="n"/>
      <c r="J103" s="54" t="n"/>
      <c r="K103" s="56">
        <f>IF(SUM(U103:AY103)=0,"",SUM(U103:AY103))</f>
        <v/>
      </c>
      <c r="L103" s="57">
        <f>IFERROR(INDEX(U$2:AY$2,MATCH(TRUE,U103:AY103&lt;&gt;"",0)),"")</f>
        <v/>
      </c>
      <c r="M103" s="58">
        <f>IFERROR(LOOKUP(2,1/(U103:AY103&lt;&gt;""),U$2:AY$2),"")</f>
        <v/>
      </c>
      <c r="N103" s="59">
        <f>IF(OR(G103="",M103=""),"",G103-M103)</f>
        <v/>
      </c>
      <c r="O103" s="60" t="n"/>
      <c r="P103" s="61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  <c r="AG103" s="62" t="n"/>
      <c r="AH103" s="62" t="n"/>
      <c r="AI103" s="62" t="n"/>
      <c r="AJ103" s="62" t="n"/>
      <c r="AK103" s="62" t="n"/>
      <c r="AL103" s="62" t="n"/>
      <c r="AM103" s="62" t="n"/>
      <c r="AN103" s="62" t="n"/>
      <c r="AO103" s="62" t="n"/>
      <c r="AP103" s="62" t="n"/>
      <c r="AQ103" s="62" t="n"/>
      <c r="AR103" s="62" t="n"/>
      <c r="AS103" s="62" t="n"/>
      <c r="AT103" s="62" t="n"/>
      <c r="AU103" s="62" t="n"/>
      <c r="AV103" s="62" t="n"/>
      <c r="AW103" s="62" t="n"/>
      <c r="AX103" s="62" t="n"/>
      <c r="AY103" s="62" t="n"/>
    </row>
    <row r="104">
      <c r="A104" s="38">
        <f>IF(D104="","",COUNTA($D$102:D104))</f>
        <v/>
      </c>
      <c r="B104" s="52" t="n"/>
      <c r="C104" s="71" t="inlineStr">
        <is>
          <t>마케팅4팀</t>
        </is>
      </c>
      <c r="D104" s="52" t="n"/>
      <c r="E104" s="54" t="n"/>
      <c r="F104" s="52" t="n"/>
      <c r="G104" s="55" t="n"/>
      <c r="H104" s="54" t="n"/>
      <c r="I104" s="54" t="n"/>
      <c r="J104" s="54" t="n"/>
      <c r="K104" s="56">
        <f>IF(SUM(U104:AY104)=0,"",SUM(U104:AY104))</f>
        <v/>
      </c>
      <c r="L104" s="57">
        <f>IFERROR(INDEX(U$2:AY$2,MATCH(TRUE,U104:AY104&lt;&gt;"",0)),"")</f>
        <v/>
      </c>
      <c r="M104" s="58">
        <f>IFERROR(LOOKUP(2,1/(U104:AY104&lt;&gt;""),U$2:AY$2),"")</f>
        <v/>
      </c>
      <c r="N104" s="59">
        <f>IF(OR(G104="",M104=""),"",G104-M104)</f>
        <v/>
      </c>
      <c r="O104" s="60" t="n"/>
      <c r="P104" s="61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  <c r="AG104" s="62" t="n"/>
      <c r="AH104" s="62" t="n"/>
      <c r="AI104" s="62" t="n"/>
      <c r="AJ104" s="62" t="n"/>
      <c r="AK104" s="62" t="n"/>
      <c r="AL104" s="62" t="n"/>
      <c r="AM104" s="62" t="n"/>
      <c r="AN104" s="62" t="n"/>
      <c r="AO104" s="62" t="n"/>
      <c r="AP104" s="62" t="n"/>
      <c r="AQ104" s="62" t="n"/>
      <c r="AR104" s="62" t="n"/>
      <c r="AS104" s="62" t="n"/>
      <c r="AT104" s="62" t="n"/>
      <c r="AU104" s="62" t="n"/>
      <c r="AV104" s="62" t="n"/>
      <c r="AW104" s="62" t="n"/>
      <c r="AX104" s="62" t="n"/>
      <c r="AY104" s="62" t="n"/>
    </row>
    <row r="105">
      <c r="A105" s="38">
        <f>IF(D105="","",COUNTA($D$102:D105))</f>
        <v/>
      </c>
      <c r="B105" s="52" t="n"/>
      <c r="C105" s="71" t="inlineStr">
        <is>
          <t>마케팅4팀</t>
        </is>
      </c>
      <c r="D105" s="52" t="n"/>
      <c r="E105" s="54" t="n"/>
      <c r="F105" s="52" t="n"/>
      <c r="G105" s="55" t="n"/>
      <c r="H105" s="54" t="n"/>
      <c r="I105" s="54" t="n"/>
      <c r="J105" s="54" t="n"/>
      <c r="K105" s="56">
        <f>IF(SUM(U105:AY105)=0,"",SUM(U105:AY105))</f>
        <v/>
      </c>
      <c r="L105" s="57">
        <f>IFERROR(INDEX(U$2:AY$2,MATCH(TRUE,U105:AY105&lt;&gt;"",0)),"")</f>
        <v/>
      </c>
      <c r="M105" s="58">
        <f>IFERROR(LOOKUP(2,1/(U105:AY105&lt;&gt;""),U$2:AY$2),"")</f>
        <v/>
      </c>
      <c r="N105" s="59">
        <f>IF(OR(G105="",M105=""),"",G105-M105)</f>
        <v/>
      </c>
      <c r="O105" s="60" t="n"/>
      <c r="P105" s="61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  <c r="AG105" s="62" t="n"/>
      <c r="AH105" s="62" t="n"/>
      <c r="AI105" s="62" t="n"/>
      <c r="AJ105" s="62" t="n"/>
      <c r="AK105" s="62" t="n"/>
      <c r="AL105" s="62" t="n"/>
      <c r="AM105" s="62" t="n"/>
      <c r="AN105" s="62" t="n"/>
      <c r="AO105" s="62" t="n"/>
      <c r="AP105" s="62" t="n"/>
      <c r="AQ105" s="62" t="n"/>
      <c r="AR105" s="62" t="n"/>
      <c r="AS105" s="62" t="n"/>
      <c r="AT105" s="62" t="n"/>
      <c r="AU105" s="62" t="n"/>
      <c r="AV105" s="62" t="n"/>
      <c r="AW105" s="62" t="n"/>
      <c r="AX105" s="62" t="n"/>
      <c r="AY105" s="62" t="n"/>
    </row>
    <row r="106">
      <c r="A106" s="38">
        <f>IF(D106="","",COUNTA($D$102:D106))</f>
        <v/>
      </c>
      <c r="B106" s="52" t="n"/>
      <c r="C106" s="71" t="inlineStr">
        <is>
          <t>마케팅4팀</t>
        </is>
      </c>
      <c r="D106" s="52" t="n"/>
      <c r="E106" s="54" t="n"/>
      <c r="F106" s="52" t="n"/>
      <c r="G106" s="55" t="n"/>
      <c r="H106" s="54" t="n"/>
      <c r="I106" s="54" t="n"/>
      <c r="J106" s="54" t="n"/>
      <c r="K106" s="56">
        <f>IF(SUM(U106:AY106)=0,"",SUM(U106:AY106))</f>
        <v/>
      </c>
      <c r="L106" s="57">
        <f>IFERROR(INDEX(U$2:AY$2,MATCH(TRUE,U106:AY106&lt;&gt;"",0)),"")</f>
        <v/>
      </c>
      <c r="M106" s="58">
        <f>IFERROR(LOOKUP(2,1/(U106:AY106&lt;&gt;""),U$2:AY$2),"")</f>
        <v/>
      </c>
      <c r="N106" s="59">
        <f>IF(OR(G106="",M106=""),"",G106-M106)</f>
        <v/>
      </c>
      <c r="O106" s="60" t="n"/>
      <c r="P106" s="61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  <c r="AG106" s="62" t="n"/>
      <c r="AH106" s="62" t="n"/>
      <c r="AI106" s="62" t="n"/>
      <c r="AJ106" s="62" t="n"/>
      <c r="AK106" s="62" t="n"/>
      <c r="AL106" s="62" t="n"/>
      <c r="AM106" s="62" t="n"/>
      <c r="AN106" s="62" t="n"/>
      <c r="AO106" s="62" t="n"/>
      <c r="AP106" s="62" t="n"/>
      <c r="AQ106" s="62" t="n"/>
      <c r="AR106" s="62" t="n"/>
      <c r="AS106" s="62" t="n"/>
      <c r="AT106" s="62" t="n"/>
      <c r="AU106" s="62" t="n"/>
      <c r="AV106" s="62" t="n"/>
      <c r="AW106" s="62" t="n"/>
      <c r="AX106" s="62" t="n"/>
      <c r="AY106" s="62" t="n"/>
    </row>
    <row r="107">
      <c r="A107" s="38">
        <f>IF(D107="","",COUNTA($D$102:D107))</f>
        <v/>
      </c>
      <c r="B107" s="52" t="n"/>
      <c r="C107" s="71" t="inlineStr">
        <is>
          <t>마케팅4팀</t>
        </is>
      </c>
      <c r="D107" s="52" t="n"/>
      <c r="E107" s="54" t="n"/>
      <c r="F107" s="52" t="n"/>
      <c r="G107" s="55" t="n"/>
      <c r="H107" s="54" t="n"/>
      <c r="I107" s="54" t="n"/>
      <c r="J107" s="54" t="n"/>
      <c r="K107" s="56">
        <f>IF(SUM(U107:AY107)=0,"",SUM(U107:AY107))</f>
        <v/>
      </c>
      <c r="L107" s="57">
        <f>IFERROR(INDEX(U$2:AY$2,MATCH(TRUE,U107:AY107&lt;&gt;"",0)),"")</f>
        <v/>
      </c>
      <c r="M107" s="58">
        <f>IFERROR(LOOKUP(2,1/(U107:AY107&lt;&gt;""),U$2:AY$2),"")</f>
        <v/>
      </c>
      <c r="N107" s="59">
        <f>IF(OR(G107="",M107=""),"",G107-M107)</f>
        <v/>
      </c>
      <c r="O107" s="60" t="n"/>
      <c r="P107" s="61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  <c r="AG107" s="62" t="n"/>
      <c r="AH107" s="62" t="n"/>
      <c r="AI107" s="62" t="n"/>
      <c r="AJ107" s="62" t="n"/>
      <c r="AK107" s="62" t="n"/>
      <c r="AL107" s="62" t="n"/>
      <c r="AM107" s="62" t="n"/>
      <c r="AN107" s="62" t="n"/>
      <c r="AO107" s="62" t="n"/>
      <c r="AP107" s="62" t="n"/>
      <c r="AQ107" s="62" t="n"/>
      <c r="AR107" s="62" t="n"/>
      <c r="AS107" s="62" t="n"/>
      <c r="AT107" s="62" t="n"/>
      <c r="AU107" s="62" t="n"/>
      <c r="AV107" s="62" t="n"/>
      <c r="AW107" s="62" t="n"/>
      <c r="AX107" s="62" t="n"/>
      <c r="AY107" s="62" t="n"/>
    </row>
    <row r="108">
      <c r="A108" s="38">
        <f>IF(D108="","",COUNTA($D$102:D108))</f>
        <v/>
      </c>
      <c r="B108" s="52" t="n"/>
      <c r="C108" s="71" t="inlineStr">
        <is>
          <t>마케팅4팀</t>
        </is>
      </c>
      <c r="D108" s="52" t="n"/>
      <c r="E108" s="54" t="n"/>
      <c r="F108" s="52" t="n"/>
      <c r="G108" s="55" t="n"/>
      <c r="H108" s="54" t="n"/>
      <c r="I108" s="54" t="n"/>
      <c r="J108" s="54" t="n"/>
      <c r="K108" s="56">
        <f>IF(SUM(U108:AY108)=0,"",SUM(U108:AY108))</f>
        <v/>
      </c>
      <c r="L108" s="57">
        <f>IFERROR(INDEX(U$2:AY$2,MATCH(TRUE,U108:AY108&lt;&gt;"",0)),"")</f>
        <v/>
      </c>
      <c r="M108" s="58">
        <f>IFERROR(LOOKUP(2,1/(U108:AY108&lt;&gt;""),U$2:AY$2),"")</f>
        <v/>
      </c>
      <c r="N108" s="59">
        <f>IF(OR(G108="",M108=""),"",G108-M108)</f>
        <v/>
      </c>
      <c r="O108" s="60" t="n"/>
      <c r="P108" s="61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  <c r="AG108" s="62" t="n"/>
      <c r="AH108" s="62" t="n"/>
      <c r="AI108" s="62" t="n"/>
      <c r="AJ108" s="62" t="n"/>
      <c r="AK108" s="62" t="n"/>
      <c r="AL108" s="62" t="n"/>
      <c r="AM108" s="62" t="n"/>
      <c r="AN108" s="62" t="n"/>
      <c r="AO108" s="62" t="n"/>
      <c r="AP108" s="62" t="n"/>
      <c r="AQ108" s="62" t="n"/>
      <c r="AR108" s="62" t="n"/>
      <c r="AS108" s="62" t="n"/>
      <c r="AT108" s="62" t="n"/>
      <c r="AU108" s="62" t="n"/>
      <c r="AV108" s="62" t="n"/>
      <c r="AW108" s="62" t="n"/>
      <c r="AX108" s="62" t="n"/>
      <c r="AY108" s="62" t="n"/>
    </row>
    <row r="109">
      <c r="A109" s="38">
        <f>IF(D109="","",COUNTA($D$102:D109))</f>
        <v/>
      </c>
      <c r="B109" s="52" t="n"/>
      <c r="C109" s="71" t="inlineStr">
        <is>
          <t>마케팅4팀</t>
        </is>
      </c>
      <c r="D109" s="52" t="n"/>
      <c r="E109" s="54" t="n"/>
      <c r="F109" s="52" t="n"/>
      <c r="G109" s="55" t="n"/>
      <c r="H109" s="54" t="n"/>
      <c r="I109" s="54" t="n"/>
      <c r="J109" s="54" t="n"/>
      <c r="K109" s="56">
        <f>IF(SUM(U109:AY109)=0,"",SUM(U109:AY109))</f>
        <v/>
      </c>
      <c r="L109" s="57">
        <f>IFERROR(INDEX(U$2:AY$2,MATCH(TRUE,U109:AY109&lt;&gt;"",0)),"")</f>
        <v/>
      </c>
      <c r="M109" s="58">
        <f>IFERROR(LOOKUP(2,1/(U109:AY109&lt;&gt;""),U$2:AY$2),"")</f>
        <v/>
      </c>
      <c r="N109" s="59">
        <f>IF(OR(G109="",M109=""),"",G109-M109)</f>
        <v/>
      </c>
      <c r="O109" s="60" t="n"/>
      <c r="P109" s="61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  <c r="AG109" s="62" t="n"/>
      <c r="AH109" s="62" t="n"/>
      <c r="AI109" s="62" t="n"/>
      <c r="AJ109" s="62" t="n"/>
      <c r="AK109" s="62" t="n"/>
      <c r="AL109" s="62" t="n"/>
      <c r="AM109" s="62" t="n"/>
      <c r="AN109" s="62" t="n"/>
      <c r="AO109" s="62" t="n"/>
      <c r="AP109" s="62" t="n"/>
      <c r="AQ109" s="62" t="n"/>
      <c r="AR109" s="62" t="n"/>
      <c r="AS109" s="62" t="n"/>
      <c r="AT109" s="62" t="n"/>
      <c r="AU109" s="62" t="n"/>
      <c r="AV109" s="62" t="n"/>
      <c r="AW109" s="62" t="n"/>
      <c r="AX109" s="62" t="n"/>
      <c r="AY109" s="62" t="n"/>
    </row>
    <row r="110">
      <c r="A110" s="38">
        <f>IF(D110="","",COUNTA($D$102:D110))</f>
        <v/>
      </c>
      <c r="B110" s="52" t="n"/>
      <c r="C110" s="71" t="inlineStr">
        <is>
          <t>마케팅4팀</t>
        </is>
      </c>
      <c r="D110" s="52" t="n"/>
      <c r="E110" s="54" t="n"/>
      <c r="F110" s="52" t="n"/>
      <c r="G110" s="55" t="n"/>
      <c r="H110" s="54" t="n"/>
      <c r="I110" s="54" t="n"/>
      <c r="J110" s="54" t="n"/>
      <c r="K110" s="56">
        <f>IF(SUM(U110:AY110)=0,"",SUM(U110:AY110))</f>
        <v/>
      </c>
      <c r="L110" s="57">
        <f>IFERROR(INDEX(U$2:AY$2,MATCH(TRUE,U110:AY110&lt;&gt;"",0)),"")</f>
        <v/>
      </c>
      <c r="M110" s="58">
        <f>IFERROR(LOOKUP(2,1/(U110:AY110&lt;&gt;""),U$2:AY$2),"")</f>
        <v/>
      </c>
      <c r="N110" s="59">
        <f>IF(OR(G110="",M110=""),"",G110-M110)</f>
        <v/>
      </c>
      <c r="O110" s="60" t="n"/>
      <c r="P110" s="61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  <c r="AG110" s="62" t="n"/>
      <c r="AH110" s="62" t="n"/>
      <c r="AI110" s="62" t="n"/>
      <c r="AJ110" s="62" t="n"/>
      <c r="AK110" s="62" t="n"/>
      <c r="AL110" s="62" t="n"/>
      <c r="AM110" s="62" t="n"/>
      <c r="AN110" s="62" t="n"/>
      <c r="AO110" s="62" t="n"/>
      <c r="AP110" s="62" t="n"/>
      <c r="AQ110" s="62" t="n"/>
      <c r="AR110" s="62" t="n"/>
      <c r="AS110" s="62" t="n"/>
      <c r="AT110" s="62" t="n"/>
      <c r="AU110" s="62" t="n"/>
      <c r="AV110" s="62" t="n"/>
      <c r="AW110" s="62" t="n"/>
      <c r="AX110" s="62" t="n"/>
      <c r="AY110" s="62" t="n"/>
    </row>
    <row r="111">
      <c r="A111" s="38">
        <f>IF(D111="","",COUNTA($D$102:D111))</f>
        <v/>
      </c>
      <c r="B111" s="52" t="n"/>
      <c r="C111" s="71" t="inlineStr">
        <is>
          <t>마케팅4팀</t>
        </is>
      </c>
      <c r="D111" s="52" t="n"/>
      <c r="E111" s="54" t="n"/>
      <c r="F111" s="52" t="n"/>
      <c r="G111" s="55" t="n"/>
      <c r="H111" s="54" t="n"/>
      <c r="I111" s="54" t="n"/>
      <c r="J111" s="54" t="n"/>
      <c r="K111" s="56">
        <f>IF(SUM(U111:AY111)=0,"",SUM(U111:AY111))</f>
        <v/>
      </c>
      <c r="L111" s="57">
        <f>IFERROR(INDEX(U$2:AY$2,MATCH(TRUE,U111:AY111&lt;&gt;"",0)),"")</f>
        <v/>
      </c>
      <c r="M111" s="58">
        <f>IFERROR(LOOKUP(2,1/(U111:AY111&lt;&gt;""),U$2:AY$2),"")</f>
        <v/>
      </c>
      <c r="N111" s="59">
        <f>IF(OR(G111="",M111=""),"",G111-M111)</f>
        <v/>
      </c>
      <c r="O111" s="60" t="n"/>
      <c r="P111" s="61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  <c r="AG111" s="62" t="n"/>
      <c r="AH111" s="62" t="n"/>
      <c r="AI111" s="62" t="n"/>
      <c r="AJ111" s="62" t="n"/>
      <c r="AK111" s="62" t="n"/>
      <c r="AL111" s="62" t="n"/>
      <c r="AM111" s="62" t="n"/>
      <c r="AN111" s="62" t="n"/>
      <c r="AO111" s="62" t="n"/>
      <c r="AP111" s="62" t="n"/>
      <c r="AQ111" s="62" t="n"/>
      <c r="AR111" s="62" t="n"/>
      <c r="AS111" s="62" t="n"/>
      <c r="AT111" s="62" t="n"/>
      <c r="AU111" s="62" t="n"/>
      <c r="AV111" s="62" t="n"/>
      <c r="AW111" s="62" t="n"/>
      <c r="AX111" s="62" t="n"/>
      <c r="AY111" s="62" t="n"/>
    </row>
    <row r="112">
      <c r="A112" s="38">
        <f>IF(D112="","",COUNTA($D$102:D112))</f>
        <v/>
      </c>
      <c r="B112" s="52" t="n"/>
      <c r="C112" s="71" t="inlineStr">
        <is>
          <t>마케팅4팀</t>
        </is>
      </c>
      <c r="D112" s="52" t="n"/>
      <c r="E112" s="54" t="n"/>
      <c r="F112" s="52" t="n"/>
      <c r="G112" s="55" t="n"/>
      <c r="H112" s="54" t="n"/>
      <c r="I112" s="54" t="n"/>
      <c r="J112" s="54" t="n"/>
      <c r="K112" s="56">
        <f>IF(SUM(U112:AY112)=0,"",SUM(U112:AY112))</f>
        <v/>
      </c>
      <c r="L112" s="57">
        <f>IFERROR(INDEX(U$2:AY$2,MATCH(TRUE,U112:AY112&lt;&gt;"",0)),"")</f>
        <v/>
      </c>
      <c r="M112" s="58">
        <f>IFERROR(LOOKUP(2,1/(U112:AY112&lt;&gt;""),U$2:AY$2),"")</f>
        <v/>
      </c>
      <c r="N112" s="59">
        <f>IF(OR(G112="",M112=""),"",G112-M112)</f>
        <v/>
      </c>
      <c r="O112" s="60" t="n"/>
      <c r="P112" s="61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  <c r="AG112" s="62" t="n"/>
      <c r="AH112" s="62" t="n"/>
      <c r="AI112" s="62" t="n"/>
      <c r="AJ112" s="62" t="n"/>
      <c r="AK112" s="62" t="n"/>
      <c r="AL112" s="62" t="n"/>
      <c r="AM112" s="62" t="n"/>
      <c r="AN112" s="62" t="n"/>
      <c r="AO112" s="62" t="n"/>
      <c r="AP112" s="62" t="n"/>
      <c r="AQ112" s="62" t="n"/>
      <c r="AR112" s="62" t="n"/>
      <c r="AS112" s="62" t="n"/>
      <c r="AT112" s="62" t="n"/>
      <c r="AU112" s="62" t="n"/>
      <c r="AV112" s="62" t="n"/>
      <c r="AW112" s="62" t="n"/>
      <c r="AX112" s="62" t="n"/>
      <c r="AY112" s="62" t="n"/>
    </row>
    <row r="113">
      <c r="A113" s="38">
        <f>IF(D113="","",COUNTA($D$102:D113))</f>
        <v/>
      </c>
      <c r="B113" s="52" t="n"/>
      <c r="C113" s="71" t="inlineStr">
        <is>
          <t>마케팅4팀</t>
        </is>
      </c>
      <c r="D113" s="52" t="n"/>
      <c r="E113" s="54" t="n"/>
      <c r="F113" s="52" t="n"/>
      <c r="G113" s="55" t="n"/>
      <c r="H113" s="54" t="n"/>
      <c r="I113" s="54" t="n"/>
      <c r="J113" s="54" t="n"/>
      <c r="K113" s="56">
        <f>IF(SUM(U113:AY113)=0,"",SUM(U113:AY113))</f>
        <v/>
      </c>
      <c r="L113" s="57">
        <f>IFERROR(INDEX(U$2:AY$2,MATCH(TRUE,U113:AY113&lt;&gt;"",0)),"")</f>
        <v/>
      </c>
      <c r="M113" s="58">
        <f>IFERROR(LOOKUP(2,1/(U113:AY113&lt;&gt;""),U$2:AY$2),"")</f>
        <v/>
      </c>
      <c r="N113" s="59">
        <f>IF(OR(G113="",M113=""),"",G113-M113)</f>
        <v/>
      </c>
      <c r="O113" s="60" t="n"/>
      <c r="P113" s="61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  <c r="AG113" s="62" t="n"/>
      <c r="AH113" s="62" t="n"/>
      <c r="AI113" s="62" t="n"/>
      <c r="AJ113" s="62" t="n"/>
      <c r="AK113" s="62" t="n"/>
      <c r="AL113" s="62" t="n"/>
      <c r="AM113" s="62" t="n"/>
      <c r="AN113" s="62" t="n"/>
      <c r="AO113" s="62" t="n"/>
      <c r="AP113" s="62" t="n"/>
      <c r="AQ113" s="62" t="n"/>
      <c r="AR113" s="62" t="n"/>
      <c r="AS113" s="62" t="n"/>
      <c r="AT113" s="62" t="n"/>
      <c r="AU113" s="62" t="n"/>
      <c r="AV113" s="62" t="n"/>
      <c r="AW113" s="62" t="n"/>
      <c r="AX113" s="62" t="n"/>
      <c r="AY113" s="62" t="n"/>
    </row>
    <row r="114">
      <c r="A114" s="38">
        <f>IF(D114="","",COUNTA($D$102:D114))</f>
        <v/>
      </c>
      <c r="B114" s="52" t="n"/>
      <c r="C114" s="71" t="inlineStr">
        <is>
          <t>마케팅4팀</t>
        </is>
      </c>
      <c r="D114" s="52" t="n"/>
      <c r="E114" s="54" t="n"/>
      <c r="F114" s="52" t="n"/>
      <c r="G114" s="55" t="n"/>
      <c r="H114" s="54" t="n"/>
      <c r="I114" s="54" t="n"/>
      <c r="J114" s="54" t="n"/>
      <c r="K114" s="56">
        <f>IF(SUM(U114:AY114)=0,"",SUM(U114:AY114))</f>
        <v/>
      </c>
      <c r="L114" s="57">
        <f>IFERROR(INDEX(U$2:AY$2,MATCH(TRUE,U114:AY114&lt;&gt;"",0)),"")</f>
        <v/>
      </c>
      <c r="M114" s="58">
        <f>IFERROR(LOOKUP(2,1/(U114:AY114&lt;&gt;""),U$2:AY$2),"")</f>
        <v/>
      </c>
      <c r="N114" s="59">
        <f>IF(OR(G114="",M114=""),"",G114-M114)</f>
        <v/>
      </c>
      <c r="O114" s="60" t="n"/>
      <c r="P114" s="61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  <c r="AG114" s="62" t="n"/>
      <c r="AH114" s="62" t="n"/>
      <c r="AI114" s="62" t="n"/>
      <c r="AJ114" s="62" t="n"/>
      <c r="AK114" s="62" t="n"/>
      <c r="AL114" s="62" t="n"/>
      <c r="AM114" s="62" t="n"/>
      <c r="AN114" s="62" t="n"/>
      <c r="AO114" s="62" t="n"/>
      <c r="AP114" s="62" t="n"/>
      <c r="AQ114" s="62" t="n"/>
      <c r="AR114" s="62" t="n"/>
      <c r="AS114" s="62" t="n"/>
      <c r="AT114" s="62" t="n"/>
      <c r="AU114" s="62" t="n"/>
      <c r="AV114" s="62" t="n"/>
      <c r="AW114" s="62" t="n"/>
      <c r="AX114" s="62" t="n"/>
      <c r="AY114" s="62" t="n"/>
    </row>
    <row r="115">
      <c r="A115" s="38">
        <f>IF(D115="","",COUNTA($D$102:D115))</f>
        <v/>
      </c>
      <c r="B115" s="52" t="n"/>
      <c r="C115" s="71" t="inlineStr">
        <is>
          <t>마케팅4팀</t>
        </is>
      </c>
      <c r="D115" s="52" t="n"/>
      <c r="E115" s="54" t="n"/>
      <c r="F115" s="52" t="n"/>
      <c r="G115" s="55" t="n"/>
      <c r="H115" s="54" t="n"/>
      <c r="I115" s="54" t="n"/>
      <c r="J115" s="54" t="n"/>
      <c r="K115" s="56">
        <f>IF(SUM(U115:AY115)=0,"",SUM(U115:AY115))</f>
        <v/>
      </c>
      <c r="L115" s="57">
        <f>IFERROR(INDEX(U$2:AY$2,MATCH(TRUE,U115:AY115&lt;&gt;"",0)),"")</f>
        <v/>
      </c>
      <c r="M115" s="58">
        <f>IFERROR(LOOKUP(2,1/(U115:AY115&lt;&gt;""),U$2:AY$2),"")</f>
        <v/>
      </c>
      <c r="N115" s="59">
        <f>IF(OR(G115="",M115=""),"",G115-M115)</f>
        <v/>
      </c>
      <c r="O115" s="60" t="n"/>
      <c r="P115" s="61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  <c r="AG115" s="62" t="n"/>
      <c r="AH115" s="62" t="n"/>
      <c r="AI115" s="62" t="n"/>
      <c r="AJ115" s="62" t="n"/>
      <c r="AK115" s="62" t="n"/>
      <c r="AL115" s="62" t="n"/>
      <c r="AM115" s="62" t="n"/>
      <c r="AN115" s="62" t="n"/>
      <c r="AO115" s="62" t="n"/>
      <c r="AP115" s="62" t="n"/>
      <c r="AQ115" s="62" t="n"/>
      <c r="AR115" s="62" t="n"/>
      <c r="AS115" s="62" t="n"/>
      <c r="AT115" s="62" t="n"/>
      <c r="AU115" s="62" t="n"/>
      <c r="AV115" s="62" t="n"/>
      <c r="AW115" s="62" t="n"/>
      <c r="AX115" s="62" t="n"/>
      <c r="AY115" s="62" t="n"/>
    </row>
    <row r="116">
      <c r="A116" s="38">
        <f>IF(D116="","",COUNTA($D$102:D116))</f>
        <v/>
      </c>
      <c r="B116" s="52" t="n"/>
      <c r="C116" s="71" t="inlineStr">
        <is>
          <t>마케팅4팀</t>
        </is>
      </c>
      <c r="D116" s="52" t="n"/>
      <c r="E116" s="54" t="n"/>
      <c r="F116" s="52" t="n"/>
      <c r="G116" s="55" t="n"/>
      <c r="H116" s="54" t="n"/>
      <c r="I116" s="54" t="n"/>
      <c r="J116" s="54" t="n"/>
      <c r="K116" s="56">
        <f>IF(SUM(U116:AY116)=0,"",SUM(U116:AY116))</f>
        <v/>
      </c>
      <c r="L116" s="57">
        <f>IFERROR(INDEX(U$2:AY$2,MATCH(TRUE,U116:AY116&lt;&gt;"",0)),"")</f>
        <v/>
      </c>
      <c r="M116" s="58">
        <f>IFERROR(LOOKUP(2,1/(U116:AY116&lt;&gt;""),U$2:AY$2),"")</f>
        <v/>
      </c>
      <c r="N116" s="59">
        <f>IF(OR(G116="",M116=""),"",G116-M116)</f>
        <v/>
      </c>
      <c r="O116" s="60" t="n"/>
      <c r="P116" s="61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  <c r="AG116" s="62" t="n"/>
      <c r="AH116" s="62" t="n"/>
      <c r="AI116" s="62" t="n"/>
      <c r="AJ116" s="62" t="n"/>
      <c r="AK116" s="62" t="n"/>
      <c r="AL116" s="62" t="n"/>
      <c r="AM116" s="62" t="n"/>
      <c r="AN116" s="62" t="n"/>
      <c r="AO116" s="62" t="n"/>
      <c r="AP116" s="62" t="n"/>
      <c r="AQ116" s="62" t="n"/>
      <c r="AR116" s="62" t="n"/>
      <c r="AS116" s="62" t="n"/>
      <c r="AT116" s="62" t="n"/>
      <c r="AU116" s="62" t="n"/>
      <c r="AV116" s="62" t="n"/>
      <c r="AW116" s="62" t="n"/>
      <c r="AX116" s="62" t="n"/>
      <c r="AY116" s="62" t="n"/>
    </row>
    <row r="117">
      <c r="A117" s="38">
        <f>IF(D117="","",COUNTA($D$102:D117))</f>
        <v/>
      </c>
      <c r="B117" s="52" t="n"/>
      <c r="C117" s="71" t="inlineStr">
        <is>
          <t>마케팅4팀</t>
        </is>
      </c>
      <c r="D117" s="52" t="n"/>
      <c r="E117" s="54" t="n"/>
      <c r="F117" s="52" t="n"/>
      <c r="G117" s="55" t="n"/>
      <c r="H117" s="54" t="n"/>
      <c r="I117" s="54" t="n"/>
      <c r="J117" s="54" t="n"/>
      <c r="K117" s="56">
        <f>IF(SUM(U117:AY117)=0,"",SUM(U117:AY117))</f>
        <v/>
      </c>
      <c r="L117" s="57">
        <f>IFERROR(INDEX(U$2:AY$2,MATCH(TRUE,U117:AY117&lt;&gt;"",0)),"")</f>
        <v/>
      </c>
      <c r="M117" s="58">
        <f>IFERROR(LOOKUP(2,1/(U117:AY117&lt;&gt;""),U$2:AY$2),"")</f>
        <v/>
      </c>
      <c r="N117" s="59">
        <f>IF(OR(G117="",M117=""),"",G117-M117)</f>
        <v/>
      </c>
      <c r="O117" s="60" t="n"/>
      <c r="P117" s="61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  <c r="AG117" s="62" t="n"/>
      <c r="AH117" s="62" t="n"/>
      <c r="AI117" s="62" t="n"/>
      <c r="AJ117" s="62" t="n"/>
      <c r="AK117" s="62" t="n"/>
      <c r="AL117" s="62" t="n"/>
      <c r="AM117" s="62" t="n"/>
      <c r="AN117" s="62" t="n"/>
      <c r="AO117" s="62" t="n"/>
      <c r="AP117" s="62" t="n"/>
      <c r="AQ117" s="62" t="n"/>
      <c r="AR117" s="62" t="n"/>
      <c r="AS117" s="62" t="n"/>
      <c r="AT117" s="62" t="n"/>
      <c r="AU117" s="62" t="n"/>
      <c r="AV117" s="62" t="n"/>
      <c r="AW117" s="62" t="n"/>
      <c r="AX117" s="62" t="n"/>
      <c r="AY117" s="62" t="n"/>
    </row>
    <row r="118">
      <c r="A118" s="38">
        <f>IF(D118="","",COUNTA($D$102:D118))</f>
        <v/>
      </c>
      <c r="B118" s="52" t="n"/>
      <c r="C118" s="71" t="inlineStr">
        <is>
          <t>마케팅4팀</t>
        </is>
      </c>
      <c r="D118" s="52" t="n"/>
      <c r="E118" s="54" t="n"/>
      <c r="F118" s="52" t="n"/>
      <c r="G118" s="55" t="n"/>
      <c r="H118" s="54" t="n"/>
      <c r="I118" s="54" t="n"/>
      <c r="J118" s="54" t="n"/>
      <c r="K118" s="56">
        <f>IF(SUM(U118:AY118)=0,"",SUM(U118:AY118))</f>
        <v/>
      </c>
      <c r="L118" s="57">
        <f>IFERROR(INDEX(U$2:AY$2,MATCH(TRUE,U118:AY118&lt;&gt;"",0)),"")</f>
        <v/>
      </c>
      <c r="M118" s="58">
        <f>IFERROR(LOOKUP(2,1/(U118:AY118&lt;&gt;""),U$2:AY$2),"")</f>
        <v/>
      </c>
      <c r="N118" s="59">
        <f>IF(OR(G118="",M118=""),"",G118-M118)</f>
        <v/>
      </c>
      <c r="O118" s="60" t="n"/>
      <c r="P118" s="61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  <c r="AG118" s="62" t="n"/>
      <c r="AH118" s="62" t="n"/>
      <c r="AI118" s="62" t="n"/>
      <c r="AJ118" s="62" t="n"/>
      <c r="AK118" s="62" t="n"/>
      <c r="AL118" s="62" t="n"/>
      <c r="AM118" s="62" t="n"/>
      <c r="AN118" s="62" t="n"/>
      <c r="AO118" s="62" t="n"/>
      <c r="AP118" s="62" t="n"/>
      <c r="AQ118" s="62" t="n"/>
      <c r="AR118" s="62" t="n"/>
      <c r="AS118" s="62" t="n"/>
      <c r="AT118" s="62" t="n"/>
      <c r="AU118" s="62" t="n"/>
      <c r="AV118" s="62" t="n"/>
      <c r="AW118" s="62" t="n"/>
      <c r="AX118" s="62" t="n"/>
      <c r="AY118" s="62" t="n"/>
    </row>
    <row r="119">
      <c r="A119" s="38">
        <f>IF(D119="","",COUNTA($D$102:D119))</f>
        <v/>
      </c>
      <c r="B119" s="52" t="n"/>
      <c r="C119" s="71" t="inlineStr">
        <is>
          <t>마케팅4팀</t>
        </is>
      </c>
      <c r="D119" s="52" t="n"/>
      <c r="E119" s="54" t="n"/>
      <c r="F119" s="52" t="n"/>
      <c r="G119" s="55" t="n"/>
      <c r="H119" s="54" t="n"/>
      <c r="I119" s="54" t="n"/>
      <c r="J119" s="54" t="n"/>
      <c r="K119" s="56">
        <f>IF(SUM(U119:AY119)=0,"",SUM(U119:AY119))</f>
        <v/>
      </c>
      <c r="L119" s="57">
        <f>IFERROR(INDEX(U$2:AY$2,MATCH(TRUE,U119:AY119&lt;&gt;"",0)),"")</f>
        <v/>
      </c>
      <c r="M119" s="58">
        <f>IFERROR(LOOKUP(2,1/(U119:AY119&lt;&gt;""),U$2:AY$2),"")</f>
        <v/>
      </c>
      <c r="N119" s="59">
        <f>IF(OR(G119="",M119=""),"",G119-M119)</f>
        <v/>
      </c>
      <c r="O119" s="60" t="n"/>
      <c r="P119" s="61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  <c r="AG119" s="62" t="n"/>
      <c r="AH119" s="62" t="n"/>
      <c r="AI119" s="62" t="n"/>
      <c r="AJ119" s="62" t="n"/>
      <c r="AK119" s="62" t="n"/>
      <c r="AL119" s="62" t="n"/>
      <c r="AM119" s="62" t="n"/>
      <c r="AN119" s="62" t="n"/>
      <c r="AO119" s="62" t="n"/>
      <c r="AP119" s="62" t="n"/>
      <c r="AQ119" s="62" t="n"/>
      <c r="AR119" s="62" t="n"/>
      <c r="AS119" s="62" t="n"/>
      <c r="AT119" s="62" t="n"/>
      <c r="AU119" s="62" t="n"/>
      <c r="AV119" s="62" t="n"/>
      <c r="AW119" s="62" t="n"/>
      <c r="AX119" s="62" t="n"/>
      <c r="AY119" s="62" t="n"/>
    </row>
    <row r="120">
      <c r="A120" s="38">
        <f>IF(D120="","",COUNTA($D$102:D120))</f>
        <v/>
      </c>
      <c r="B120" s="52" t="n"/>
      <c r="C120" s="71" t="inlineStr">
        <is>
          <t>마케팅4팀</t>
        </is>
      </c>
      <c r="D120" s="52" t="n"/>
      <c r="E120" s="54" t="n"/>
      <c r="F120" s="52" t="n"/>
      <c r="G120" s="55" t="n"/>
      <c r="H120" s="54" t="n"/>
      <c r="I120" s="54" t="n"/>
      <c r="J120" s="54" t="n"/>
      <c r="K120" s="56">
        <f>IF(SUM(U120:AY120)=0,"",SUM(U120:AY120))</f>
        <v/>
      </c>
      <c r="L120" s="57">
        <f>IFERROR(INDEX(U$2:AY$2,MATCH(TRUE,U120:AY120&lt;&gt;"",0)),"")</f>
        <v/>
      </c>
      <c r="M120" s="58">
        <f>IFERROR(LOOKUP(2,1/(U120:AY120&lt;&gt;""),U$2:AY$2),"")</f>
        <v/>
      </c>
      <c r="N120" s="59">
        <f>IF(OR(G120="",M120=""),"",G120-M120)</f>
        <v/>
      </c>
      <c r="O120" s="60" t="n"/>
      <c r="P120" s="61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  <c r="AG120" s="62" t="n"/>
      <c r="AH120" s="62" t="n"/>
      <c r="AI120" s="62" t="n"/>
      <c r="AJ120" s="62" t="n"/>
      <c r="AK120" s="62" t="n"/>
      <c r="AL120" s="62" t="n"/>
      <c r="AM120" s="62" t="n"/>
      <c r="AN120" s="62" t="n"/>
      <c r="AO120" s="62" t="n"/>
      <c r="AP120" s="62" t="n"/>
      <c r="AQ120" s="62" t="n"/>
      <c r="AR120" s="62" t="n"/>
      <c r="AS120" s="62" t="n"/>
      <c r="AT120" s="62" t="n"/>
      <c r="AU120" s="62" t="n"/>
      <c r="AV120" s="62" t="n"/>
      <c r="AW120" s="62" t="n"/>
      <c r="AX120" s="62" t="n"/>
      <c r="AY120" s="62" t="n"/>
    </row>
    <row r="121">
      <c r="A121" s="38">
        <f>IF(D121="","",COUNTA($D$102:D121))</f>
        <v/>
      </c>
      <c r="B121" s="52" t="n"/>
      <c r="C121" s="71" t="inlineStr">
        <is>
          <t>마케팅4팀</t>
        </is>
      </c>
      <c r="D121" s="52" t="n"/>
      <c r="E121" s="54" t="n"/>
      <c r="F121" s="52" t="n"/>
      <c r="G121" s="55" t="n"/>
      <c r="H121" s="54" t="n"/>
      <c r="I121" s="54" t="n"/>
      <c r="J121" s="54" t="n"/>
      <c r="K121" s="56">
        <f>IF(SUM(U121:AY121)=0,"",SUM(U121:AY121))</f>
        <v/>
      </c>
      <c r="L121" s="57">
        <f>IFERROR(INDEX(U$2:AY$2,MATCH(TRUE,U121:AY121&lt;&gt;"",0)),"")</f>
        <v/>
      </c>
      <c r="M121" s="58">
        <f>IFERROR(LOOKUP(2,1/(U121:AY121&lt;&gt;""),U$2:AY$2),"")</f>
        <v/>
      </c>
      <c r="N121" s="59">
        <f>IF(OR(G121="",M121=""),"",G121-M121)</f>
        <v/>
      </c>
      <c r="O121" s="60" t="n"/>
      <c r="P121" s="61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  <c r="AG121" s="62" t="n"/>
      <c r="AH121" s="62" t="n"/>
      <c r="AI121" s="62" t="n"/>
      <c r="AJ121" s="62" t="n"/>
      <c r="AK121" s="62" t="n"/>
      <c r="AL121" s="62" t="n"/>
      <c r="AM121" s="62" t="n"/>
      <c r="AN121" s="62" t="n"/>
      <c r="AO121" s="62" t="n"/>
      <c r="AP121" s="62" t="n"/>
      <c r="AQ121" s="62" t="n"/>
      <c r="AR121" s="62" t="n"/>
      <c r="AS121" s="62" t="n"/>
      <c r="AT121" s="62" t="n"/>
      <c r="AU121" s="62" t="n"/>
      <c r="AV121" s="62" t="n"/>
      <c r="AW121" s="62" t="n"/>
      <c r="AX121" s="62" t="n"/>
      <c r="AY121" s="62" t="n"/>
    </row>
    <row r="122">
      <c r="A122" s="38">
        <f>IF(D122="","",COUNTA($D$102:D122))</f>
        <v/>
      </c>
      <c r="B122" s="52" t="n"/>
      <c r="C122" s="71" t="inlineStr">
        <is>
          <t>마케팅4팀</t>
        </is>
      </c>
      <c r="D122" s="52" t="n"/>
      <c r="E122" s="54" t="n"/>
      <c r="F122" s="52" t="n"/>
      <c r="G122" s="55" t="n"/>
      <c r="H122" s="54" t="n"/>
      <c r="I122" s="54" t="n"/>
      <c r="J122" s="54" t="n"/>
      <c r="K122" s="56">
        <f>IF(SUM(U122:AY122)=0,"",SUM(U122:AY122))</f>
        <v/>
      </c>
      <c r="L122" s="57">
        <f>IFERROR(INDEX(U$2:AY$2,MATCH(TRUE,U122:AY122&lt;&gt;"",0)),"")</f>
        <v/>
      </c>
      <c r="M122" s="58">
        <f>IFERROR(LOOKUP(2,1/(U122:AY122&lt;&gt;""),U$2:AY$2),"")</f>
        <v/>
      </c>
      <c r="N122" s="59">
        <f>IF(OR(G122="",M122=""),"",G122-M122)</f>
        <v/>
      </c>
      <c r="O122" s="60" t="n"/>
      <c r="P122" s="61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  <c r="AG122" s="62" t="n"/>
      <c r="AH122" s="62" t="n"/>
      <c r="AI122" s="62" t="n"/>
      <c r="AJ122" s="62" t="n"/>
      <c r="AK122" s="62" t="n"/>
      <c r="AL122" s="62" t="n"/>
      <c r="AM122" s="62" t="n"/>
      <c r="AN122" s="62" t="n"/>
      <c r="AO122" s="62" t="n"/>
      <c r="AP122" s="62" t="n"/>
      <c r="AQ122" s="62" t="n"/>
      <c r="AR122" s="62" t="n"/>
      <c r="AS122" s="62" t="n"/>
      <c r="AT122" s="62" t="n"/>
      <c r="AU122" s="62" t="n"/>
      <c r="AV122" s="62" t="n"/>
      <c r="AW122" s="62" t="n"/>
      <c r="AX122" s="62" t="n"/>
      <c r="AY122" s="62" t="n"/>
    </row>
    <row r="123">
      <c r="A123" s="38">
        <f>IF(D123="","",COUNTA($D$102:D123))</f>
        <v/>
      </c>
      <c r="B123" s="52" t="n"/>
      <c r="C123" s="71" t="inlineStr">
        <is>
          <t>마케팅4팀</t>
        </is>
      </c>
      <c r="D123" s="52" t="n"/>
      <c r="E123" s="54" t="n"/>
      <c r="F123" s="52" t="n"/>
      <c r="G123" s="55" t="n"/>
      <c r="H123" s="54" t="n"/>
      <c r="I123" s="54" t="n"/>
      <c r="J123" s="54" t="n"/>
      <c r="K123" s="56">
        <f>IF(SUM(U123:AY123)=0,"",SUM(U123:AY123))</f>
        <v/>
      </c>
      <c r="L123" s="57">
        <f>IFERROR(INDEX(U$2:AY$2,MATCH(TRUE,U123:AY123&lt;&gt;"",0)),"")</f>
        <v/>
      </c>
      <c r="M123" s="58">
        <f>IFERROR(LOOKUP(2,1/(U123:AY123&lt;&gt;""),U$2:AY$2),"")</f>
        <v/>
      </c>
      <c r="N123" s="59">
        <f>IF(OR(G123="",M123=""),"",G123-M123)</f>
        <v/>
      </c>
      <c r="O123" s="60" t="n"/>
      <c r="P123" s="61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  <c r="AG123" s="62" t="n"/>
      <c r="AH123" s="62" t="n"/>
      <c r="AI123" s="62" t="n"/>
      <c r="AJ123" s="62" t="n"/>
      <c r="AK123" s="62" t="n"/>
      <c r="AL123" s="62" t="n"/>
      <c r="AM123" s="62" t="n"/>
      <c r="AN123" s="62" t="n"/>
      <c r="AO123" s="62" t="n"/>
      <c r="AP123" s="62" t="n"/>
      <c r="AQ123" s="62" t="n"/>
      <c r="AR123" s="62" t="n"/>
      <c r="AS123" s="62" t="n"/>
      <c r="AT123" s="62" t="n"/>
      <c r="AU123" s="62" t="n"/>
      <c r="AV123" s="62" t="n"/>
      <c r="AW123" s="62" t="n"/>
      <c r="AX123" s="62" t="n"/>
      <c r="AY123" s="62" t="n"/>
    </row>
    <row r="124">
      <c r="A124" s="38">
        <f>IF(D124="","",COUNTA($D$102:D124))</f>
        <v/>
      </c>
      <c r="B124" s="52" t="n"/>
      <c r="C124" s="71" t="inlineStr">
        <is>
          <t>마케팅4팀</t>
        </is>
      </c>
      <c r="D124" s="52" t="n"/>
      <c r="E124" s="54" t="n"/>
      <c r="F124" s="52" t="n"/>
      <c r="G124" s="55" t="n"/>
      <c r="H124" s="54" t="n"/>
      <c r="I124" s="54" t="n"/>
      <c r="J124" s="54" t="n"/>
      <c r="K124" s="56">
        <f>IF(SUM(U124:AY124)=0,"",SUM(U124:AY124))</f>
        <v/>
      </c>
      <c r="L124" s="57">
        <f>IFERROR(INDEX(U$2:AY$2,MATCH(TRUE,U124:AY124&lt;&gt;"",0)),"")</f>
        <v/>
      </c>
      <c r="M124" s="58">
        <f>IFERROR(LOOKUP(2,1/(U124:AY124&lt;&gt;""),U$2:AY$2),"")</f>
        <v/>
      </c>
      <c r="N124" s="59">
        <f>IF(OR(G124="",M124=""),"",G124-M124)</f>
        <v/>
      </c>
      <c r="O124" s="60" t="n"/>
      <c r="P124" s="61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  <c r="AG124" s="62" t="n"/>
      <c r="AH124" s="62" t="n"/>
      <c r="AI124" s="62" t="n"/>
      <c r="AJ124" s="62" t="n"/>
      <c r="AK124" s="62" t="n"/>
      <c r="AL124" s="62" t="n"/>
      <c r="AM124" s="62" t="n"/>
      <c r="AN124" s="62" t="n"/>
      <c r="AO124" s="62" t="n"/>
      <c r="AP124" s="62" t="n"/>
      <c r="AQ124" s="62" t="n"/>
      <c r="AR124" s="62" t="n"/>
      <c r="AS124" s="62" t="n"/>
      <c r="AT124" s="62" t="n"/>
      <c r="AU124" s="62" t="n"/>
      <c r="AV124" s="62" t="n"/>
      <c r="AW124" s="62" t="n"/>
      <c r="AX124" s="62" t="n"/>
      <c r="AY124" s="62" t="n"/>
    </row>
    <row r="125">
      <c r="A125" s="38">
        <f>IF(D125="","",COUNTA($D$102:D125))</f>
        <v/>
      </c>
      <c r="B125" s="52" t="n"/>
      <c r="C125" s="71" t="inlineStr">
        <is>
          <t>마케팅4팀</t>
        </is>
      </c>
      <c r="D125" s="52" t="n"/>
      <c r="E125" s="54" t="n"/>
      <c r="F125" s="52" t="n"/>
      <c r="G125" s="55" t="n"/>
      <c r="H125" s="54" t="n"/>
      <c r="I125" s="54" t="n"/>
      <c r="J125" s="54" t="n"/>
      <c r="K125" s="56">
        <f>IF(SUM(U125:AY125)=0,"",SUM(U125:AY125))</f>
        <v/>
      </c>
      <c r="L125" s="57">
        <f>IFERROR(INDEX(U$2:AY$2,MATCH(TRUE,U125:AY125&lt;&gt;"",0)),"")</f>
        <v/>
      </c>
      <c r="M125" s="58">
        <f>IFERROR(LOOKUP(2,1/(U125:AY125&lt;&gt;""),U$2:AY$2),"")</f>
        <v/>
      </c>
      <c r="N125" s="59">
        <f>IF(OR(G125="",M125=""),"",G125-M125)</f>
        <v/>
      </c>
      <c r="O125" s="60" t="n"/>
      <c r="P125" s="61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  <c r="AG125" s="62" t="n"/>
      <c r="AH125" s="62" t="n"/>
      <c r="AI125" s="62" t="n"/>
      <c r="AJ125" s="62" t="n"/>
      <c r="AK125" s="62" t="n"/>
      <c r="AL125" s="62" t="n"/>
      <c r="AM125" s="62" t="n"/>
      <c r="AN125" s="62" t="n"/>
      <c r="AO125" s="62" t="n"/>
      <c r="AP125" s="62" t="n"/>
      <c r="AQ125" s="62" t="n"/>
      <c r="AR125" s="62" t="n"/>
      <c r="AS125" s="62" t="n"/>
      <c r="AT125" s="62" t="n"/>
      <c r="AU125" s="62" t="n"/>
      <c r="AV125" s="62" t="n"/>
      <c r="AW125" s="62" t="n"/>
      <c r="AX125" s="62" t="n"/>
      <c r="AY125" s="62" t="n"/>
    </row>
    <row r="126">
      <c r="A126" s="38">
        <f>IF(D126="","",COUNTA($D$102:D126))</f>
        <v/>
      </c>
      <c r="B126" s="52" t="n"/>
      <c r="C126" s="71" t="inlineStr">
        <is>
          <t>마케팅4팀</t>
        </is>
      </c>
      <c r="D126" s="52" t="n"/>
      <c r="E126" s="54" t="n"/>
      <c r="F126" s="52" t="n"/>
      <c r="G126" s="55" t="n"/>
      <c r="H126" s="54" t="n"/>
      <c r="I126" s="54" t="n"/>
      <c r="J126" s="54" t="n"/>
      <c r="K126" s="56">
        <f>IF(SUM(U126:AY126)=0,"",SUM(U126:AY126))</f>
        <v/>
      </c>
      <c r="L126" s="57">
        <f>IFERROR(INDEX(U$2:AY$2,MATCH(TRUE,U126:AY126&lt;&gt;"",0)),"")</f>
        <v/>
      </c>
      <c r="M126" s="58">
        <f>IFERROR(LOOKUP(2,1/(U126:AY126&lt;&gt;""),U$2:AY$2),"")</f>
        <v/>
      </c>
      <c r="N126" s="59">
        <f>IF(OR(G126="",M126=""),"",G126-M126)</f>
        <v/>
      </c>
      <c r="O126" s="60" t="n"/>
      <c r="P126" s="61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  <c r="AG126" s="62" t="n"/>
      <c r="AH126" s="62" t="n"/>
      <c r="AI126" s="62" t="n"/>
      <c r="AJ126" s="62" t="n"/>
      <c r="AK126" s="62" t="n"/>
      <c r="AL126" s="62" t="n"/>
      <c r="AM126" s="62" t="n"/>
      <c r="AN126" s="62" t="n"/>
      <c r="AO126" s="62" t="n"/>
      <c r="AP126" s="62" t="n"/>
      <c r="AQ126" s="62" t="n"/>
      <c r="AR126" s="62" t="n"/>
      <c r="AS126" s="62" t="n"/>
      <c r="AT126" s="62" t="n"/>
      <c r="AU126" s="62" t="n"/>
      <c r="AV126" s="62" t="n"/>
      <c r="AW126" s="62" t="n"/>
      <c r="AX126" s="62" t="n"/>
      <c r="AY126" s="62" t="n"/>
    </row>
    <row r="127">
      <c r="A127" s="38">
        <f>IF(D127="","",COUNTA($D$102:D127))</f>
        <v/>
      </c>
      <c r="B127" s="52" t="n"/>
      <c r="C127" s="71" t="inlineStr">
        <is>
          <t>마케팅4팀</t>
        </is>
      </c>
      <c r="D127" s="52" t="n"/>
      <c r="E127" s="54" t="n"/>
      <c r="F127" s="52" t="n"/>
      <c r="G127" s="55" t="n"/>
      <c r="H127" s="54" t="n"/>
      <c r="I127" s="54" t="n"/>
      <c r="J127" s="54" t="n"/>
      <c r="K127" s="56">
        <f>IF(SUM(U127:AY127)=0,"",SUM(U127:AY127))</f>
        <v/>
      </c>
      <c r="L127" s="57">
        <f>IFERROR(INDEX(U$2:AY$2,MATCH(TRUE,U127:AY127&lt;&gt;"",0)),"")</f>
        <v/>
      </c>
      <c r="M127" s="58">
        <f>IFERROR(LOOKUP(2,1/(U127:AY127&lt;&gt;""),U$2:AY$2),"")</f>
        <v/>
      </c>
      <c r="N127" s="59">
        <f>IF(OR(G127="",M127=""),"",G127-M127)</f>
        <v/>
      </c>
      <c r="O127" s="60" t="n"/>
      <c r="P127" s="61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  <c r="AG127" s="62" t="n"/>
      <c r="AH127" s="62" t="n"/>
      <c r="AI127" s="62" t="n"/>
      <c r="AJ127" s="62" t="n"/>
      <c r="AK127" s="62" t="n"/>
      <c r="AL127" s="62" t="n"/>
      <c r="AM127" s="62" t="n"/>
      <c r="AN127" s="62" t="n"/>
      <c r="AO127" s="62" t="n"/>
      <c r="AP127" s="62" t="n"/>
      <c r="AQ127" s="62" t="n"/>
      <c r="AR127" s="62" t="n"/>
      <c r="AS127" s="62" t="n"/>
      <c r="AT127" s="62" t="n"/>
      <c r="AU127" s="62" t="n"/>
      <c r="AV127" s="62" t="n"/>
      <c r="AW127" s="62" t="n"/>
      <c r="AX127" s="62" t="n"/>
      <c r="AY127" s="62" t="n"/>
    </row>
    <row r="128">
      <c r="A128" s="38">
        <f>IF(D128="","",COUNTA($D$102:D128))</f>
        <v/>
      </c>
      <c r="B128" s="52" t="n"/>
      <c r="C128" s="71" t="inlineStr">
        <is>
          <t>마케팅4팀</t>
        </is>
      </c>
      <c r="D128" s="52" t="n"/>
      <c r="E128" s="54" t="n"/>
      <c r="F128" s="52" t="n"/>
      <c r="G128" s="55" t="n"/>
      <c r="H128" s="54" t="n"/>
      <c r="I128" s="54" t="n"/>
      <c r="J128" s="54" t="n"/>
      <c r="K128" s="56">
        <f>IF(SUM(U128:AY128)=0,"",SUM(U128:AY128))</f>
        <v/>
      </c>
      <c r="L128" s="57">
        <f>IFERROR(INDEX(U$2:AY$2,MATCH(TRUE,U128:AY128&lt;&gt;"",0)),"")</f>
        <v/>
      </c>
      <c r="M128" s="58">
        <f>IFERROR(LOOKUP(2,1/(U128:AY128&lt;&gt;""),U$2:AY$2),"")</f>
        <v/>
      </c>
      <c r="N128" s="59">
        <f>IF(OR(G128="",M128=""),"",G128-M128)</f>
        <v/>
      </c>
      <c r="O128" s="60" t="n"/>
      <c r="P128" s="61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  <c r="AG128" s="62" t="n"/>
      <c r="AH128" s="62" t="n"/>
      <c r="AI128" s="62" t="n"/>
      <c r="AJ128" s="62" t="n"/>
      <c r="AK128" s="62" t="n"/>
      <c r="AL128" s="62" t="n"/>
      <c r="AM128" s="62" t="n"/>
      <c r="AN128" s="62" t="n"/>
      <c r="AO128" s="62" t="n"/>
      <c r="AP128" s="62" t="n"/>
      <c r="AQ128" s="62" t="n"/>
      <c r="AR128" s="62" t="n"/>
      <c r="AS128" s="62" t="n"/>
      <c r="AT128" s="62" t="n"/>
      <c r="AU128" s="62" t="n"/>
      <c r="AV128" s="62" t="n"/>
      <c r="AW128" s="62" t="n"/>
      <c r="AX128" s="62" t="n"/>
      <c r="AY128" s="62" t="n"/>
    </row>
    <row r="129">
      <c r="A129" s="38">
        <f>IF(D129="","",COUNTA($D$102:D129))</f>
        <v/>
      </c>
      <c r="B129" s="52" t="n"/>
      <c r="C129" s="71" t="inlineStr">
        <is>
          <t>마케팅4팀</t>
        </is>
      </c>
      <c r="D129" s="52" t="n"/>
      <c r="E129" s="54" t="n"/>
      <c r="F129" s="52" t="n"/>
      <c r="G129" s="55" t="n"/>
      <c r="H129" s="54" t="n"/>
      <c r="I129" s="54" t="n"/>
      <c r="J129" s="54" t="n"/>
      <c r="K129" s="56">
        <f>IF(SUM(U129:AY129)=0,"",SUM(U129:AY129))</f>
        <v/>
      </c>
      <c r="L129" s="57">
        <f>IFERROR(INDEX(U$2:AY$2,MATCH(TRUE,U129:AY129&lt;&gt;"",0)),"")</f>
        <v/>
      </c>
      <c r="M129" s="58">
        <f>IFERROR(LOOKUP(2,1/(U129:AY129&lt;&gt;""),U$2:AY$2),"")</f>
        <v/>
      </c>
      <c r="N129" s="59">
        <f>IF(OR(G129="",M129=""),"",G129-M129)</f>
        <v/>
      </c>
      <c r="O129" s="60" t="n"/>
      <c r="P129" s="61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  <c r="AG129" s="62" t="n"/>
      <c r="AH129" s="62" t="n"/>
      <c r="AI129" s="62" t="n"/>
      <c r="AJ129" s="62" t="n"/>
      <c r="AK129" s="62" t="n"/>
      <c r="AL129" s="62" t="n"/>
      <c r="AM129" s="62" t="n"/>
      <c r="AN129" s="62" t="n"/>
      <c r="AO129" s="62" t="n"/>
      <c r="AP129" s="62" t="n"/>
      <c r="AQ129" s="62" t="n"/>
      <c r="AR129" s="62" t="n"/>
      <c r="AS129" s="62" t="n"/>
      <c r="AT129" s="62" t="n"/>
      <c r="AU129" s="62" t="n"/>
      <c r="AV129" s="62" t="n"/>
      <c r="AW129" s="62" t="n"/>
      <c r="AX129" s="62" t="n"/>
      <c r="AY129" s="62" t="n"/>
    </row>
    <row r="130">
      <c r="A130" s="38">
        <f>IF(D130="","",COUNTA($D$102:D130))</f>
        <v/>
      </c>
      <c r="B130" s="52" t="n"/>
      <c r="C130" s="71" t="inlineStr">
        <is>
          <t>마케팅4팀</t>
        </is>
      </c>
      <c r="D130" s="52" t="n"/>
      <c r="E130" s="54" t="n"/>
      <c r="F130" s="52" t="n"/>
      <c r="G130" s="55" t="n"/>
      <c r="H130" s="54" t="n"/>
      <c r="I130" s="54" t="n"/>
      <c r="J130" s="54" t="n"/>
      <c r="K130" s="56">
        <f>IF(SUM(U130:AY130)=0,"",SUM(U130:AY130))</f>
        <v/>
      </c>
      <c r="L130" s="57">
        <f>IFERROR(INDEX(U$2:AY$2,MATCH(TRUE,U130:AY130&lt;&gt;"",0)),"")</f>
        <v/>
      </c>
      <c r="M130" s="58">
        <f>IFERROR(LOOKUP(2,1/(U130:AY130&lt;&gt;""),U$2:AY$2),"")</f>
        <v/>
      </c>
      <c r="N130" s="59">
        <f>IF(OR(G130="",M130=""),"",G130-M130)</f>
        <v/>
      </c>
      <c r="O130" s="60" t="n"/>
      <c r="P130" s="61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  <c r="AG130" s="62" t="n"/>
      <c r="AH130" s="62" t="n"/>
      <c r="AI130" s="62" t="n"/>
      <c r="AJ130" s="62" t="n"/>
      <c r="AK130" s="62" t="n"/>
      <c r="AL130" s="62" t="n"/>
      <c r="AM130" s="62" t="n"/>
      <c r="AN130" s="62" t="n"/>
      <c r="AO130" s="62" t="n"/>
      <c r="AP130" s="62" t="n"/>
      <c r="AQ130" s="62" t="n"/>
      <c r="AR130" s="62" t="n"/>
      <c r="AS130" s="62" t="n"/>
      <c r="AT130" s="62" t="n"/>
      <c r="AU130" s="62" t="n"/>
      <c r="AV130" s="62" t="n"/>
      <c r="AW130" s="62" t="n"/>
      <c r="AX130" s="62" t="n"/>
      <c r="AY130" s="62" t="n"/>
    </row>
    <row r="131">
      <c r="A131" s="38">
        <f>IF(D131="","",COUNTA($D$102:D131))</f>
        <v/>
      </c>
      <c r="B131" s="52" t="n"/>
      <c r="C131" s="71" t="inlineStr">
        <is>
          <t>마케팅4팀</t>
        </is>
      </c>
      <c r="D131" s="52" t="n"/>
      <c r="E131" s="54" t="n"/>
      <c r="F131" s="52" t="n"/>
      <c r="G131" s="55" t="n"/>
      <c r="H131" s="54" t="n"/>
      <c r="I131" s="54" t="n"/>
      <c r="J131" s="54" t="n"/>
      <c r="K131" s="56">
        <f>IF(SUM(U131:AY131)=0,"",SUM(U131:AY131))</f>
        <v/>
      </c>
      <c r="L131" s="57">
        <f>IFERROR(INDEX(U$2:AY$2,MATCH(TRUE,U131:AY131&lt;&gt;"",0)),"")</f>
        <v/>
      </c>
      <c r="M131" s="58">
        <f>IFERROR(LOOKUP(2,1/(U131:AY131&lt;&gt;""),U$2:AY$2),"")</f>
        <v/>
      </c>
      <c r="N131" s="59">
        <f>IF(OR(G131="",M131=""),"",G131-M131)</f>
        <v/>
      </c>
      <c r="O131" s="60" t="n"/>
      <c r="P131" s="61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  <c r="AG131" s="62" t="n"/>
      <c r="AH131" s="62" t="n"/>
      <c r="AI131" s="62" t="n"/>
      <c r="AJ131" s="62" t="n"/>
      <c r="AK131" s="62" t="n"/>
      <c r="AL131" s="62" t="n"/>
      <c r="AM131" s="62" t="n"/>
      <c r="AN131" s="62" t="n"/>
      <c r="AO131" s="62" t="n"/>
      <c r="AP131" s="62" t="n"/>
      <c r="AQ131" s="62" t="n"/>
      <c r="AR131" s="62" t="n"/>
      <c r="AS131" s="62" t="n"/>
      <c r="AT131" s="62" t="n"/>
      <c r="AU131" s="62" t="n"/>
      <c r="AV131" s="62" t="n"/>
      <c r="AW131" s="62" t="n"/>
      <c r="AX131" s="62" t="n"/>
      <c r="AY131" s="62" t="n"/>
    </row>
    <row r="132">
      <c r="A132" s="72" t="inlineStr">
        <is>
          <t>기타  (133~162행)</t>
        </is>
      </c>
      <c r="U132" s="34" t="n"/>
      <c r="V132" s="34" t="n"/>
      <c r="W132" s="34" t="n"/>
      <c r="X132" s="34" t="n"/>
      <c r="Y132" s="34" t="n"/>
      <c r="Z132" s="34" t="n"/>
      <c r="AA132" s="34" t="n"/>
      <c r="AB132" s="34" t="n"/>
      <c r="AC132" s="34" t="n"/>
      <c r="AD132" s="34" t="n"/>
      <c r="AE132" s="34" t="n"/>
      <c r="AF132" s="34" t="n"/>
      <c r="AG132" s="34" t="n"/>
      <c r="AH132" s="34" t="n"/>
      <c r="AI132" s="34" t="n"/>
      <c r="AJ132" s="34" t="n"/>
      <c r="AK132" s="34" t="n"/>
      <c r="AL132" s="34" t="n"/>
      <c r="AM132" s="34" t="n"/>
      <c r="AN132" s="34" t="n"/>
      <c r="AO132" s="34" t="n"/>
      <c r="AP132" s="34" t="n"/>
      <c r="AQ132" s="34" t="n"/>
      <c r="AR132" s="34" t="n"/>
      <c r="AS132" s="34" t="n"/>
      <c r="AT132" s="34" t="n"/>
      <c r="AU132" s="34" t="n"/>
      <c r="AV132" s="34" t="n"/>
      <c r="AW132" s="34" t="n"/>
      <c r="AX132" s="34" t="n"/>
      <c r="AY132" s="34" t="n"/>
    </row>
    <row r="133">
      <c r="A133" s="38">
        <f>IF(D133="","",COUNTA($D$133:D133))</f>
        <v/>
      </c>
      <c r="B133" s="52" t="n"/>
      <c r="C133" s="73" t="inlineStr">
        <is>
          <t>기타</t>
        </is>
      </c>
      <c r="D133" s="52" t="n"/>
      <c r="E133" s="54" t="n"/>
      <c r="F133" s="52" t="n"/>
      <c r="G133" s="55" t="n"/>
      <c r="H133" s="54" t="n"/>
      <c r="I133" s="54" t="n"/>
      <c r="J133" s="54" t="n"/>
      <c r="K133" s="56">
        <f>IF(SUM(U133:AY133)=0,"",SUM(U133:AY133))</f>
        <v/>
      </c>
      <c r="L133" s="57">
        <f>IFERROR(INDEX(U$2:AY$2,MATCH(TRUE,U133:AY133&lt;&gt;"",0)),"")</f>
        <v/>
      </c>
      <c r="M133" s="58">
        <f>IFERROR(LOOKUP(2,1/(U133:AY133&lt;&gt;""),U$2:AY$2),"")</f>
        <v/>
      </c>
      <c r="N133" s="59">
        <f>IF(OR(G133="",M133=""),"",G133-M133)</f>
        <v/>
      </c>
      <c r="O133" s="60" t="n"/>
      <c r="P133" s="61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  <c r="AG133" s="62" t="n"/>
      <c r="AH133" s="62" t="n"/>
      <c r="AI133" s="62" t="n"/>
      <c r="AJ133" s="62" t="n"/>
      <c r="AK133" s="62" t="n"/>
      <c r="AL133" s="62" t="n"/>
      <c r="AM133" s="62" t="n"/>
      <c r="AN133" s="62" t="n"/>
      <c r="AO133" s="62" t="n"/>
      <c r="AP133" s="62" t="n"/>
      <c r="AQ133" s="62" t="n"/>
      <c r="AR133" s="62" t="n"/>
      <c r="AS133" s="62" t="n"/>
      <c r="AT133" s="62" t="n"/>
      <c r="AU133" s="62" t="n"/>
      <c r="AV133" s="62" t="n"/>
      <c r="AW133" s="62" t="n"/>
      <c r="AX133" s="62" t="n"/>
      <c r="AY133" s="62" t="n"/>
    </row>
    <row r="134">
      <c r="A134" s="38">
        <f>IF(D134="","",COUNTA($D$133:D134))</f>
        <v/>
      </c>
      <c r="B134" s="52" t="n"/>
      <c r="C134" s="73" t="inlineStr">
        <is>
          <t>기타</t>
        </is>
      </c>
      <c r="D134" s="52" t="n"/>
      <c r="E134" s="54" t="n"/>
      <c r="F134" s="52" t="n"/>
      <c r="G134" s="55" t="n"/>
      <c r="H134" s="54" t="n"/>
      <c r="I134" s="54" t="n"/>
      <c r="J134" s="54" t="n"/>
      <c r="K134" s="56">
        <f>IF(SUM(U134:AY134)=0,"",SUM(U134:AY134))</f>
        <v/>
      </c>
      <c r="L134" s="57">
        <f>IFERROR(INDEX(U$2:AY$2,MATCH(TRUE,U134:AY134&lt;&gt;"",0)),"")</f>
        <v/>
      </c>
      <c r="M134" s="58">
        <f>IFERROR(LOOKUP(2,1/(U134:AY134&lt;&gt;""),U$2:AY$2),"")</f>
        <v/>
      </c>
      <c r="N134" s="59">
        <f>IF(OR(G134="",M134=""),"",G134-M134)</f>
        <v/>
      </c>
      <c r="O134" s="60" t="n"/>
      <c r="P134" s="61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  <c r="AG134" s="62" t="n"/>
      <c r="AH134" s="62" t="n"/>
      <c r="AI134" s="62" t="n"/>
      <c r="AJ134" s="62" t="n"/>
      <c r="AK134" s="62" t="n"/>
      <c r="AL134" s="62" t="n"/>
      <c r="AM134" s="62" t="n"/>
      <c r="AN134" s="62" t="n"/>
      <c r="AO134" s="62" t="n"/>
      <c r="AP134" s="62" t="n"/>
      <c r="AQ134" s="62" t="n"/>
      <c r="AR134" s="62" t="n"/>
      <c r="AS134" s="62" t="n"/>
      <c r="AT134" s="62" t="n"/>
      <c r="AU134" s="62" t="n"/>
      <c r="AV134" s="62" t="n"/>
      <c r="AW134" s="62" t="n"/>
      <c r="AX134" s="62" t="n"/>
      <c r="AY134" s="62" t="n"/>
    </row>
    <row r="135">
      <c r="A135" s="38">
        <f>IF(D135="","",COUNTA($D$133:D135))</f>
        <v/>
      </c>
      <c r="B135" s="52" t="n"/>
      <c r="C135" s="73" t="inlineStr">
        <is>
          <t>기타</t>
        </is>
      </c>
      <c r="D135" s="52" t="n"/>
      <c r="E135" s="54" t="n"/>
      <c r="F135" s="52" t="n"/>
      <c r="G135" s="55" t="n"/>
      <c r="H135" s="54" t="n"/>
      <c r="I135" s="54" t="n"/>
      <c r="J135" s="54" t="n"/>
      <c r="K135" s="56">
        <f>IF(SUM(U135:AY135)=0,"",SUM(U135:AY135))</f>
        <v/>
      </c>
      <c r="L135" s="57">
        <f>IFERROR(INDEX(U$2:AY$2,MATCH(TRUE,U135:AY135&lt;&gt;"",0)),"")</f>
        <v/>
      </c>
      <c r="M135" s="58">
        <f>IFERROR(LOOKUP(2,1/(U135:AY135&lt;&gt;""),U$2:AY$2),"")</f>
        <v/>
      </c>
      <c r="N135" s="59">
        <f>IF(OR(G135="",M135=""),"",G135-M135)</f>
        <v/>
      </c>
      <c r="O135" s="60" t="n"/>
      <c r="P135" s="61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  <c r="AG135" s="62" t="n"/>
      <c r="AH135" s="62" t="n"/>
      <c r="AI135" s="62" t="n"/>
      <c r="AJ135" s="62" t="n"/>
      <c r="AK135" s="62" t="n"/>
      <c r="AL135" s="62" t="n"/>
      <c r="AM135" s="62" t="n"/>
      <c r="AN135" s="62" t="n"/>
      <c r="AO135" s="62" t="n"/>
      <c r="AP135" s="62" t="n"/>
      <c r="AQ135" s="62" t="n"/>
      <c r="AR135" s="62" t="n"/>
      <c r="AS135" s="62" t="n"/>
      <c r="AT135" s="62" t="n"/>
      <c r="AU135" s="62" t="n"/>
      <c r="AV135" s="62" t="n"/>
      <c r="AW135" s="62" t="n"/>
      <c r="AX135" s="62" t="n"/>
      <c r="AY135" s="62" t="n"/>
    </row>
    <row r="136">
      <c r="A136" s="38">
        <f>IF(D136="","",COUNTA($D$133:D136))</f>
        <v/>
      </c>
      <c r="B136" s="52" t="n"/>
      <c r="C136" s="73" t="inlineStr">
        <is>
          <t>기타</t>
        </is>
      </c>
      <c r="D136" s="52" t="n"/>
      <c r="E136" s="54" t="n"/>
      <c r="F136" s="52" t="n"/>
      <c r="G136" s="55" t="n"/>
      <c r="H136" s="54" t="n"/>
      <c r="I136" s="54" t="n"/>
      <c r="J136" s="54" t="n"/>
      <c r="K136" s="56">
        <f>IF(SUM(U136:AY136)=0,"",SUM(U136:AY136))</f>
        <v/>
      </c>
      <c r="L136" s="57">
        <f>IFERROR(INDEX(U$2:AY$2,MATCH(TRUE,U136:AY136&lt;&gt;"",0)),"")</f>
        <v/>
      </c>
      <c r="M136" s="58">
        <f>IFERROR(LOOKUP(2,1/(U136:AY136&lt;&gt;""),U$2:AY$2),"")</f>
        <v/>
      </c>
      <c r="N136" s="59">
        <f>IF(OR(G136="",M136=""),"",G136-M136)</f>
        <v/>
      </c>
      <c r="O136" s="60" t="n"/>
      <c r="P136" s="61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  <c r="AG136" s="62" t="n"/>
      <c r="AH136" s="62" t="n"/>
      <c r="AI136" s="62" t="n"/>
      <c r="AJ136" s="62" t="n"/>
      <c r="AK136" s="62" t="n"/>
      <c r="AL136" s="62" t="n"/>
      <c r="AM136" s="62" t="n"/>
      <c r="AN136" s="62" t="n"/>
      <c r="AO136" s="62" t="n"/>
      <c r="AP136" s="62" t="n"/>
      <c r="AQ136" s="62" t="n"/>
      <c r="AR136" s="62" t="n"/>
      <c r="AS136" s="62" t="n"/>
      <c r="AT136" s="62" t="n"/>
      <c r="AU136" s="62" t="n"/>
      <c r="AV136" s="62" t="n"/>
      <c r="AW136" s="62" t="n"/>
      <c r="AX136" s="62" t="n"/>
      <c r="AY136" s="62" t="n"/>
    </row>
    <row r="137">
      <c r="A137" s="38">
        <f>IF(D137="","",COUNTA($D$133:D137))</f>
        <v/>
      </c>
      <c r="B137" s="52" t="n"/>
      <c r="C137" s="73" t="inlineStr">
        <is>
          <t>기타</t>
        </is>
      </c>
      <c r="D137" s="52" t="n"/>
      <c r="E137" s="54" t="n"/>
      <c r="F137" s="52" t="n"/>
      <c r="G137" s="55" t="n"/>
      <c r="H137" s="54" t="n"/>
      <c r="I137" s="54" t="n"/>
      <c r="J137" s="54" t="n"/>
      <c r="K137" s="56">
        <f>IF(SUM(U137:AY137)=0,"",SUM(U137:AY137))</f>
        <v/>
      </c>
      <c r="L137" s="57">
        <f>IFERROR(INDEX(U$2:AY$2,MATCH(TRUE,U137:AY137&lt;&gt;"",0)),"")</f>
        <v/>
      </c>
      <c r="M137" s="58">
        <f>IFERROR(LOOKUP(2,1/(U137:AY137&lt;&gt;""),U$2:AY$2),"")</f>
        <v/>
      </c>
      <c r="N137" s="59">
        <f>IF(OR(G137="",M137=""),"",G137-M137)</f>
        <v/>
      </c>
      <c r="O137" s="60" t="n"/>
      <c r="P137" s="61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  <c r="AG137" s="62" t="n"/>
      <c r="AH137" s="62" t="n"/>
      <c r="AI137" s="62" t="n"/>
      <c r="AJ137" s="62" t="n"/>
      <c r="AK137" s="62" t="n"/>
      <c r="AL137" s="62" t="n"/>
      <c r="AM137" s="62" t="n"/>
      <c r="AN137" s="62" t="n"/>
      <c r="AO137" s="62" t="n"/>
      <c r="AP137" s="62" t="n"/>
      <c r="AQ137" s="62" t="n"/>
      <c r="AR137" s="62" t="n"/>
      <c r="AS137" s="62" t="n"/>
      <c r="AT137" s="62" t="n"/>
      <c r="AU137" s="62" t="n"/>
      <c r="AV137" s="62" t="n"/>
      <c r="AW137" s="62" t="n"/>
      <c r="AX137" s="62" t="n"/>
      <c r="AY137" s="62" t="n"/>
    </row>
    <row r="138">
      <c r="A138" s="38">
        <f>IF(D138="","",COUNTA($D$133:D138))</f>
        <v/>
      </c>
      <c r="B138" s="52" t="n"/>
      <c r="C138" s="73" t="inlineStr">
        <is>
          <t>기타</t>
        </is>
      </c>
      <c r="D138" s="52" t="n"/>
      <c r="E138" s="54" t="n"/>
      <c r="F138" s="52" t="n"/>
      <c r="G138" s="55" t="n"/>
      <c r="H138" s="54" t="n"/>
      <c r="I138" s="54" t="n"/>
      <c r="J138" s="54" t="n"/>
      <c r="K138" s="56">
        <f>IF(SUM(U138:AY138)=0,"",SUM(U138:AY138))</f>
        <v/>
      </c>
      <c r="L138" s="57">
        <f>IFERROR(INDEX(U$2:AY$2,MATCH(TRUE,U138:AY138&lt;&gt;"",0)),"")</f>
        <v/>
      </c>
      <c r="M138" s="58">
        <f>IFERROR(LOOKUP(2,1/(U138:AY138&lt;&gt;""),U$2:AY$2),"")</f>
        <v/>
      </c>
      <c r="N138" s="59">
        <f>IF(OR(G138="",M138=""),"",G138-M138)</f>
        <v/>
      </c>
      <c r="O138" s="60" t="n"/>
      <c r="P138" s="61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  <c r="AG138" s="62" t="n"/>
      <c r="AH138" s="62" t="n"/>
      <c r="AI138" s="62" t="n"/>
      <c r="AJ138" s="62" t="n"/>
      <c r="AK138" s="62" t="n"/>
      <c r="AL138" s="62" t="n"/>
      <c r="AM138" s="62" t="n"/>
      <c r="AN138" s="62" t="n"/>
      <c r="AO138" s="62" t="n"/>
      <c r="AP138" s="62" t="n"/>
      <c r="AQ138" s="62" t="n"/>
      <c r="AR138" s="62" t="n"/>
      <c r="AS138" s="62" t="n"/>
      <c r="AT138" s="62" t="n"/>
      <c r="AU138" s="62" t="n"/>
      <c r="AV138" s="62" t="n"/>
      <c r="AW138" s="62" t="n"/>
      <c r="AX138" s="62" t="n"/>
      <c r="AY138" s="62" t="n"/>
    </row>
    <row r="139">
      <c r="A139" s="38">
        <f>IF(D139="","",COUNTA($D$133:D139))</f>
        <v/>
      </c>
      <c r="B139" s="52" t="n"/>
      <c r="C139" s="73" t="inlineStr">
        <is>
          <t>기타</t>
        </is>
      </c>
      <c r="D139" s="52" t="n"/>
      <c r="E139" s="54" t="n"/>
      <c r="F139" s="52" t="n"/>
      <c r="G139" s="55" t="n"/>
      <c r="H139" s="54" t="n"/>
      <c r="I139" s="54" t="n"/>
      <c r="J139" s="54" t="n"/>
      <c r="K139" s="56">
        <f>IF(SUM(U139:AY139)=0,"",SUM(U139:AY139))</f>
        <v/>
      </c>
      <c r="L139" s="57">
        <f>IFERROR(INDEX(U$2:AY$2,MATCH(TRUE,U139:AY139&lt;&gt;"",0)),"")</f>
        <v/>
      </c>
      <c r="M139" s="58">
        <f>IFERROR(LOOKUP(2,1/(U139:AY139&lt;&gt;""),U$2:AY$2),"")</f>
        <v/>
      </c>
      <c r="N139" s="59">
        <f>IF(OR(G139="",M139=""),"",G139-M139)</f>
        <v/>
      </c>
      <c r="O139" s="60" t="n"/>
      <c r="P139" s="61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  <c r="AG139" s="62" t="n"/>
      <c r="AH139" s="62" t="n"/>
      <c r="AI139" s="62" t="n"/>
      <c r="AJ139" s="62" t="n"/>
      <c r="AK139" s="62" t="n"/>
      <c r="AL139" s="62" t="n"/>
      <c r="AM139" s="62" t="n"/>
      <c r="AN139" s="62" t="n"/>
      <c r="AO139" s="62" t="n"/>
      <c r="AP139" s="62" t="n"/>
      <c r="AQ139" s="62" t="n"/>
      <c r="AR139" s="62" t="n"/>
      <c r="AS139" s="62" t="n"/>
      <c r="AT139" s="62" t="n"/>
      <c r="AU139" s="62" t="n"/>
      <c r="AV139" s="62" t="n"/>
      <c r="AW139" s="62" t="n"/>
      <c r="AX139" s="62" t="n"/>
      <c r="AY139" s="62" t="n"/>
    </row>
    <row r="140">
      <c r="A140" s="38">
        <f>IF(D140="","",COUNTA($D$133:D140))</f>
        <v/>
      </c>
      <c r="B140" s="52" t="n"/>
      <c r="C140" s="73" t="inlineStr">
        <is>
          <t>기타</t>
        </is>
      </c>
      <c r="D140" s="52" t="n"/>
      <c r="E140" s="54" t="n"/>
      <c r="F140" s="52" t="n"/>
      <c r="G140" s="55" t="n"/>
      <c r="H140" s="54" t="n"/>
      <c r="I140" s="54" t="n"/>
      <c r="J140" s="54" t="n"/>
      <c r="K140" s="56">
        <f>IF(SUM(U140:AY140)=0,"",SUM(U140:AY140))</f>
        <v/>
      </c>
      <c r="L140" s="57">
        <f>IFERROR(INDEX(U$2:AY$2,MATCH(TRUE,U140:AY140&lt;&gt;"",0)),"")</f>
        <v/>
      </c>
      <c r="M140" s="58">
        <f>IFERROR(LOOKUP(2,1/(U140:AY140&lt;&gt;""),U$2:AY$2),"")</f>
        <v/>
      </c>
      <c r="N140" s="59">
        <f>IF(OR(G140="",M140=""),"",G140-M140)</f>
        <v/>
      </c>
      <c r="O140" s="60" t="n"/>
      <c r="P140" s="61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  <c r="AG140" s="62" t="n"/>
      <c r="AH140" s="62" t="n"/>
      <c r="AI140" s="62" t="n"/>
      <c r="AJ140" s="62" t="n"/>
      <c r="AK140" s="62" t="n"/>
      <c r="AL140" s="62" t="n"/>
      <c r="AM140" s="62" t="n"/>
      <c r="AN140" s="62" t="n"/>
      <c r="AO140" s="62" t="n"/>
      <c r="AP140" s="62" t="n"/>
      <c r="AQ140" s="62" t="n"/>
      <c r="AR140" s="62" t="n"/>
      <c r="AS140" s="62" t="n"/>
      <c r="AT140" s="62" t="n"/>
      <c r="AU140" s="62" t="n"/>
      <c r="AV140" s="62" t="n"/>
      <c r="AW140" s="62" t="n"/>
      <c r="AX140" s="62" t="n"/>
      <c r="AY140" s="62" t="n"/>
    </row>
    <row r="141">
      <c r="A141" s="38">
        <f>IF(D141="","",COUNTA($D$133:D141))</f>
        <v/>
      </c>
      <c r="B141" s="52" t="n"/>
      <c r="C141" s="73" t="inlineStr">
        <is>
          <t>기타</t>
        </is>
      </c>
      <c r="D141" s="52" t="n"/>
      <c r="E141" s="54" t="n"/>
      <c r="F141" s="52" t="n"/>
      <c r="G141" s="55" t="n"/>
      <c r="H141" s="54" t="n"/>
      <c r="I141" s="54" t="n"/>
      <c r="J141" s="54" t="n"/>
      <c r="K141" s="56">
        <f>IF(SUM(U141:AY141)=0,"",SUM(U141:AY141))</f>
        <v/>
      </c>
      <c r="L141" s="57">
        <f>IFERROR(INDEX(U$2:AY$2,MATCH(TRUE,U141:AY141&lt;&gt;"",0)),"")</f>
        <v/>
      </c>
      <c r="M141" s="58">
        <f>IFERROR(LOOKUP(2,1/(U141:AY141&lt;&gt;""),U$2:AY$2),"")</f>
        <v/>
      </c>
      <c r="N141" s="59">
        <f>IF(OR(G141="",M141=""),"",G141-M141)</f>
        <v/>
      </c>
      <c r="O141" s="60" t="n"/>
      <c r="P141" s="61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  <c r="AG141" s="62" t="n"/>
      <c r="AH141" s="62" t="n"/>
      <c r="AI141" s="62" t="n"/>
      <c r="AJ141" s="62" t="n"/>
      <c r="AK141" s="62" t="n"/>
      <c r="AL141" s="62" t="n"/>
      <c r="AM141" s="62" t="n"/>
      <c r="AN141" s="62" t="n"/>
      <c r="AO141" s="62" t="n"/>
      <c r="AP141" s="62" t="n"/>
      <c r="AQ141" s="62" t="n"/>
      <c r="AR141" s="62" t="n"/>
      <c r="AS141" s="62" t="n"/>
      <c r="AT141" s="62" t="n"/>
      <c r="AU141" s="62" t="n"/>
      <c r="AV141" s="62" t="n"/>
      <c r="AW141" s="62" t="n"/>
      <c r="AX141" s="62" t="n"/>
      <c r="AY141" s="62" t="n"/>
    </row>
    <row r="142">
      <c r="A142" s="38">
        <f>IF(D142="","",COUNTA($D$133:D142))</f>
        <v/>
      </c>
      <c r="B142" s="52" t="n"/>
      <c r="C142" s="73" t="inlineStr">
        <is>
          <t>기타</t>
        </is>
      </c>
      <c r="D142" s="52" t="n"/>
      <c r="E142" s="54" t="n"/>
      <c r="F142" s="52" t="n"/>
      <c r="G142" s="55" t="n"/>
      <c r="H142" s="54" t="n"/>
      <c r="I142" s="54" t="n"/>
      <c r="J142" s="54" t="n"/>
      <c r="K142" s="56">
        <f>IF(SUM(U142:AY142)=0,"",SUM(U142:AY142))</f>
        <v/>
      </c>
      <c r="L142" s="57">
        <f>IFERROR(INDEX(U$2:AY$2,MATCH(TRUE,U142:AY142&lt;&gt;"",0)),"")</f>
        <v/>
      </c>
      <c r="M142" s="58">
        <f>IFERROR(LOOKUP(2,1/(U142:AY142&lt;&gt;""),U$2:AY$2),"")</f>
        <v/>
      </c>
      <c r="N142" s="59">
        <f>IF(OR(G142="",M142=""),"",G142-M142)</f>
        <v/>
      </c>
      <c r="O142" s="60" t="n"/>
      <c r="P142" s="61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  <c r="AG142" s="62" t="n"/>
      <c r="AH142" s="62" t="n"/>
      <c r="AI142" s="62" t="n"/>
      <c r="AJ142" s="62" t="n"/>
      <c r="AK142" s="62" t="n"/>
      <c r="AL142" s="62" t="n"/>
      <c r="AM142" s="62" t="n"/>
      <c r="AN142" s="62" t="n"/>
      <c r="AO142" s="62" t="n"/>
      <c r="AP142" s="62" t="n"/>
      <c r="AQ142" s="62" t="n"/>
      <c r="AR142" s="62" t="n"/>
      <c r="AS142" s="62" t="n"/>
      <c r="AT142" s="62" t="n"/>
      <c r="AU142" s="62" t="n"/>
      <c r="AV142" s="62" t="n"/>
      <c r="AW142" s="62" t="n"/>
      <c r="AX142" s="62" t="n"/>
      <c r="AY142" s="62" t="n"/>
    </row>
    <row r="143">
      <c r="A143" s="38">
        <f>IF(D143="","",COUNTA($D$133:D143))</f>
        <v/>
      </c>
      <c r="B143" s="52" t="n"/>
      <c r="C143" s="73" t="inlineStr">
        <is>
          <t>기타</t>
        </is>
      </c>
      <c r="D143" s="52" t="n"/>
      <c r="E143" s="54" t="n"/>
      <c r="F143" s="52" t="n"/>
      <c r="G143" s="55" t="n"/>
      <c r="H143" s="54" t="n"/>
      <c r="I143" s="54" t="n"/>
      <c r="J143" s="54" t="n"/>
      <c r="K143" s="56">
        <f>IF(SUM(U143:AY143)=0,"",SUM(U143:AY143))</f>
        <v/>
      </c>
      <c r="L143" s="57">
        <f>IFERROR(INDEX(U$2:AY$2,MATCH(TRUE,U143:AY143&lt;&gt;"",0)),"")</f>
        <v/>
      </c>
      <c r="M143" s="58">
        <f>IFERROR(LOOKUP(2,1/(U143:AY143&lt;&gt;""),U$2:AY$2),"")</f>
        <v/>
      </c>
      <c r="N143" s="59">
        <f>IF(OR(G143="",M143=""),"",G143-M143)</f>
        <v/>
      </c>
      <c r="O143" s="60" t="n"/>
      <c r="P143" s="61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  <c r="AG143" s="62" t="n"/>
      <c r="AH143" s="62" t="n"/>
      <c r="AI143" s="62" t="n"/>
      <c r="AJ143" s="62" t="n"/>
      <c r="AK143" s="62" t="n"/>
      <c r="AL143" s="62" t="n"/>
      <c r="AM143" s="62" t="n"/>
      <c r="AN143" s="62" t="n"/>
      <c r="AO143" s="62" t="n"/>
      <c r="AP143" s="62" t="n"/>
      <c r="AQ143" s="62" t="n"/>
      <c r="AR143" s="62" t="n"/>
      <c r="AS143" s="62" t="n"/>
      <c r="AT143" s="62" t="n"/>
      <c r="AU143" s="62" t="n"/>
      <c r="AV143" s="62" t="n"/>
      <c r="AW143" s="62" t="n"/>
      <c r="AX143" s="62" t="n"/>
      <c r="AY143" s="62" t="n"/>
    </row>
    <row r="144">
      <c r="A144" s="38">
        <f>IF(D144="","",COUNTA($D$133:D144))</f>
        <v/>
      </c>
      <c r="B144" s="52" t="n"/>
      <c r="C144" s="73" t="inlineStr">
        <is>
          <t>기타</t>
        </is>
      </c>
      <c r="D144" s="52" t="n"/>
      <c r="E144" s="54" t="n"/>
      <c r="F144" s="52" t="n"/>
      <c r="G144" s="55" t="n"/>
      <c r="H144" s="54" t="n"/>
      <c r="I144" s="54" t="n"/>
      <c r="J144" s="54" t="n"/>
      <c r="K144" s="56">
        <f>IF(SUM(U144:AY144)=0,"",SUM(U144:AY144))</f>
        <v/>
      </c>
      <c r="L144" s="57">
        <f>IFERROR(INDEX(U$2:AY$2,MATCH(TRUE,U144:AY144&lt;&gt;"",0)),"")</f>
        <v/>
      </c>
      <c r="M144" s="58">
        <f>IFERROR(LOOKUP(2,1/(U144:AY144&lt;&gt;""),U$2:AY$2),"")</f>
        <v/>
      </c>
      <c r="N144" s="59">
        <f>IF(OR(G144="",M144=""),"",G144-M144)</f>
        <v/>
      </c>
      <c r="O144" s="60" t="n"/>
      <c r="P144" s="61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  <c r="AG144" s="62" t="n"/>
      <c r="AH144" s="62" t="n"/>
      <c r="AI144" s="62" t="n"/>
      <c r="AJ144" s="62" t="n"/>
      <c r="AK144" s="62" t="n"/>
      <c r="AL144" s="62" t="n"/>
      <c r="AM144" s="62" t="n"/>
      <c r="AN144" s="62" t="n"/>
      <c r="AO144" s="62" t="n"/>
      <c r="AP144" s="62" t="n"/>
      <c r="AQ144" s="62" t="n"/>
      <c r="AR144" s="62" t="n"/>
      <c r="AS144" s="62" t="n"/>
      <c r="AT144" s="62" t="n"/>
      <c r="AU144" s="62" t="n"/>
      <c r="AV144" s="62" t="n"/>
      <c r="AW144" s="62" t="n"/>
      <c r="AX144" s="62" t="n"/>
      <c r="AY144" s="62" t="n"/>
    </row>
    <row r="145">
      <c r="A145" s="38">
        <f>IF(D145="","",COUNTA($D$133:D145))</f>
        <v/>
      </c>
      <c r="B145" s="52" t="n"/>
      <c r="C145" s="73" t="inlineStr">
        <is>
          <t>기타</t>
        </is>
      </c>
      <c r="D145" s="52" t="n"/>
      <c r="E145" s="54" t="n"/>
      <c r="F145" s="52" t="n"/>
      <c r="G145" s="55" t="n"/>
      <c r="H145" s="54" t="n"/>
      <c r="I145" s="54" t="n"/>
      <c r="J145" s="54" t="n"/>
      <c r="K145" s="56">
        <f>IF(SUM(U145:AY145)=0,"",SUM(U145:AY145))</f>
        <v/>
      </c>
      <c r="L145" s="57">
        <f>IFERROR(INDEX(U$2:AY$2,MATCH(TRUE,U145:AY145&lt;&gt;"",0)),"")</f>
        <v/>
      </c>
      <c r="M145" s="58">
        <f>IFERROR(LOOKUP(2,1/(U145:AY145&lt;&gt;""),U$2:AY$2),"")</f>
        <v/>
      </c>
      <c r="N145" s="59">
        <f>IF(OR(G145="",M145=""),"",G145-M145)</f>
        <v/>
      </c>
      <c r="O145" s="60" t="n"/>
      <c r="P145" s="61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  <c r="AG145" s="62" t="n"/>
      <c r="AH145" s="62" t="n"/>
      <c r="AI145" s="62" t="n"/>
      <c r="AJ145" s="62" t="n"/>
      <c r="AK145" s="62" t="n"/>
      <c r="AL145" s="62" t="n"/>
      <c r="AM145" s="62" t="n"/>
      <c r="AN145" s="62" t="n"/>
      <c r="AO145" s="62" t="n"/>
      <c r="AP145" s="62" t="n"/>
      <c r="AQ145" s="62" t="n"/>
      <c r="AR145" s="62" t="n"/>
      <c r="AS145" s="62" t="n"/>
      <c r="AT145" s="62" t="n"/>
      <c r="AU145" s="62" t="n"/>
      <c r="AV145" s="62" t="n"/>
      <c r="AW145" s="62" t="n"/>
      <c r="AX145" s="62" t="n"/>
      <c r="AY145" s="62" t="n"/>
    </row>
    <row r="146">
      <c r="A146" s="38">
        <f>IF(D146="","",COUNTA($D$133:D146))</f>
        <v/>
      </c>
      <c r="B146" s="52" t="n"/>
      <c r="C146" s="73" t="inlineStr">
        <is>
          <t>기타</t>
        </is>
      </c>
      <c r="D146" s="52" t="n"/>
      <c r="E146" s="54" t="n"/>
      <c r="F146" s="52" t="n"/>
      <c r="G146" s="55" t="n"/>
      <c r="H146" s="54" t="n"/>
      <c r="I146" s="54" t="n"/>
      <c r="J146" s="54" t="n"/>
      <c r="K146" s="56">
        <f>IF(SUM(U146:AY146)=0,"",SUM(U146:AY146))</f>
        <v/>
      </c>
      <c r="L146" s="57">
        <f>IFERROR(INDEX(U$2:AY$2,MATCH(TRUE,U146:AY146&lt;&gt;"",0)),"")</f>
        <v/>
      </c>
      <c r="M146" s="58">
        <f>IFERROR(LOOKUP(2,1/(U146:AY146&lt;&gt;""),U$2:AY$2),"")</f>
        <v/>
      </c>
      <c r="N146" s="59">
        <f>IF(OR(G146="",M146=""),"",G146-M146)</f>
        <v/>
      </c>
      <c r="O146" s="60" t="n"/>
      <c r="P146" s="61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  <c r="AG146" s="62" t="n"/>
      <c r="AH146" s="62" t="n"/>
      <c r="AI146" s="62" t="n"/>
      <c r="AJ146" s="62" t="n"/>
      <c r="AK146" s="62" t="n"/>
      <c r="AL146" s="62" t="n"/>
      <c r="AM146" s="62" t="n"/>
      <c r="AN146" s="62" t="n"/>
      <c r="AO146" s="62" t="n"/>
      <c r="AP146" s="62" t="n"/>
      <c r="AQ146" s="62" t="n"/>
      <c r="AR146" s="62" t="n"/>
      <c r="AS146" s="62" t="n"/>
      <c r="AT146" s="62" t="n"/>
      <c r="AU146" s="62" t="n"/>
      <c r="AV146" s="62" t="n"/>
      <c r="AW146" s="62" t="n"/>
      <c r="AX146" s="62" t="n"/>
      <c r="AY146" s="62" t="n"/>
    </row>
    <row r="147">
      <c r="A147" s="38">
        <f>IF(D147="","",COUNTA($D$133:D147))</f>
        <v/>
      </c>
      <c r="B147" s="52" t="n"/>
      <c r="C147" s="73" t="inlineStr">
        <is>
          <t>기타</t>
        </is>
      </c>
      <c r="D147" s="52" t="n"/>
      <c r="E147" s="54" t="n"/>
      <c r="F147" s="52" t="n"/>
      <c r="G147" s="55" t="n"/>
      <c r="H147" s="54" t="n"/>
      <c r="I147" s="54" t="n"/>
      <c r="J147" s="54" t="n"/>
      <c r="K147" s="56">
        <f>IF(SUM(U147:AY147)=0,"",SUM(U147:AY147))</f>
        <v/>
      </c>
      <c r="L147" s="57">
        <f>IFERROR(INDEX(U$2:AY$2,MATCH(TRUE,U147:AY147&lt;&gt;"",0)),"")</f>
        <v/>
      </c>
      <c r="M147" s="58">
        <f>IFERROR(LOOKUP(2,1/(U147:AY147&lt;&gt;""),U$2:AY$2),"")</f>
        <v/>
      </c>
      <c r="N147" s="59">
        <f>IF(OR(G147="",M147=""),"",G147-M147)</f>
        <v/>
      </c>
      <c r="O147" s="60" t="n"/>
      <c r="P147" s="61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  <c r="AG147" s="62" t="n"/>
      <c r="AH147" s="62" t="n"/>
      <c r="AI147" s="62" t="n"/>
      <c r="AJ147" s="62" t="n"/>
      <c r="AK147" s="62" t="n"/>
      <c r="AL147" s="62" t="n"/>
      <c r="AM147" s="62" t="n"/>
      <c r="AN147" s="62" t="n"/>
      <c r="AO147" s="62" t="n"/>
      <c r="AP147" s="62" t="n"/>
      <c r="AQ147" s="62" t="n"/>
      <c r="AR147" s="62" t="n"/>
      <c r="AS147" s="62" t="n"/>
      <c r="AT147" s="62" t="n"/>
      <c r="AU147" s="62" t="n"/>
      <c r="AV147" s="62" t="n"/>
      <c r="AW147" s="62" t="n"/>
      <c r="AX147" s="62" t="n"/>
      <c r="AY147" s="62" t="n"/>
    </row>
    <row r="148">
      <c r="A148" s="38">
        <f>IF(D148="","",COUNTA($D$133:D148))</f>
        <v/>
      </c>
      <c r="B148" s="52" t="n"/>
      <c r="C148" s="73" t="inlineStr">
        <is>
          <t>기타</t>
        </is>
      </c>
      <c r="D148" s="52" t="n"/>
      <c r="E148" s="54" t="n"/>
      <c r="F148" s="52" t="n"/>
      <c r="G148" s="55" t="n"/>
      <c r="H148" s="54" t="n"/>
      <c r="I148" s="54" t="n"/>
      <c r="J148" s="54" t="n"/>
      <c r="K148" s="56">
        <f>IF(SUM(U148:AY148)=0,"",SUM(U148:AY148))</f>
        <v/>
      </c>
      <c r="L148" s="57">
        <f>IFERROR(INDEX(U$2:AY$2,MATCH(TRUE,U148:AY148&lt;&gt;"",0)),"")</f>
        <v/>
      </c>
      <c r="M148" s="58">
        <f>IFERROR(LOOKUP(2,1/(U148:AY148&lt;&gt;""),U$2:AY$2),"")</f>
        <v/>
      </c>
      <c r="N148" s="59">
        <f>IF(OR(G148="",M148=""),"",G148-M148)</f>
        <v/>
      </c>
      <c r="O148" s="60" t="n"/>
      <c r="P148" s="61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  <c r="AG148" s="62" t="n"/>
      <c r="AH148" s="62" t="n"/>
      <c r="AI148" s="62" t="n"/>
      <c r="AJ148" s="62" t="n"/>
      <c r="AK148" s="62" t="n"/>
      <c r="AL148" s="62" t="n"/>
      <c r="AM148" s="62" t="n"/>
      <c r="AN148" s="62" t="n"/>
      <c r="AO148" s="62" t="n"/>
      <c r="AP148" s="62" t="n"/>
      <c r="AQ148" s="62" t="n"/>
      <c r="AR148" s="62" t="n"/>
      <c r="AS148" s="62" t="n"/>
      <c r="AT148" s="62" t="n"/>
      <c r="AU148" s="62" t="n"/>
      <c r="AV148" s="62" t="n"/>
      <c r="AW148" s="62" t="n"/>
      <c r="AX148" s="62" t="n"/>
      <c r="AY148" s="62" t="n"/>
    </row>
    <row r="149">
      <c r="A149" s="38">
        <f>IF(D149="","",COUNTA($D$133:D149))</f>
        <v/>
      </c>
      <c r="B149" s="52" t="n"/>
      <c r="C149" s="73" t="inlineStr">
        <is>
          <t>기타</t>
        </is>
      </c>
      <c r="D149" s="52" t="n"/>
      <c r="E149" s="54" t="n"/>
      <c r="F149" s="52" t="n"/>
      <c r="G149" s="55" t="n"/>
      <c r="H149" s="54" t="n"/>
      <c r="I149" s="54" t="n"/>
      <c r="J149" s="54" t="n"/>
      <c r="K149" s="56">
        <f>IF(SUM(U149:AY149)=0,"",SUM(U149:AY149))</f>
        <v/>
      </c>
      <c r="L149" s="57">
        <f>IFERROR(INDEX(U$2:AY$2,MATCH(TRUE,U149:AY149&lt;&gt;"",0)),"")</f>
        <v/>
      </c>
      <c r="M149" s="58">
        <f>IFERROR(LOOKUP(2,1/(U149:AY149&lt;&gt;""),U$2:AY$2),"")</f>
        <v/>
      </c>
      <c r="N149" s="59">
        <f>IF(OR(G149="",M149=""),"",G149-M149)</f>
        <v/>
      </c>
      <c r="O149" s="60" t="n"/>
      <c r="P149" s="61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  <c r="AG149" s="62" t="n"/>
      <c r="AH149" s="62" t="n"/>
      <c r="AI149" s="62" t="n"/>
      <c r="AJ149" s="62" t="n"/>
      <c r="AK149" s="62" t="n"/>
      <c r="AL149" s="62" t="n"/>
      <c r="AM149" s="62" t="n"/>
      <c r="AN149" s="62" t="n"/>
      <c r="AO149" s="62" t="n"/>
      <c r="AP149" s="62" t="n"/>
      <c r="AQ149" s="62" t="n"/>
      <c r="AR149" s="62" t="n"/>
      <c r="AS149" s="62" t="n"/>
      <c r="AT149" s="62" t="n"/>
      <c r="AU149" s="62" t="n"/>
      <c r="AV149" s="62" t="n"/>
      <c r="AW149" s="62" t="n"/>
      <c r="AX149" s="62" t="n"/>
      <c r="AY149" s="62" t="n"/>
    </row>
    <row r="150">
      <c r="A150" s="38">
        <f>IF(D150="","",COUNTA($D$133:D150))</f>
        <v/>
      </c>
      <c r="B150" s="52" t="n"/>
      <c r="C150" s="73" t="inlineStr">
        <is>
          <t>기타</t>
        </is>
      </c>
      <c r="D150" s="52" t="n"/>
      <c r="E150" s="54" t="n"/>
      <c r="F150" s="52" t="n"/>
      <c r="G150" s="55" t="n"/>
      <c r="H150" s="54" t="n"/>
      <c r="I150" s="54" t="n"/>
      <c r="J150" s="54" t="n"/>
      <c r="K150" s="56">
        <f>IF(SUM(U150:AY150)=0,"",SUM(U150:AY150))</f>
        <v/>
      </c>
      <c r="L150" s="57">
        <f>IFERROR(INDEX(U$2:AY$2,MATCH(TRUE,U150:AY150&lt;&gt;"",0)),"")</f>
        <v/>
      </c>
      <c r="M150" s="58">
        <f>IFERROR(LOOKUP(2,1/(U150:AY150&lt;&gt;""),U$2:AY$2),"")</f>
        <v/>
      </c>
      <c r="N150" s="59">
        <f>IF(OR(G150="",M150=""),"",G150-M150)</f>
        <v/>
      </c>
      <c r="O150" s="60" t="n"/>
      <c r="P150" s="61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  <c r="AG150" s="62" t="n"/>
      <c r="AH150" s="62" t="n"/>
      <c r="AI150" s="62" t="n"/>
      <c r="AJ150" s="62" t="n"/>
      <c r="AK150" s="62" t="n"/>
      <c r="AL150" s="62" t="n"/>
      <c r="AM150" s="62" t="n"/>
      <c r="AN150" s="62" t="n"/>
      <c r="AO150" s="62" t="n"/>
      <c r="AP150" s="62" t="n"/>
      <c r="AQ150" s="62" t="n"/>
      <c r="AR150" s="62" t="n"/>
      <c r="AS150" s="62" t="n"/>
      <c r="AT150" s="62" t="n"/>
      <c r="AU150" s="62" t="n"/>
      <c r="AV150" s="62" t="n"/>
      <c r="AW150" s="62" t="n"/>
      <c r="AX150" s="62" t="n"/>
      <c r="AY150" s="62" t="n"/>
    </row>
    <row r="151">
      <c r="A151" s="38">
        <f>IF(D151="","",COUNTA($D$133:D151))</f>
        <v/>
      </c>
      <c r="B151" s="52" t="n"/>
      <c r="C151" s="73" t="inlineStr">
        <is>
          <t>기타</t>
        </is>
      </c>
      <c r="D151" s="52" t="n"/>
      <c r="E151" s="54" t="n"/>
      <c r="F151" s="52" t="n"/>
      <c r="G151" s="55" t="n"/>
      <c r="H151" s="54" t="n"/>
      <c r="I151" s="54" t="n"/>
      <c r="J151" s="54" t="n"/>
      <c r="K151" s="56">
        <f>IF(SUM(U151:AY151)=0,"",SUM(U151:AY151))</f>
        <v/>
      </c>
      <c r="L151" s="57">
        <f>IFERROR(INDEX(U$2:AY$2,MATCH(TRUE,U151:AY151&lt;&gt;"",0)),"")</f>
        <v/>
      </c>
      <c r="M151" s="58">
        <f>IFERROR(LOOKUP(2,1/(U151:AY151&lt;&gt;""),U$2:AY$2),"")</f>
        <v/>
      </c>
      <c r="N151" s="59">
        <f>IF(OR(G151="",M151=""),"",G151-M151)</f>
        <v/>
      </c>
      <c r="O151" s="60" t="n"/>
      <c r="P151" s="61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  <c r="AG151" s="62" t="n"/>
      <c r="AH151" s="62" t="n"/>
      <c r="AI151" s="62" t="n"/>
      <c r="AJ151" s="62" t="n"/>
      <c r="AK151" s="62" t="n"/>
      <c r="AL151" s="62" t="n"/>
      <c r="AM151" s="62" t="n"/>
      <c r="AN151" s="62" t="n"/>
      <c r="AO151" s="62" t="n"/>
      <c r="AP151" s="62" t="n"/>
      <c r="AQ151" s="62" t="n"/>
      <c r="AR151" s="62" t="n"/>
      <c r="AS151" s="62" t="n"/>
      <c r="AT151" s="62" t="n"/>
      <c r="AU151" s="62" t="n"/>
      <c r="AV151" s="62" t="n"/>
      <c r="AW151" s="62" t="n"/>
      <c r="AX151" s="62" t="n"/>
      <c r="AY151" s="62" t="n"/>
    </row>
    <row r="152">
      <c r="A152" s="38">
        <f>IF(D152="","",COUNTA($D$133:D152))</f>
        <v/>
      </c>
      <c r="B152" s="52" t="n"/>
      <c r="C152" s="73" t="inlineStr">
        <is>
          <t>기타</t>
        </is>
      </c>
      <c r="D152" s="52" t="n"/>
      <c r="E152" s="54" t="n"/>
      <c r="F152" s="52" t="n"/>
      <c r="G152" s="55" t="n"/>
      <c r="H152" s="54" t="n"/>
      <c r="I152" s="54" t="n"/>
      <c r="J152" s="54" t="n"/>
      <c r="K152" s="56">
        <f>IF(SUM(U152:AY152)=0,"",SUM(U152:AY152))</f>
        <v/>
      </c>
      <c r="L152" s="57">
        <f>IFERROR(INDEX(U$2:AY$2,MATCH(TRUE,U152:AY152&lt;&gt;"",0)),"")</f>
        <v/>
      </c>
      <c r="M152" s="58">
        <f>IFERROR(LOOKUP(2,1/(U152:AY152&lt;&gt;""),U$2:AY$2),"")</f>
        <v/>
      </c>
      <c r="N152" s="59">
        <f>IF(OR(G152="",M152=""),"",G152-M152)</f>
        <v/>
      </c>
      <c r="O152" s="60" t="n"/>
      <c r="P152" s="61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  <c r="AG152" s="62" t="n"/>
      <c r="AH152" s="62" t="n"/>
      <c r="AI152" s="62" t="n"/>
      <c r="AJ152" s="62" t="n"/>
      <c r="AK152" s="62" t="n"/>
      <c r="AL152" s="62" t="n"/>
      <c r="AM152" s="62" t="n"/>
      <c r="AN152" s="62" t="n"/>
      <c r="AO152" s="62" t="n"/>
      <c r="AP152" s="62" t="n"/>
      <c r="AQ152" s="62" t="n"/>
      <c r="AR152" s="62" t="n"/>
      <c r="AS152" s="62" t="n"/>
      <c r="AT152" s="62" t="n"/>
      <c r="AU152" s="62" t="n"/>
      <c r="AV152" s="62" t="n"/>
      <c r="AW152" s="62" t="n"/>
      <c r="AX152" s="62" t="n"/>
      <c r="AY152" s="62" t="n"/>
    </row>
    <row r="153">
      <c r="A153" s="38">
        <f>IF(D153="","",COUNTA($D$133:D153))</f>
        <v/>
      </c>
      <c r="B153" s="52" t="n"/>
      <c r="C153" s="73" t="inlineStr">
        <is>
          <t>기타</t>
        </is>
      </c>
      <c r="D153" s="52" t="n"/>
      <c r="E153" s="54" t="n"/>
      <c r="F153" s="52" t="n"/>
      <c r="G153" s="55" t="n"/>
      <c r="H153" s="54" t="n"/>
      <c r="I153" s="54" t="n"/>
      <c r="J153" s="54" t="n"/>
      <c r="K153" s="56">
        <f>IF(SUM(U153:AY153)=0,"",SUM(U153:AY153))</f>
        <v/>
      </c>
      <c r="L153" s="57">
        <f>IFERROR(INDEX(U$2:AY$2,MATCH(TRUE,U153:AY153&lt;&gt;"",0)),"")</f>
        <v/>
      </c>
      <c r="M153" s="58">
        <f>IFERROR(LOOKUP(2,1/(U153:AY153&lt;&gt;""),U$2:AY$2),"")</f>
        <v/>
      </c>
      <c r="N153" s="59">
        <f>IF(OR(G153="",M153=""),"",G153-M153)</f>
        <v/>
      </c>
      <c r="O153" s="60" t="n"/>
      <c r="P153" s="61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  <c r="AG153" s="62" t="n"/>
      <c r="AH153" s="62" t="n"/>
      <c r="AI153" s="62" t="n"/>
      <c r="AJ153" s="62" t="n"/>
      <c r="AK153" s="62" t="n"/>
      <c r="AL153" s="62" t="n"/>
      <c r="AM153" s="62" t="n"/>
      <c r="AN153" s="62" t="n"/>
      <c r="AO153" s="62" t="n"/>
      <c r="AP153" s="62" t="n"/>
      <c r="AQ153" s="62" t="n"/>
      <c r="AR153" s="62" t="n"/>
      <c r="AS153" s="62" t="n"/>
      <c r="AT153" s="62" t="n"/>
      <c r="AU153" s="62" t="n"/>
      <c r="AV153" s="62" t="n"/>
      <c r="AW153" s="62" t="n"/>
      <c r="AX153" s="62" t="n"/>
      <c r="AY153" s="62" t="n"/>
    </row>
    <row r="154">
      <c r="A154" s="38">
        <f>IF(D154="","",COUNTA($D$133:D154))</f>
        <v/>
      </c>
      <c r="B154" s="52" t="n"/>
      <c r="C154" s="73" t="inlineStr">
        <is>
          <t>기타</t>
        </is>
      </c>
      <c r="D154" s="52" t="n"/>
      <c r="E154" s="54" t="n"/>
      <c r="F154" s="52" t="n"/>
      <c r="G154" s="55" t="n"/>
      <c r="H154" s="54" t="n"/>
      <c r="I154" s="54" t="n"/>
      <c r="J154" s="54" t="n"/>
      <c r="K154" s="56">
        <f>IF(SUM(U154:AY154)=0,"",SUM(U154:AY154))</f>
        <v/>
      </c>
      <c r="L154" s="57">
        <f>IFERROR(INDEX(U$2:AY$2,MATCH(TRUE,U154:AY154&lt;&gt;"",0)),"")</f>
        <v/>
      </c>
      <c r="M154" s="58">
        <f>IFERROR(LOOKUP(2,1/(U154:AY154&lt;&gt;""),U$2:AY$2),"")</f>
        <v/>
      </c>
      <c r="N154" s="59">
        <f>IF(OR(G154="",M154=""),"",G154-M154)</f>
        <v/>
      </c>
      <c r="O154" s="60" t="n"/>
      <c r="P154" s="61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  <c r="AG154" s="62" t="n"/>
      <c r="AH154" s="62" t="n"/>
      <c r="AI154" s="62" t="n"/>
      <c r="AJ154" s="62" t="n"/>
      <c r="AK154" s="62" t="n"/>
      <c r="AL154" s="62" t="n"/>
      <c r="AM154" s="62" t="n"/>
      <c r="AN154" s="62" t="n"/>
      <c r="AO154" s="62" t="n"/>
      <c r="AP154" s="62" t="n"/>
      <c r="AQ154" s="62" t="n"/>
      <c r="AR154" s="62" t="n"/>
      <c r="AS154" s="62" t="n"/>
      <c r="AT154" s="62" t="n"/>
      <c r="AU154" s="62" t="n"/>
      <c r="AV154" s="62" t="n"/>
      <c r="AW154" s="62" t="n"/>
      <c r="AX154" s="62" t="n"/>
      <c r="AY154" s="62" t="n"/>
    </row>
    <row r="155">
      <c r="A155" s="38">
        <f>IF(D155="","",COUNTA($D$133:D155))</f>
        <v/>
      </c>
      <c r="B155" s="52" t="n"/>
      <c r="C155" s="73" t="inlineStr">
        <is>
          <t>기타</t>
        </is>
      </c>
      <c r="D155" s="52" t="n"/>
      <c r="E155" s="54" t="n"/>
      <c r="F155" s="52" t="n"/>
      <c r="G155" s="55" t="n"/>
      <c r="H155" s="54" t="n"/>
      <c r="I155" s="54" t="n"/>
      <c r="J155" s="54" t="n"/>
      <c r="K155" s="56">
        <f>IF(SUM(U155:AY155)=0,"",SUM(U155:AY155))</f>
        <v/>
      </c>
      <c r="L155" s="57">
        <f>IFERROR(INDEX(U$2:AY$2,MATCH(TRUE,U155:AY155&lt;&gt;"",0)),"")</f>
        <v/>
      </c>
      <c r="M155" s="58">
        <f>IFERROR(LOOKUP(2,1/(U155:AY155&lt;&gt;""),U$2:AY$2),"")</f>
        <v/>
      </c>
      <c r="N155" s="59">
        <f>IF(OR(G155="",M155=""),"",G155-M155)</f>
        <v/>
      </c>
      <c r="O155" s="60" t="n"/>
      <c r="P155" s="61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  <c r="AG155" s="62" t="n"/>
      <c r="AH155" s="62" t="n"/>
      <c r="AI155" s="62" t="n"/>
      <c r="AJ155" s="62" t="n"/>
      <c r="AK155" s="62" t="n"/>
      <c r="AL155" s="62" t="n"/>
      <c r="AM155" s="62" t="n"/>
      <c r="AN155" s="62" t="n"/>
      <c r="AO155" s="62" t="n"/>
      <c r="AP155" s="62" t="n"/>
      <c r="AQ155" s="62" t="n"/>
      <c r="AR155" s="62" t="n"/>
      <c r="AS155" s="62" t="n"/>
      <c r="AT155" s="62" t="n"/>
      <c r="AU155" s="62" t="n"/>
      <c r="AV155" s="62" t="n"/>
      <c r="AW155" s="62" t="n"/>
      <c r="AX155" s="62" t="n"/>
      <c r="AY155" s="62" t="n"/>
    </row>
    <row r="156">
      <c r="A156" s="38">
        <f>IF(D156="","",COUNTA($D$133:D156))</f>
        <v/>
      </c>
      <c r="B156" s="52" t="n"/>
      <c r="C156" s="73" t="inlineStr">
        <is>
          <t>기타</t>
        </is>
      </c>
      <c r="D156" s="52" t="n"/>
      <c r="E156" s="54" t="n"/>
      <c r="F156" s="52" t="n"/>
      <c r="G156" s="55" t="n"/>
      <c r="H156" s="54" t="n"/>
      <c r="I156" s="54" t="n"/>
      <c r="J156" s="54" t="n"/>
      <c r="K156" s="56">
        <f>IF(SUM(U156:AY156)=0,"",SUM(U156:AY156))</f>
        <v/>
      </c>
      <c r="L156" s="57">
        <f>IFERROR(INDEX(U$2:AY$2,MATCH(TRUE,U156:AY156&lt;&gt;"",0)),"")</f>
        <v/>
      </c>
      <c r="M156" s="58">
        <f>IFERROR(LOOKUP(2,1/(U156:AY156&lt;&gt;""),U$2:AY$2),"")</f>
        <v/>
      </c>
      <c r="N156" s="59">
        <f>IF(OR(G156="",M156=""),"",G156-M156)</f>
        <v/>
      </c>
      <c r="O156" s="60" t="n"/>
      <c r="P156" s="61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  <c r="AG156" s="62" t="n"/>
      <c r="AH156" s="62" t="n"/>
      <c r="AI156" s="62" t="n"/>
      <c r="AJ156" s="62" t="n"/>
      <c r="AK156" s="62" t="n"/>
      <c r="AL156" s="62" t="n"/>
      <c r="AM156" s="62" t="n"/>
      <c r="AN156" s="62" t="n"/>
      <c r="AO156" s="62" t="n"/>
      <c r="AP156" s="62" t="n"/>
      <c r="AQ156" s="62" t="n"/>
      <c r="AR156" s="62" t="n"/>
      <c r="AS156" s="62" t="n"/>
      <c r="AT156" s="62" t="n"/>
      <c r="AU156" s="62" t="n"/>
      <c r="AV156" s="62" t="n"/>
      <c r="AW156" s="62" t="n"/>
      <c r="AX156" s="62" t="n"/>
      <c r="AY156" s="62" t="n"/>
    </row>
    <row r="157">
      <c r="A157" s="38">
        <f>IF(D157="","",COUNTA($D$133:D157))</f>
        <v/>
      </c>
      <c r="B157" s="52" t="n"/>
      <c r="C157" s="73" t="inlineStr">
        <is>
          <t>기타</t>
        </is>
      </c>
      <c r="D157" s="52" t="n"/>
      <c r="E157" s="54" t="n"/>
      <c r="F157" s="52" t="n"/>
      <c r="G157" s="55" t="n"/>
      <c r="H157" s="54" t="n"/>
      <c r="I157" s="54" t="n"/>
      <c r="J157" s="54" t="n"/>
      <c r="K157" s="56">
        <f>IF(SUM(U157:AY157)=0,"",SUM(U157:AY157))</f>
        <v/>
      </c>
      <c r="L157" s="57">
        <f>IFERROR(INDEX(U$2:AY$2,MATCH(TRUE,U157:AY157&lt;&gt;"",0)),"")</f>
        <v/>
      </c>
      <c r="M157" s="58">
        <f>IFERROR(LOOKUP(2,1/(U157:AY157&lt;&gt;""),U$2:AY$2),"")</f>
        <v/>
      </c>
      <c r="N157" s="59">
        <f>IF(OR(G157="",M157=""),"",G157-M157)</f>
        <v/>
      </c>
      <c r="O157" s="60" t="n"/>
      <c r="P157" s="61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  <c r="AG157" s="62" t="n"/>
      <c r="AH157" s="62" t="n"/>
      <c r="AI157" s="62" t="n"/>
      <c r="AJ157" s="62" t="n"/>
      <c r="AK157" s="62" t="n"/>
      <c r="AL157" s="62" t="n"/>
      <c r="AM157" s="62" t="n"/>
      <c r="AN157" s="62" t="n"/>
      <c r="AO157" s="62" t="n"/>
      <c r="AP157" s="62" t="n"/>
      <c r="AQ157" s="62" t="n"/>
      <c r="AR157" s="62" t="n"/>
      <c r="AS157" s="62" t="n"/>
      <c r="AT157" s="62" t="n"/>
      <c r="AU157" s="62" t="n"/>
      <c r="AV157" s="62" t="n"/>
      <c r="AW157" s="62" t="n"/>
      <c r="AX157" s="62" t="n"/>
      <c r="AY157" s="62" t="n"/>
    </row>
    <row r="158">
      <c r="A158" s="38">
        <f>IF(D158="","",COUNTA($D$133:D158))</f>
        <v/>
      </c>
      <c r="B158" s="52" t="n"/>
      <c r="C158" s="73" t="inlineStr">
        <is>
          <t>기타</t>
        </is>
      </c>
      <c r="D158" s="52" t="n"/>
      <c r="E158" s="54" t="n"/>
      <c r="F158" s="52" t="n"/>
      <c r="G158" s="55" t="n"/>
      <c r="H158" s="54" t="n"/>
      <c r="I158" s="54" t="n"/>
      <c r="J158" s="54" t="n"/>
      <c r="K158" s="56">
        <f>IF(SUM(U158:AY158)=0,"",SUM(U158:AY158))</f>
        <v/>
      </c>
      <c r="L158" s="57">
        <f>IFERROR(INDEX(U$2:AY$2,MATCH(TRUE,U158:AY158&lt;&gt;"",0)),"")</f>
        <v/>
      </c>
      <c r="M158" s="58">
        <f>IFERROR(LOOKUP(2,1/(U158:AY158&lt;&gt;""),U$2:AY$2),"")</f>
        <v/>
      </c>
      <c r="N158" s="59">
        <f>IF(OR(G158="",M158=""),"",G158-M158)</f>
        <v/>
      </c>
      <c r="O158" s="60" t="n"/>
      <c r="P158" s="61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  <c r="AG158" s="62" t="n"/>
      <c r="AH158" s="62" t="n"/>
      <c r="AI158" s="62" t="n"/>
      <c r="AJ158" s="62" t="n"/>
      <c r="AK158" s="62" t="n"/>
      <c r="AL158" s="62" t="n"/>
      <c r="AM158" s="62" t="n"/>
      <c r="AN158" s="62" t="n"/>
      <c r="AO158" s="62" t="n"/>
      <c r="AP158" s="62" t="n"/>
      <c r="AQ158" s="62" t="n"/>
      <c r="AR158" s="62" t="n"/>
      <c r="AS158" s="62" t="n"/>
      <c r="AT158" s="62" t="n"/>
      <c r="AU158" s="62" t="n"/>
      <c r="AV158" s="62" t="n"/>
      <c r="AW158" s="62" t="n"/>
      <c r="AX158" s="62" t="n"/>
      <c r="AY158" s="62" t="n"/>
    </row>
    <row r="159">
      <c r="A159" s="38">
        <f>IF(D159="","",COUNTA($D$133:D159))</f>
        <v/>
      </c>
      <c r="B159" s="52" t="n"/>
      <c r="C159" s="73" t="inlineStr">
        <is>
          <t>기타</t>
        </is>
      </c>
      <c r="D159" s="52" t="n"/>
      <c r="E159" s="54" t="n"/>
      <c r="F159" s="52" t="n"/>
      <c r="G159" s="55" t="n"/>
      <c r="H159" s="54" t="n"/>
      <c r="I159" s="54" t="n"/>
      <c r="J159" s="54" t="n"/>
      <c r="K159" s="56">
        <f>IF(SUM(U159:AY159)=0,"",SUM(U159:AY159))</f>
        <v/>
      </c>
      <c r="L159" s="57">
        <f>IFERROR(INDEX(U$2:AY$2,MATCH(TRUE,U159:AY159&lt;&gt;"",0)),"")</f>
        <v/>
      </c>
      <c r="M159" s="58">
        <f>IFERROR(LOOKUP(2,1/(U159:AY159&lt;&gt;""),U$2:AY$2),"")</f>
        <v/>
      </c>
      <c r="N159" s="59">
        <f>IF(OR(G159="",M159=""),"",G159-M159)</f>
        <v/>
      </c>
      <c r="O159" s="60" t="n"/>
      <c r="P159" s="61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  <c r="AG159" s="62" t="n"/>
      <c r="AH159" s="62" t="n"/>
      <c r="AI159" s="62" t="n"/>
      <c r="AJ159" s="62" t="n"/>
      <c r="AK159" s="62" t="n"/>
      <c r="AL159" s="62" t="n"/>
      <c r="AM159" s="62" t="n"/>
      <c r="AN159" s="62" t="n"/>
      <c r="AO159" s="62" t="n"/>
      <c r="AP159" s="62" t="n"/>
      <c r="AQ159" s="62" t="n"/>
      <c r="AR159" s="62" t="n"/>
      <c r="AS159" s="62" t="n"/>
      <c r="AT159" s="62" t="n"/>
      <c r="AU159" s="62" t="n"/>
      <c r="AV159" s="62" t="n"/>
      <c r="AW159" s="62" t="n"/>
      <c r="AX159" s="62" t="n"/>
      <c r="AY159" s="62" t="n"/>
    </row>
    <row r="160">
      <c r="A160" s="38">
        <f>IF(D160="","",COUNTA($D$133:D160))</f>
        <v/>
      </c>
      <c r="B160" s="52" t="n"/>
      <c r="C160" s="73" t="inlineStr">
        <is>
          <t>기타</t>
        </is>
      </c>
      <c r="D160" s="52" t="n"/>
      <c r="E160" s="54" t="n"/>
      <c r="F160" s="52" t="n"/>
      <c r="G160" s="55" t="n"/>
      <c r="H160" s="54" t="n"/>
      <c r="I160" s="54" t="n"/>
      <c r="J160" s="54" t="n"/>
      <c r="K160" s="56">
        <f>IF(SUM(U160:AY160)=0,"",SUM(U160:AY160))</f>
        <v/>
      </c>
      <c r="L160" s="57">
        <f>IFERROR(INDEX(U$2:AY$2,MATCH(TRUE,U160:AY160&lt;&gt;"",0)),"")</f>
        <v/>
      </c>
      <c r="M160" s="58">
        <f>IFERROR(LOOKUP(2,1/(U160:AY160&lt;&gt;""),U$2:AY$2),"")</f>
        <v/>
      </c>
      <c r="N160" s="59">
        <f>IF(OR(G160="",M160=""),"",G160-M160)</f>
        <v/>
      </c>
      <c r="O160" s="60" t="n"/>
      <c r="P160" s="61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  <c r="AG160" s="62" t="n"/>
      <c r="AH160" s="62" t="n"/>
      <c r="AI160" s="62" t="n"/>
      <c r="AJ160" s="62" t="n"/>
      <c r="AK160" s="62" t="n"/>
      <c r="AL160" s="62" t="n"/>
      <c r="AM160" s="62" t="n"/>
      <c r="AN160" s="62" t="n"/>
      <c r="AO160" s="62" t="n"/>
      <c r="AP160" s="62" t="n"/>
      <c r="AQ160" s="62" t="n"/>
      <c r="AR160" s="62" t="n"/>
      <c r="AS160" s="62" t="n"/>
      <c r="AT160" s="62" t="n"/>
      <c r="AU160" s="62" t="n"/>
      <c r="AV160" s="62" t="n"/>
      <c r="AW160" s="62" t="n"/>
      <c r="AX160" s="62" t="n"/>
      <c r="AY160" s="62" t="n"/>
    </row>
    <row r="161">
      <c r="A161" s="38">
        <f>IF(D161="","",COUNTA($D$133:D161))</f>
        <v/>
      </c>
      <c r="B161" s="52" t="n"/>
      <c r="C161" s="73" t="inlineStr">
        <is>
          <t>기타</t>
        </is>
      </c>
      <c r="D161" s="52" t="n"/>
      <c r="E161" s="54" t="n"/>
      <c r="F161" s="52" t="n"/>
      <c r="G161" s="55" t="n"/>
      <c r="H161" s="54" t="n"/>
      <c r="I161" s="54" t="n"/>
      <c r="J161" s="54" t="n"/>
      <c r="K161" s="56">
        <f>IF(SUM(U161:AY161)=0,"",SUM(U161:AY161))</f>
        <v/>
      </c>
      <c r="L161" s="57">
        <f>IFERROR(INDEX(U$2:AY$2,MATCH(TRUE,U161:AY161&lt;&gt;"",0)),"")</f>
        <v/>
      </c>
      <c r="M161" s="58">
        <f>IFERROR(LOOKUP(2,1/(U161:AY161&lt;&gt;""),U$2:AY$2),"")</f>
        <v/>
      </c>
      <c r="N161" s="59">
        <f>IF(OR(G161="",M161=""),"",G161-M161)</f>
        <v/>
      </c>
      <c r="O161" s="60" t="n"/>
      <c r="P161" s="61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  <c r="AG161" s="62" t="n"/>
      <c r="AH161" s="62" t="n"/>
      <c r="AI161" s="62" t="n"/>
      <c r="AJ161" s="62" t="n"/>
      <c r="AK161" s="62" t="n"/>
      <c r="AL161" s="62" t="n"/>
      <c r="AM161" s="62" t="n"/>
      <c r="AN161" s="62" t="n"/>
      <c r="AO161" s="62" t="n"/>
      <c r="AP161" s="62" t="n"/>
      <c r="AQ161" s="62" t="n"/>
      <c r="AR161" s="62" t="n"/>
      <c r="AS161" s="62" t="n"/>
      <c r="AT161" s="62" t="n"/>
      <c r="AU161" s="62" t="n"/>
      <c r="AV161" s="62" t="n"/>
      <c r="AW161" s="62" t="n"/>
      <c r="AX161" s="62" t="n"/>
      <c r="AY161" s="62" t="n"/>
    </row>
    <row r="162">
      <c r="A162" s="38">
        <f>IF(D162="","",COUNTA($D$133:D162))</f>
        <v/>
      </c>
      <c r="B162" s="52" t="n"/>
      <c r="C162" s="73" t="inlineStr">
        <is>
          <t>기타</t>
        </is>
      </c>
      <c r="D162" s="52" t="n"/>
      <c r="E162" s="54" t="n"/>
      <c r="F162" s="52" t="n"/>
      <c r="G162" s="55" t="n"/>
      <c r="H162" s="54" t="n"/>
      <c r="I162" s="54" t="n"/>
      <c r="J162" s="54" t="n"/>
      <c r="K162" s="56">
        <f>IF(SUM(U162:AY162)=0,"",SUM(U162:AY162))</f>
        <v/>
      </c>
      <c r="L162" s="57">
        <f>IFERROR(INDEX(U$2:AY$2,MATCH(TRUE,U162:AY162&lt;&gt;"",0)),"")</f>
        <v/>
      </c>
      <c r="M162" s="58">
        <f>IFERROR(LOOKUP(2,1/(U162:AY162&lt;&gt;""),U$2:AY$2),"")</f>
        <v/>
      </c>
      <c r="N162" s="59">
        <f>IF(OR(G162="",M162=""),"",G162-M162)</f>
        <v/>
      </c>
      <c r="O162" s="60" t="n"/>
      <c r="P162" s="61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  <c r="AG162" s="62" t="n"/>
      <c r="AH162" s="62" t="n"/>
      <c r="AI162" s="62" t="n"/>
      <c r="AJ162" s="62" t="n"/>
      <c r="AK162" s="62" t="n"/>
      <c r="AL162" s="62" t="n"/>
      <c r="AM162" s="62" t="n"/>
      <c r="AN162" s="62" t="n"/>
      <c r="AO162" s="62" t="n"/>
      <c r="AP162" s="62" t="n"/>
      <c r="AQ162" s="62" t="n"/>
      <c r="AR162" s="62" t="n"/>
      <c r="AS162" s="62" t="n"/>
      <c r="AT162" s="62" t="n"/>
      <c r="AU162" s="62" t="n"/>
      <c r="AV162" s="62" t="n"/>
      <c r="AW162" s="62" t="n"/>
      <c r="AX162" s="62" t="n"/>
      <c r="AY162" s="62" t="n"/>
    </row>
    <row r="163">
      <c r="A163" s="74">
        <f>'마스터'!$J$5</f>
        <v/>
      </c>
    </row>
    <row r="164">
      <c r="A164" s="74" t="inlineStr">
        <is>
          <t>공휴일(로컬 미러 - 조건부서식 전용, 편집 불필요)</t>
        </is>
      </c>
    </row>
    <row r="165">
      <c r="A165" s="75">
        <f>'마스터'!$J$13</f>
        <v/>
      </c>
    </row>
    <row r="166">
      <c r="A166" s="75">
        <f>'마스터'!$J$14</f>
        <v/>
      </c>
    </row>
    <row r="167">
      <c r="A167" s="75">
        <f>'마스터'!$J$15</f>
        <v/>
      </c>
    </row>
    <row r="168">
      <c r="A168" s="75">
        <f>'마스터'!$J$16</f>
        <v/>
      </c>
    </row>
    <row r="169">
      <c r="A169" s="75">
        <f>'마스터'!$J$17</f>
        <v/>
      </c>
    </row>
    <row r="170">
      <c r="A170" s="75">
        <f>'마스터'!$J$18</f>
        <v/>
      </c>
    </row>
    <row r="171">
      <c r="A171" s="75">
        <f>'마스터'!$J$19</f>
        <v/>
      </c>
    </row>
    <row r="172">
      <c r="A172" s="75">
        <f>'마스터'!$J$20</f>
        <v/>
      </c>
    </row>
    <row r="173">
      <c r="A173" s="75">
        <f>'마스터'!$J$21</f>
        <v/>
      </c>
    </row>
    <row r="174">
      <c r="A174" s="75">
        <f>'마스터'!$J$22</f>
        <v/>
      </c>
    </row>
    <row r="175">
      <c r="A175" s="75">
        <f>'마스터'!$J$23</f>
        <v/>
      </c>
    </row>
    <row r="176">
      <c r="A176" s="75">
        <f>'마스터'!$J$24</f>
        <v/>
      </c>
    </row>
    <row r="177">
      <c r="A177" s="75">
        <f>'마스터'!$J$25</f>
        <v/>
      </c>
    </row>
    <row r="178">
      <c r="A178" s="75">
        <f>'마스터'!$J$26</f>
        <v/>
      </c>
    </row>
    <row r="179">
      <c r="A179" s="75">
        <f>'마스터'!$J$27</f>
        <v/>
      </c>
    </row>
  </sheetData>
  <mergeCells count="13">
    <mergeCell ref="H1:J1"/>
    <mergeCell ref="K1:P1"/>
    <mergeCell ref="A1:G1"/>
    <mergeCell ref="A132:P132"/>
    <mergeCell ref="A5:F5"/>
    <mergeCell ref="A70:P70"/>
    <mergeCell ref="A8:P8"/>
    <mergeCell ref="U1:AY1"/>
    <mergeCell ref="A6:F6"/>
    <mergeCell ref="A39:P39"/>
    <mergeCell ref="A4:F4"/>
    <mergeCell ref="A101:P101"/>
    <mergeCell ref="A3:F3"/>
  </mergeCells>
  <conditionalFormatting sqref="U3:AY6">
    <cfRule type="expression" priority="1" dxfId="0">
      <formula>U3&gt;$H3</formula>
    </cfRule>
    <cfRule type="expression" priority="2" dxfId="1">
      <formula>AND(U3&gt;0,U3&gt;=$H3*0.8)</formula>
    </cfRule>
  </conditionalFormatting>
  <conditionalFormatting sqref="U3:AY162">
    <cfRule type="expression" priority="3" dxfId="2">
      <formula>OR(WEEKDAY(U$2,2)&gt;5,COUNTIF($A$165:$A$179,U$2)&gt;0)</formula>
    </cfRule>
  </conditionalFormatting>
  <conditionalFormatting sqref="U8:AY162">
    <cfRule type="expression" priority="4" dxfId="3">
      <formula>AND($F8&lt;&gt;"",U8&lt;&gt;"",SUMIF($F$8:$F$162,$F8,U$8:U$162)&gt;$A$163)</formula>
    </cfRule>
    <cfRule type="expression" priority="5" dxfId="4">
      <formula>$E8="기획"</formula>
    </cfRule>
    <cfRule type="expression" priority="6" dxfId="5">
      <formula>$E8="이미지"</formula>
    </cfRule>
    <cfRule type="expression" priority="7" dxfId="6">
      <formula>$E8="영상"</formula>
    </cfRule>
    <cfRule type="expression" priority="8" dxfId="7">
      <formula>AND($E8="기획",U8&lt;&gt;"")</formula>
    </cfRule>
    <cfRule type="expression" priority="9" dxfId="8">
      <formula>AND($E8="이미지",U8&lt;&gt;"")</formula>
    </cfRule>
    <cfRule type="expression" priority="10" dxfId="9">
      <formula>AND($E8="영상",U8&lt;&gt;"")</formula>
    </cfRule>
  </conditionalFormatting>
  <conditionalFormatting sqref="N8:N162">
    <cfRule type="expression" priority="11" dxfId="10">
      <formula>AND(N8&lt;&gt;"",N8&lt;0)</formula>
    </cfRule>
    <cfRule type="expression" priority="12" dxfId="11">
      <formula>AND(N8&lt;&gt;"",N8&gt;=0,N8&lt;=1)</formula>
    </cfRule>
    <cfRule type="expression" priority="13" dxfId="12">
      <formula>AND(N8&lt;&gt;"",N8&gt;1)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E8:E162" showDropDown="0" showInputMessage="0" showErrorMessage="0" allowBlank="1" type="list">
      <formula1>='마스터'!$E$3:$E$5</formula1>
    </dataValidation>
    <dataValidation sqref="O8:O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179"/>
  <sheetViews>
    <sheetView showGridLines="0" workbookViewId="0">
      <pane xSplit="7" ySplit="7" topLeftCell="H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20" customWidth="1" min="4" max="4"/>
    <col width="7" customWidth="1" min="5" max="5"/>
    <col width="9" customWidth="1" min="6" max="6"/>
    <col width="9" customWidth="1" min="7" max="7"/>
    <col width="5" customWidth="1" min="8" max="8"/>
    <col width="5" customWidth="1" min="9" max="9"/>
    <col width="5" customWidth="1" min="10" max="10"/>
    <col width="6" customWidth="1" min="11" max="11"/>
    <col width="8" customWidth="1" min="12" max="12"/>
    <col width="8" customWidth="1" min="13" max="13"/>
    <col width="6" customWidth="1" min="14" max="14"/>
    <col width="7" customWidth="1" min="15" max="15"/>
    <col width="12" customWidth="1" min="16" max="16"/>
    <col width="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</cols>
  <sheetData>
    <row r="1">
      <c r="A1" s="40" t="inlineStr">
        <is>
          <t>12월 업무 정보 (소재명 = 직군별 줄)</t>
        </is>
      </c>
      <c r="H1" s="41" t="inlineStr">
        <is>
          <t>수량 (소재당 1번만)</t>
        </is>
      </c>
      <c r="K1" s="42" t="inlineStr">
        <is>
          <t>집계 / 일정 (자동)</t>
        </is>
      </c>
      <c r="U1" s="14" t="inlineStr">
        <is>
          <t>12월 간트 - 날짜 칸에 MD 직접 입력 (주말+공휴일 회색)  상단 4줄=일자별 직군 TO 상태</t>
        </is>
      </c>
    </row>
    <row r="2">
      <c r="A2" s="43" t="inlineStr">
        <is>
          <t>No</t>
        </is>
      </c>
      <c r="B2" s="43" t="inlineStr">
        <is>
          <t>게임 타이틀명</t>
        </is>
      </c>
      <c r="C2" s="43" t="inlineStr">
        <is>
          <t>고객팀</t>
        </is>
      </c>
      <c r="D2" s="43" t="inlineStr">
        <is>
          <t>소재명(업무명)</t>
        </is>
      </c>
      <c r="E2" s="43" t="inlineStr">
        <is>
          <t>직군</t>
        </is>
      </c>
      <c r="F2" s="43" t="inlineStr">
        <is>
          <t>담당자</t>
        </is>
      </c>
      <c r="G2" s="43" t="inlineStr">
        <is>
          <t>최종완료일
(고객전달)</t>
        </is>
      </c>
      <c r="H2" s="43" t="inlineStr">
        <is>
          <t>영상
수</t>
        </is>
      </c>
      <c r="I2" s="43" t="inlineStr">
        <is>
          <t>사이즈
베리</t>
        </is>
      </c>
      <c r="J2" s="43" t="inlineStr">
        <is>
          <t>다국어
베리</t>
        </is>
      </c>
      <c r="K2" s="43" t="inlineStr">
        <is>
          <t>합계
MD</t>
        </is>
      </c>
      <c r="L2" s="43" t="inlineStr">
        <is>
          <t>시작일
(자동)</t>
        </is>
      </c>
      <c r="M2" s="43" t="inlineStr">
        <is>
          <t>완료일
(자동)</t>
        </is>
      </c>
      <c r="N2" s="43" t="inlineStr">
        <is>
          <t>여유</t>
        </is>
      </c>
      <c r="O2" s="43" t="inlineStr">
        <is>
          <t>상태</t>
        </is>
      </c>
      <c r="P2" s="43" t="inlineStr">
        <is>
          <t>비고</t>
        </is>
      </c>
      <c r="U2" s="44">
        <f>DATE('마스터'!$J$3,12,1)</f>
        <v/>
      </c>
      <c r="V2" s="44">
        <f>U2+1</f>
        <v/>
      </c>
      <c r="W2" s="44">
        <f>V2+1</f>
        <v/>
      </c>
      <c r="X2" s="44">
        <f>W2+1</f>
        <v/>
      </c>
      <c r="Y2" s="44">
        <f>X2+1</f>
        <v/>
      </c>
      <c r="Z2" s="44">
        <f>Y2+1</f>
        <v/>
      </c>
      <c r="AA2" s="44">
        <f>Z2+1</f>
        <v/>
      </c>
      <c r="AB2" s="44">
        <f>AA2+1</f>
        <v/>
      </c>
      <c r="AC2" s="44">
        <f>AB2+1</f>
        <v/>
      </c>
      <c r="AD2" s="44">
        <f>AC2+1</f>
        <v/>
      </c>
      <c r="AE2" s="44">
        <f>AD2+1</f>
        <v/>
      </c>
      <c r="AF2" s="44">
        <f>AE2+1</f>
        <v/>
      </c>
      <c r="AG2" s="44">
        <f>AF2+1</f>
        <v/>
      </c>
      <c r="AH2" s="44">
        <f>AG2+1</f>
        <v/>
      </c>
      <c r="AI2" s="44">
        <f>AH2+1</f>
        <v/>
      </c>
      <c r="AJ2" s="44">
        <f>AI2+1</f>
        <v/>
      </c>
      <c r="AK2" s="44">
        <f>AJ2+1</f>
        <v/>
      </c>
      <c r="AL2" s="44">
        <f>AK2+1</f>
        <v/>
      </c>
      <c r="AM2" s="44">
        <f>AL2+1</f>
        <v/>
      </c>
      <c r="AN2" s="44">
        <f>AM2+1</f>
        <v/>
      </c>
      <c r="AO2" s="44">
        <f>AN2+1</f>
        <v/>
      </c>
      <c r="AP2" s="44">
        <f>AO2+1</f>
        <v/>
      </c>
      <c r="AQ2" s="44">
        <f>AP2+1</f>
        <v/>
      </c>
      <c r="AR2" s="44">
        <f>AQ2+1</f>
        <v/>
      </c>
      <c r="AS2" s="44">
        <f>AR2+1</f>
        <v/>
      </c>
      <c r="AT2" s="44">
        <f>AS2+1</f>
        <v/>
      </c>
      <c r="AU2" s="44">
        <f>AT2+1</f>
        <v/>
      </c>
      <c r="AV2" s="44">
        <f>AU2+1</f>
        <v/>
      </c>
      <c r="AW2" s="44">
        <f>AV2+1</f>
        <v/>
      </c>
      <c r="AX2" s="44">
        <f>AW2+1</f>
        <v/>
      </c>
      <c r="AY2" s="44">
        <f>AX2+1</f>
        <v/>
      </c>
    </row>
    <row r="3">
      <c r="A3" s="45" t="inlineStr">
        <is>
          <t>전체 TO (일자별 부하)</t>
        </is>
      </c>
      <c r="G3" s="46" t="inlineStr">
        <is>
          <t>정원</t>
        </is>
      </c>
      <c r="H3" s="47">
        <f>SUM('마스터'!$J$8:$J$10)</f>
        <v/>
      </c>
      <c r="I3" s="48" t="n"/>
      <c r="J3" s="48" t="n"/>
      <c r="K3" s="48" t="n"/>
      <c r="L3" s="48" t="n"/>
      <c r="M3" s="48" t="n"/>
      <c r="N3" s="48" t="n"/>
      <c r="O3" s="48" t="n"/>
      <c r="P3" s="48" t="n"/>
      <c r="U3" s="49">
        <f>SUM(U$8:U$162)</f>
        <v/>
      </c>
      <c r="V3" s="49">
        <f>SUM(V$8:V$162)</f>
        <v/>
      </c>
      <c r="W3" s="49">
        <f>SUM(W$8:W$162)</f>
        <v/>
      </c>
      <c r="X3" s="49">
        <f>SUM(X$8:X$162)</f>
        <v/>
      </c>
      <c r="Y3" s="49">
        <f>SUM(Y$8:Y$162)</f>
        <v/>
      </c>
      <c r="Z3" s="49">
        <f>SUM(Z$8:Z$162)</f>
        <v/>
      </c>
      <c r="AA3" s="49">
        <f>SUM(AA$8:AA$162)</f>
        <v/>
      </c>
      <c r="AB3" s="49">
        <f>SUM(AB$8:AB$162)</f>
        <v/>
      </c>
      <c r="AC3" s="49">
        <f>SUM(AC$8:AC$162)</f>
        <v/>
      </c>
      <c r="AD3" s="49">
        <f>SUM(AD$8:AD$162)</f>
        <v/>
      </c>
      <c r="AE3" s="49">
        <f>SUM(AE$8:AE$162)</f>
        <v/>
      </c>
      <c r="AF3" s="49">
        <f>SUM(AF$8:AF$162)</f>
        <v/>
      </c>
      <c r="AG3" s="49">
        <f>SUM(AG$8:AG$162)</f>
        <v/>
      </c>
      <c r="AH3" s="49">
        <f>SUM(AH$8:AH$162)</f>
        <v/>
      </c>
      <c r="AI3" s="49">
        <f>SUM(AI$8:AI$162)</f>
        <v/>
      </c>
      <c r="AJ3" s="49">
        <f>SUM(AJ$8:AJ$162)</f>
        <v/>
      </c>
      <c r="AK3" s="49">
        <f>SUM(AK$8:AK$162)</f>
        <v/>
      </c>
      <c r="AL3" s="49">
        <f>SUM(AL$8:AL$162)</f>
        <v/>
      </c>
      <c r="AM3" s="49">
        <f>SUM(AM$8:AM$162)</f>
        <v/>
      </c>
      <c r="AN3" s="49">
        <f>SUM(AN$8:AN$162)</f>
        <v/>
      </c>
      <c r="AO3" s="49">
        <f>SUM(AO$8:AO$162)</f>
        <v/>
      </c>
      <c r="AP3" s="49">
        <f>SUM(AP$8:AP$162)</f>
        <v/>
      </c>
      <c r="AQ3" s="49">
        <f>SUM(AQ$8:AQ$162)</f>
        <v/>
      </c>
      <c r="AR3" s="49">
        <f>SUM(AR$8:AR$162)</f>
        <v/>
      </c>
      <c r="AS3" s="49">
        <f>SUM(AS$8:AS$162)</f>
        <v/>
      </c>
      <c r="AT3" s="49">
        <f>SUM(AT$8:AT$162)</f>
        <v/>
      </c>
      <c r="AU3" s="49">
        <f>SUM(AU$8:AU$162)</f>
        <v/>
      </c>
      <c r="AV3" s="49">
        <f>SUM(AV$8:AV$162)</f>
        <v/>
      </c>
      <c r="AW3" s="49">
        <f>SUM(AW$8:AW$162)</f>
        <v/>
      </c>
      <c r="AX3" s="49">
        <f>SUM(AX$8:AX$162)</f>
        <v/>
      </c>
      <c r="AY3" s="49">
        <f>SUM(AY$8:AY$162)</f>
        <v/>
      </c>
    </row>
    <row r="4">
      <c r="A4" s="45" t="inlineStr">
        <is>
          <t>영상 TO</t>
        </is>
      </c>
      <c r="G4" s="46" t="inlineStr">
        <is>
          <t>정원</t>
        </is>
      </c>
      <c r="H4" s="47">
        <f>'마스터'!$J$8</f>
        <v/>
      </c>
      <c r="I4" s="48" t="n"/>
      <c r="J4" s="48" t="n"/>
      <c r="K4" s="48" t="n"/>
      <c r="L4" s="48" t="n"/>
      <c r="M4" s="48" t="n"/>
      <c r="N4" s="48" t="n"/>
      <c r="O4" s="48" t="n"/>
      <c r="P4" s="48" t="n"/>
      <c r="U4" s="49">
        <f>SUMIF($E$8:$E$162,"영상",U$8:U$162)</f>
        <v/>
      </c>
      <c r="V4" s="49">
        <f>SUMIF($E$8:$E$162,"영상",V$8:V$162)</f>
        <v/>
      </c>
      <c r="W4" s="49">
        <f>SUMIF($E$8:$E$162,"영상",W$8:W$162)</f>
        <v/>
      </c>
      <c r="X4" s="49">
        <f>SUMIF($E$8:$E$162,"영상",X$8:X$162)</f>
        <v/>
      </c>
      <c r="Y4" s="49">
        <f>SUMIF($E$8:$E$162,"영상",Y$8:Y$162)</f>
        <v/>
      </c>
      <c r="Z4" s="49">
        <f>SUMIF($E$8:$E$162,"영상",Z$8:Z$162)</f>
        <v/>
      </c>
      <c r="AA4" s="49">
        <f>SUMIF($E$8:$E$162,"영상",AA$8:AA$162)</f>
        <v/>
      </c>
      <c r="AB4" s="49">
        <f>SUMIF($E$8:$E$162,"영상",AB$8:AB$162)</f>
        <v/>
      </c>
      <c r="AC4" s="49">
        <f>SUMIF($E$8:$E$162,"영상",AC$8:AC$162)</f>
        <v/>
      </c>
      <c r="AD4" s="49">
        <f>SUMIF($E$8:$E$162,"영상",AD$8:AD$162)</f>
        <v/>
      </c>
      <c r="AE4" s="49">
        <f>SUMIF($E$8:$E$162,"영상",AE$8:AE$162)</f>
        <v/>
      </c>
      <c r="AF4" s="49">
        <f>SUMIF($E$8:$E$162,"영상",AF$8:AF$162)</f>
        <v/>
      </c>
      <c r="AG4" s="49">
        <f>SUMIF($E$8:$E$162,"영상",AG$8:AG$162)</f>
        <v/>
      </c>
      <c r="AH4" s="49">
        <f>SUMIF($E$8:$E$162,"영상",AH$8:AH$162)</f>
        <v/>
      </c>
      <c r="AI4" s="49">
        <f>SUMIF($E$8:$E$162,"영상",AI$8:AI$162)</f>
        <v/>
      </c>
      <c r="AJ4" s="49">
        <f>SUMIF($E$8:$E$162,"영상",AJ$8:AJ$162)</f>
        <v/>
      </c>
      <c r="AK4" s="49">
        <f>SUMIF($E$8:$E$162,"영상",AK$8:AK$162)</f>
        <v/>
      </c>
      <c r="AL4" s="49">
        <f>SUMIF($E$8:$E$162,"영상",AL$8:AL$162)</f>
        <v/>
      </c>
      <c r="AM4" s="49">
        <f>SUMIF($E$8:$E$162,"영상",AM$8:AM$162)</f>
        <v/>
      </c>
      <c r="AN4" s="49">
        <f>SUMIF($E$8:$E$162,"영상",AN$8:AN$162)</f>
        <v/>
      </c>
      <c r="AO4" s="49">
        <f>SUMIF($E$8:$E$162,"영상",AO$8:AO$162)</f>
        <v/>
      </c>
      <c r="AP4" s="49">
        <f>SUMIF($E$8:$E$162,"영상",AP$8:AP$162)</f>
        <v/>
      </c>
      <c r="AQ4" s="49">
        <f>SUMIF($E$8:$E$162,"영상",AQ$8:AQ$162)</f>
        <v/>
      </c>
      <c r="AR4" s="49">
        <f>SUMIF($E$8:$E$162,"영상",AR$8:AR$162)</f>
        <v/>
      </c>
      <c r="AS4" s="49">
        <f>SUMIF($E$8:$E$162,"영상",AS$8:AS$162)</f>
        <v/>
      </c>
      <c r="AT4" s="49">
        <f>SUMIF($E$8:$E$162,"영상",AT$8:AT$162)</f>
        <v/>
      </c>
      <c r="AU4" s="49">
        <f>SUMIF($E$8:$E$162,"영상",AU$8:AU$162)</f>
        <v/>
      </c>
      <c r="AV4" s="49">
        <f>SUMIF($E$8:$E$162,"영상",AV$8:AV$162)</f>
        <v/>
      </c>
      <c r="AW4" s="49">
        <f>SUMIF($E$8:$E$162,"영상",AW$8:AW$162)</f>
        <v/>
      </c>
      <c r="AX4" s="49">
        <f>SUMIF($E$8:$E$162,"영상",AX$8:AX$162)</f>
        <v/>
      </c>
      <c r="AY4" s="49">
        <f>SUMIF($E$8:$E$162,"영상",AY$8:AY$162)</f>
        <v/>
      </c>
    </row>
    <row r="5">
      <c r="A5" s="45" t="inlineStr">
        <is>
          <t>이미지 TO</t>
        </is>
      </c>
      <c r="G5" s="46" t="inlineStr">
        <is>
          <t>정원</t>
        </is>
      </c>
      <c r="H5" s="47">
        <f>'마스터'!$J$9</f>
        <v/>
      </c>
      <c r="I5" s="48" t="n"/>
      <c r="J5" s="48" t="n"/>
      <c r="K5" s="48" t="n"/>
      <c r="L5" s="48" t="n"/>
      <c r="M5" s="48" t="n"/>
      <c r="N5" s="48" t="n"/>
      <c r="O5" s="48" t="n"/>
      <c r="P5" s="48" t="n"/>
      <c r="U5" s="49">
        <f>SUMIF($E$8:$E$162,"이미지",U$8:U$162)</f>
        <v/>
      </c>
      <c r="V5" s="49">
        <f>SUMIF($E$8:$E$162,"이미지",V$8:V$162)</f>
        <v/>
      </c>
      <c r="W5" s="49">
        <f>SUMIF($E$8:$E$162,"이미지",W$8:W$162)</f>
        <v/>
      </c>
      <c r="X5" s="49">
        <f>SUMIF($E$8:$E$162,"이미지",X$8:X$162)</f>
        <v/>
      </c>
      <c r="Y5" s="49">
        <f>SUMIF($E$8:$E$162,"이미지",Y$8:Y$162)</f>
        <v/>
      </c>
      <c r="Z5" s="49">
        <f>SUMIF($E$8:$E$162,"이미지",Z$8:Z$162)</f>
        <v/>
      </c>
      <c r="AA5" s="49">
        <f>SUMIF($E$8:$E$162,"이미지",AA$8:AA$162)</f>
        <v/>
      </c>
      <c r="AB5" s="49">
        <f>SUMIF($E$8:$E$162,"이미지",AB$8:AB$162)</f>
        <v/>
      </c>
      <c r="AC5" s="49">
        <f>SUMIF($E$8:$E$162,"이미지",AC$8:AC$162)</f>
        <v/>
      </c>
      <c r="AD5" s="49">
        <f>SUMIF($E$8:$E$162,"이미지",AD$8:AD$162)</f>
        <v/>
      </c>
      <c r="AE5" s="49">
        <f>SUMIF($E$8:$E$162,"이미지",AE$8:AE$162)</f>
        <v/>
      </c>
      <c r="AF5" s="49">
        <f>SUMIF($E$8:$E$162,"이미지",AF$8:AF$162)</f>
        <v/>
      </c>
      <c r="AG5" s="49">
        <f>SUMIF($E$8:$E$162,"이미지",AG$8:AG$162)</f>
        <v/>
      </c>
      <c r="AH5" s="49">
        <f>SUMIF($E$8:$E$162,"이미지",AH$8:AH$162)</f>
        <v/>
      </c>
      <c r="AI5" s="49">
        <f>SUMIF($E$8:$E$162,"이미지",AI$8:AI$162)</f>
        <v/>
      </c>
      <c r="AJ5" s="49">
        <f>SUMIF($E$8:$E$162,"이미지",AJ$8:AJ$162)</f>
        <v/>
      </c>
      <c r="AK5" s="49">
        <f>SUMIF($E$8:$E$162,"이미지",AK$8:AK$162)</f>
        <v/>
      </c>
      <c r="AL5" s="49">
        <f>SUMIF($E$8:$E$162,"이미지",AL$8:AL$162)</f>
        <v/>
      </c>
      <c r="AM5" s="49">
        <f>SUMIF($E$8:$E$162,"이미지",AM$8:AM$162)</f>
        <v/>
      </c>
      <c r="AN5" s="49">
        <f>SUMIF($E$8:$E$162,"이미지",AN$8:AN$162)</f>
        <v/>
      </c>
      <c r="AO5" s="49">
        <f>SUMIF($E$8:$E$162,"이미지",AO$8:AO$162)</f>
        <v/>
      </c>
      <c r="AP5" s="49">
        <f>SUMIF($E$8:$E$162,"이미지",AP$8:AP$162)</f>
        <v/>
      </c>
      <c r="AQ5" s="49">
        <f>SUMIF($E$8:$E$162,"이미지",AQ$8:AQ$162)</f>
        <v/>
      </c>
      <c r="AR5" s="49">
        <f>SUMIF($E$8:$E$162,"이미지",AR$8:AR$162)</f>
        <v/>
      </c>
      <c r="AS5" s="49">
        <f>SUMIF($E$8:$E$162,"이미지",AS$8:AS$162)</f>
        <v/>
      </c>
      <c r="AT5" s="49">
        <f>SUMIF($E$8:$E$162,"이미지",AT$8:AT$162)</f>
        <v/>
      </c>
      <c r="AU5" s="49">
        <f>SUMIF($E$8:$E$162,"이미지",AU$8:AU$162)</f>
        <v/>
      </c>
      <c r="AV5" s="49">
        <f>SUMIF($E$8:$E$162,"이미지",AV$8:AV$162)</f>
        <v/>
      </c>
      <c r="AW5" s="49">
        <f>SUMIF($E$8:$E$162,"이미지",AW$8:AW$162)</f>
        <v/>
      </c>
      <c r="AX5" s="49">
        <f>SUMIF($E$8:$E$162,"이미지",AX$8:AX$162)</f>
        <v/>
      </c>
      <c r="AY5" s="49">
        <f>SUMIF($E$8:$E$162,"이미지",AY$8:AY$162)</f>
        <v/>
      </c>
    </row>
    <row r="6">
      <c r="A6" s="45" t="inlineStr">
        <is>
          <t>기획 TO</t>
        </is>
      </c>
      <c r="G6" s="46" t="inlineStr">
        <is>
          <t>정원</t>
        </is>
      </c>
      <c r="H6" s="47">
        <f>'마스터'!$J$10</f>
        <v/>
      </c>
      <c r="I6" s="48" t="n"/>
      <c r="J6" s="48" t="n"/>
      <c r="K6" s="48" t="n"/>
      <c r="L6" s="48" t="n"/>
      <c r="M6" s="48" t="n"/>
      <c r="N6" s="48" t="n"/>
      <c r="O6" s="48" t="n"/>
      <c r="P6" s="48" t="n"/>
      <c r="U6" s="49">
        <f>SUMIF($E$8:$E$162,"기획",U$8:U$162)</f>
        <v/>
      </c>
      <c r="V6" s="49">
        <f>SUMIF($E$8:$E$162,"기획",V$8:V$162)</f>
        <v/>
      </c>
      <c r="W6" s="49">
        <f>SUMIF($E$8:$E$162,"기획",W$8:W$162)</f>
        <v/>
      </c>
      <c r="X6" s="49">
        <f>SUMIF($E$8:$E$162,"기획",X$8:X$162)</f>
        <v/>
      </c>
      <c r="Y6" s="49">
        <f>SUMIF($E$8:$E$162,"기획",Y$8:Y$162)</f>
        <v/>
      </c>
      <c r="Z6" s="49">
        <f>SUMIF($E$8:$E$162,"기획",Z$8:Z$162)</f>
        <v/>
      </c>
      <c r="AA6" s="49">
        <f>SUMIF($E$8:$E$162,"기획",AA$8:AA$162)</f>
        <v/>
      </c>
      <c r="AB6" s="49">
        <f>SUMIF($E$8:$E$162,"기획",AB$8:AB$162)</f>
        <v/>
      </c>
      <c r="AC6" s="49">
        <f>SUMIF($E$8:$E$162,"기획",AC$8:AC$162)</f>
        <v/>
      </c>
      <c r="AD6" s="49">
        <f>SUMIF($E$8:$E$162,"기획",AD$8:AD$162)</f>
        <v/>
      </c>
      <c r="AE6" s="49">
        <f>SUMIF($E$8:$E$162,"기획",AE$8:AE$162)</f>
        <v/>
      </c>
      <c r="AF6" s="49">
        <f>SUMIF($E$8:$E$162,"기획",AF$8:AF$162)</f>
        <v/>
      </c>
      <c r="AG6" s="49">
        <f>SUMIF($E$8:$E$162,"기획",AG$8:AG$162)</f>
        <v/>
      </c>
      <c r="AH6" s="49">
        <f>SUMIF($E$8:$E$162,"기획",AH$8:AH$162)</f>
        <v/>
      </c>
      <c r="AI6" s="49">
        <f>SUMIF($E$8:$E$162,"기획",AI$8:AI$162)</f>
        <v/>
      </c>
      <c r="AJ6" s="49">
        <f>SUMIF($E$8:$E$162,"기획",AJ$8:AJ$162)</f>
        <v/>
      </c>
      <c r="AK6" s="49">
        <f>SUMIF($E$8:$E$162,"기획",AK$8:AK$162)</f>
        <v/>
      </c>
      <c r="AL6" s="49">
        <f>SUMIF($E$8:$E$162,"기획",AL$8:AL$162)</f>
        <v/>
      </c>
      <c r="AM6" s="49">
        <f>SUMIF($E$8:$E$162,"기획",AM$8:AM$162)</f>
        <v/>
      </c>
      <c r="AN6" s="49">
        <f>SUMIF($E$8:$E$162,"기획",AN$8:AN$162)</f>
        <v/>
      </c>
      <c r="AO6" s="49">
        <f>SUMIF($E$8:$E$162,"기획",AO$8:AO$162)</f>
        <v/>
      </c>
      <c r="AP6" s="49">
        <f>SUMIF($E$8:$E$162,"기획",AP$8:AP$162)</f>
        <v/>
      </c>
      <c r="AQ6" s="49">
        <f>SUMIF($E$8:$E$162,"기획",AQ$8:AQ$162)</f>
        <v/>
      </c>
      <c r="AR6" s="49">
        <f>SUMIF($E$8:$E$162,"기획",AR$8:AR$162)</f>
        <v/>
      </c>
      <c r="AS6" s="49">
        <f>SUMIF($E$8:$E$162,"기획",AS$8:AS$162)</f>
        <v/>
      </c>
      <c r="AT6" s="49">
        <f>SUMIF($E$8:$E$162,"기획",AT$8:AT$162)</f>
        <v/>
      </c>
      <c r="AU6" s="49">
        <f>SUMIF($E$8:$E$162,"기획",AU$8:AU$162)</f>
        <v/>
      </c>
      <c r="AV6" s="49">
        <f>SUMIF($E$8:$E$162,"기획",AV$8:AV$162)</f>
        <v/>
      </c>
      <c r="AW6" s="49">
        <f>SUMIF($E$8:$E$162,"기획",AW$8:AW$162)</f>
        <v/>
      </c>
      <c r="AX6" s="49">
        <f>SUMIF($E$8:$E$162,"기획",AX$8:AX$162)</f>
        <v/>
      </c>
      <c r="AY6" s="49">
        <f>SUMIF($E$8:$E$162,"기획",AY$8:AY$162)</f>
        <v/>
      </c>
    </row>
    <row r="8">
      <c r="A8" s="50" t="inlineStr">
        <is>
          <t>마케팅1팀  (9~38행)</t>
        </is>
      </c>
      <c r="U8" s="51" t="n"/>
      <c r="V8" s="51" t="n"/>
      <c r="W8" s="51" t="n"/>
      <c r="X8" s="51" t="n"/>
      <c r="Y8" s="51" t="n"/>
      <c r="Z8" s="51" t="n"/>
      <c r="AA8" s="51" t="n"/>
      <c r="AB8" s="51" t="n"/>
      <c r="AC8" s="51" t="n"/>
      <c r="AD8" s="51" t="n"/>
      <c r="AE8" s="51" t="n"/>
      <c r="AF8" s="51" t="n"/>
      <c r="AG8" s="51" t="n"/>
      <c r="AH8" s="51" t="n"/>
      <c r="AI8" s="51" t="n"/>
      <c r="AJ8" s="51" t="n"/>
      <c r="AK8" s="51" t="n"/>
      <c r="AL8" s="51" t="n"/>
      <c r="AM8" s="51" t="n"/>
      <c r="AN8" s="51" t="n"/>
      <c r="AO8" s="51" t="n"/>
      <c r="AP8" s="51" t="n"/>
      <c r="AQ8" s="51" t="n"/>
      <c r="AR8" s="51" t="n"/>
      <c r="AS8" s="51" t="n"/>
      <c r="AT8" s="51" t="n"/>
      <c r="AU8" s="51" t="n"/>
      <c r="AV8" s="51" t="n"/>
      <c r="AW8" s="51" t="n"/>
      <c r="AX8" s="51" t="n"/>
      <c r="AY8" s="51" t="n"/>
    </row>
    <row r="9">
      <c r="A9" s="38">
        <f>IF(D9="","",COUNTA($D$9:D9))</f>
        <v/>
      </c>
      <c r="B9" s="52" t="n"/>
      <c r="C9" s="53" t="inlineStr">
        <is>
          <t>마케팅1팀</t>
        </is>
      </c>
      <c r="D9" s="52" t="n"/>
      <c r="E9" s="54" t="n"/>
      <c r="F9" s="52" t="n"/>
      <c r="G9" s="55" t="n"/>
      <c r="H9" s="54" t="n"/>
      <c r="I9" s="54" t="n"/>
      <c r="J9" s="54" t="n"/>
      <c r="K9" s="56">
        <f>IF(SUM(U9:AY9)=0,"",SUM(U9:AY9))</f>
        <v/>
      </c>
      <c r="L9" s="57">
        <f>IFERROR(INDEX(U$2:AY$2,MATCH(TRUE,U9:AY9&lt;&gt;"",0)),"")</f>
        <v/>
      </c>
      <c r="M9" s="58">
        <f>IFERROR(LOOKUP(2,1/(U9:AY9&lt;&gt;""),U$2:AY$2),"")</f>
        <v/>
      </c>
      <c r="N9" s="59">
        <f>IF(OR(G9="",M9=""),"",G9-M9)</f>
        <v/>
      </c>
      <c r="O9" s="60" t="n"/>
      <c r="P9" s="61" t="n"/>
      <c r="U9" s="62" t="n"/>
      <c r="V9" s="62" t="n"/>
      <c r="W9" s="62" t="n"/>
      <c r="X9" s="62" t="n"/>
      <c r="Y9" s="62" t="n"/>
      <c r="Z9" s="62" t="n"/>
      <c r="AA9" s="62" t="n"/>
      <c r="AB9" s="62" t="n"/>
      <c r="AC9" s="62" t="n"/>
      <c r="AD9" s="62" t="n"/>
      <c r="AE9" s="62" t="n"/>
      <c r="AF9" s="62" t="n"/>
      <c r="AG9" s="62" t="n"/>
      <c r="AH9" s="62" t="n"/>
      <c r="AI9" s="62" t="n"/>
      <c r="AJ9" s="62" t="n"/>
      <c r="AK9" s="62" t="n"/>
      <c r="AL9" s="62" t="n"/>
      <c r="AM9" s="62" t="n"/>
      <c r="AN9" s="62" t="n"/>
      <c r="AO9" s="62" t="n"/>
      <c r="AP9" s="62" t="n"/>
      <c r="AQ9" s="62" t="n"/>
      <c r="AR9" s="62" t="n"/>
      <c r="AS9" s="62" t="n"/>
      <c r="AT9" s="62" t="n"/>
      <c r="AU9" s="62" t="n"/>
      <c r="AV9" s="62" t="n"/>
      <c r="AW9" s="62" t="n"/>
      <c r="AX9" s="62" t="n"/>
      <c r="AY9" s="62" t="n"/>
    </row>
    <row r="10">
      <c r="A10" s="38">
        <f>IF(D10="","",COUNTA($D$9:D10))</f>
        <v/>
      </c>
      <c r="B10" s="52" t="n"/>
      <c r="C10" s="53" t="inlineStr">
        <is>
          <t>마케팅1팀</t>
        </is>
      </c>
      <c r="D10" s="52" t="n"/>
      <c r="E10" s="54" t="n"/>
      <c r="F10" s="52" t="n"/>
      <c r="G10" s="55" t="n"/>
      <c r="H10" s="54" t="n"/>
      <c r="I10" s="54" t="n"/>
      <c r="J10" s="54" t="n"/>
      <c r="K10" s="56">
        <f>IF(SUM(U10:AY10)=0,"",SUM(U10:AY10))</f>
        <v/>
      </c>
      <c r="L10" s="57">
        <f>IFERROR(INDEX(U$2:AY$2,MATCH(TRUE,U10:AY10&lt;&gt;"",0)),"")</f>
        <v/>
      </c>
      <c r="M10" s="58">
        <f>IFERROR(LOOKUP(2,1/(U10:AY10&lt;&gt;""),U$2:AY$2),"")</f>
        <v/>
      </c>
      <c r="N10" s="59">
        <f>IF(OR(G10="",M10=""),"",G10-M10)</f>
        <v/>
      </c>
      <c r="O10" s="60" t="n"/>
      <c r="P10" s="61" t="n"/>
      <c r="U10" s="62" t="n"/>
      <c r="V10" s="62" t="n"/>
      <c r="W10" s="62" t="n"/>
      <c r="X10" s="62" t="n"/>
      <c r="Y10" s="62" t="n"/>
      <c r="Z10" s="62" t="n"/>
      <c r="AA10" s="62" t="n"/>
      <c r="AB10" s="62" t="n"/>
      <c r="AC10" s="62" t="n"/>
      <c r="AD10" s="62" t="n"/>
      <c r="AE10" s="62" t="n"/>
      <c r="AF10" s="62" t="n"/>
      <c r="AG10" s="62" t="n"/>
      <c r="AH10" s="62" t="n"/>
      <c r="AI10" s="62" t="n"/>
      <c r="AJ10" s="62" t="n"/>
      <c r="AK10" s="62" t="n"/>
      <c r="AL10" s="62" t="n"/>
      <c r="AM10" s="62" t="n"/>
      <c r="AN10" s="62" t="n"/>
      <c r="AO10" s="62" t="n"/>
      <c r="AP10" s="62" t="n"/>
      <c r="AQ10" s="62" t="n"/>
      <c r="AR10" s="62" t="n"/>
      <c r="AS10" s="62" t="n"/>
      <c r="AT10" s="62" t="n"/>
      <c r="AU10" s="62" t="n"/>
      <c r="AV10" s="62" t="n"/>
      <c r="AW10" s="62" t="n"/>
      <c r="AX10" s="62" t="n"/>
      <c r="AY10" s="62" t="n"/>
    </row>
    <row r="11">
      <c r="A11" s="38">
        <f>IF(D11="","",COUNTA($D$9:D11))</f>
        <v/>
      </c>
      <c r="B11" s="52" t="n"/>
      <c r="C11" s="53" t="inlineStr">
        <is>
          <t>마케팅1팀</t>
        </is>
      </c>
      <c r="D11" s="52" t="n"/>
      <c r="E11" s="54" t="n"/>
      <c r="F11" s="52" t="n"/>
      <c r="G11" s="55" t="n"/>
      <c r="H11" s="54" t="n"/>
      <c r="I11" s="54" t="n"/>
      <c r="J11" s="54" t="n"/>
      <c r="K11" s="56">
        <f>IF(SUM(U11:AY11)=0,"",SUM(U11:AY11))</f>
        <v/>
      </c>
      <c r="L11" s="57">
        <f>IFERROR(INDEX(U$2:AY$2,MATCH(TRUE,U11:AY11&lt;&gt;"",0)),"")</f>
        <v/>
      </c>
      <c r="M11" s="58">
        <f>IFERROR(LOOKUP(2,1/(U11:AY11&lt;&gt;""),U$2:AY$2),"")</f>
        <v/>
      </c>
      <c r="N11" s="59">
        <f>IF(OR(G11="",M11=""),"",G11-M11)</f>
        <v/>
      </c>
      <c r="O11" s="60" t="n"/>
      <c r="P11" s="61" t="n"/>
      <c r="U11" s="62" t="n"/>
      <c r="V11" s="62" t="n"/>
      <c r="W11" s="62" t="n"/>
      <c r="X11" s="62" t="n"/>
      <c r="Y11" s="62" t="n"/>
      <c r="Z11" s="62" t="n"/>
      <c r="AA11" s="62" t="n"/>
      <c r="AB11" s="62" t="n"/>
      <c r="AC11" s="62" t="n"/>
      <c r="AD11" s="62" t="n"/>
      <c r="AE11" s="62" t="n"/>
      <c r="AF11" s="62" t="n"/>
      <c r="AG11" s="62" t="n"/>
      <c r="AH11" s="62" t="n"/>
      <c r="AI11" s="62" t="n"/>
      <c r="AJ11" s="62" t="n"/>
      <c r="AK11" s="62" t="n"/>
      <c r="AL11" s="62" t="n"/>
      <c r="AM11" s="62" t="n"/>
      <c r="AN11" s="62" t="n"/>
      <c r="AO11" s="62" t="n"/>
      <c r="AP11" s="62" t="n"/>
      <c r="AQ11" s="62" t="n"/>
      <c r="AR11" s="62" t="n"/>
      <c r="AS11" s="62" t="n"/>
      <c r="AT11" s="62" t="n"/>
      <c r="AU11" s="62" t="n"/>
      <c r="AV11" s="62" t="n"/>
      <c r="AW11" s="62" t="n"/>
      <c r="AX11" s="62" t="n"/>
      <c r="AY11" s="62" t="n"/>
    </row>
    <row r="12">
      <c r="A12" s="38">
        <f>IF(D12="","",COUNTA($D$9:D12))</f>
        <v/>
      </c>
      <c r="B12" s="52" t="n"/>
      <c r="C12" s="53" t="inlineStr">
        <is>
          <t>마케팅1팀</t>
        </is>
      </c>
      <c r="D12" s="52" t="n"/>
      <c r="E12" s="54" t="n"/>
      <c r="F12" s="52" t="n"/>
      <c r="G12" s="55" t="n"/>
      <c r="H12" s="54" t="n"/>
      <c r="I12" s="54" t="n"/>
      <c r="J12" s="54" t="n"/>
      <c r="K12" s="56">
        <f>IF(SUM(U12:AY12)=0,"",SUM(U12:AY12))</f>
        <v/>
      </c>
      <c r="L12" s="57">
        <f>IFERROR(INDEX(U$2:AY$2,MATCH(TRUE,U12:AY12&lt;&gt;"",0)),"")</f>
        <v/>
      </c>
      <c r="M12" s="58">
        <f>IFERROR(LOOKUP(2,1/(U12:AY12&lt;&gt;""),U$2:AY$2),"")</f>
        <v/>
      </c>
      <c r="N12" s="59">
        <f>IF(OR(G12="",M12=""),"",G12-M12)</f>
        <v/>
      </c>
      <c r="O12" s="60" t="n"/>
      <c r="P12" s="61" t="n"/>
      <c r="U12" s="62" t="n"/>
      <c r="V12" s="62" t="n"/>
      <c r="W12" s="62" t="n"/>
      <c r="X12" s="62" t="n"/>
      <c r="Y12" s="62" t="n"/>
      <c r="Z12" s="62" t="n"/>
      <c r="AA12" s="62" t="n"/>
      <c r="AB12" s="62" t="n"/>
      <c r="AC12" s="62" t="n"/>
      <c r="AD12" s="62" t="n"/>
      <c r="AE12" s="62" t="n"/>
      <c r="AF12" s="62" t="n"/>
      <c r="AG12" s="62" t="n"/>
      <c r="AH12" s="62" t="n"/>
      <c r="AI12" s="62" t="n"/>
      <c r="AJ12" s="62" t="n"/>
      <c r="AK12" s="62" t="n"/>
      <c r="AL12" s="62" t="n"/>
      <c r="AM12" s="62" t="n"/>
      <c r="AN12" s="62" t="n"/>
      <c r="AO12" s="62" t="n"/>
      <c r="AP12" s="62" t="n"/>
      <c r="AQ12" s="62" t="n"/>
      <c r="AR12" s="62" t="n"/>
      <c r="AS12" s="62" t="n"/>
      <c r="AT12" s="62" t="n"/>
      <c r="AU12" s="62" t="n"/>
      <c r="AV12" s="62" t="n"/>
      <c r="AW12" s="62" t="n"/>
      <c r="AX12" s="62" t="n"/>
      <c r="AY12" s="62" t="n"/>
    </row>
    <row r="13">
      <c r="A13" s="38">
        <f>IF(D13="","",COUNTA($D$9:D13))</f>
        <v/>
      </c>
      <c r="B13" s="52" t="n"/>
      <c r="C13" s="53" t="inlineStr">
        <is>
          <t>마케팅1팀</t>
        </is>
      </c>
      <c r="D13" s="52" t="n"/>
      <c r="E13" s="54" t="n"/>
      <c r="F13" s="52" t="n"/>
      <c r="G13" s="55" t="n"/>
      <c r="H13" s="54" t="n"/>
      <c r="I13" s="54" t="n"/>
      <c r="J13" s="54" t="n"/>
      <c r="K13" s="56">
        <f>IF(SUM(U13:AY13)=0,"",SUM(U13:AY13))</f>
        <v/>
      </c>
      <c r="L13" s="57">
        <f>IFERROR(INDEX(U$2:AY$2,MATCH(TRUE,U13:AY13&lt;&gt;"",0)),"")</f>
        <v/>
      </c>
      <c r="M13" s="58">
        <f>IFERROR(LOOKUP(2,1/(U13:AY13&lt;&gt;""),U$2:AY$2),"")</f>
        <v/>
      </c>
      <c r="N13" s="59">
        <f>IF(OR(G13="",M13=""),"",G13-M13)</f>
        <v/>
      </c>
      <c r="O13" s="60" t="n"/>
      <c r="P13" s="61" t="n"/>
      <c r="U13" s="62" t="n"/>
      <c r="V13" s="62" t="n"/>
      <c r="W13" s="62" t="n"/>
      <c r="X13" s="62" t="n"/>
      <c r="Y13" s="62" t="n"/>
      <c r="Z13" s="62" t="n"/>
      <c r="AA13" s="62" t="n"/>
      <c r="AB13" s="62" t="n"/>
      <c r="AC13" s="62" t="n"/>
      <c r="AD13" s="62" t="n"/>
      <c r="AE13" s="62" t="n"/>
      <c r="AF13" s="62" t="n"/>
      <c r="AG13" s="62" t="n"/>
      <c r="AH13" s="62" t="n"/>
      <c r="AI13" s="62" t="n"/>
      <c r="AJ13" s="62" t="n"/>
      <c r="AK13" s="62" t="n"/>
      <c r="AL13" s="62" t="n"/>
      <c r="AM13" s="62" t="n"/>
      <c r="AN13" s="62" t="n"/>
      <c r="AO13" s="62" t="n"/>
      <c r="AP13" s="62" t="n"/>
      <c r="AQ13" s="62" t="n"/>
      <c r="AR13" s="62" t="n"/>
      <c r="AS13" s="62" t="n"/>
      <c r="AT13" s="62" t="n"/>
      <c r="AU13" s="62" t="n"/>
      <c r="AV13" s="62" t="n"/>
      <c r="AW13" s="62" t="n"/>
      <c r="AX13" s="62" t="n"/>
      <c r="AY13" s="62" t="n"/>
    </row>
    <row r="14">
      <c r="A14" s="38">
        <f>IF(D14="","",COUNTA($D$9:D14))</f>
        <v/>
      </c>
      <c r="B14" s="52" t="n"/>
      <c r="C14" s="53" t="inlineStr">
        <is>
          <t>마케팅1팀</t>
        </is>
      </c>
      <c r="D14" s="52" t="n"/>
      <c r="E14" s="54" t="n"/>
      <c r="F14" s="52" t="n"/>
      <c r="G14" s="55" t="n"/>
      <c r="H14" s="54" t="n"/>
      <c r="I14" s="54" t="n"/>
      <c r="J14" s="54" t="n"/>
      <c r="K14" s="56">
        <f>IF(SUM(U14:AY14)=0,"",SUM(U14:AY14))</f>
        <v/>
      </c>
      <c r="L14" s="57">
        <f>IFERROR(INDEX(U$2:AY$2,MATCH(TRUE,U14:AY14&lt;&gt;"",0)),"")</f>
        <v/>
      </c>
      <c r="M14" s="58">
        <f>IFERROR(LOOKUP(2,1/(U14:AY14&lt;&gt;""),U$2:AY$2),"")</f>
        <v/>
      </c>
      <c r="N14" s="59">
        <f>IF(OR(G14="",M14=""),"",G14-M14)</f>
        <v/>
      </c>
      <c r="O14" s="60" t="n"/>
      <c r="P14" s="61" t="n"/>
      <c r="U14" s="62" t="n"/>
      <c r="V14" s="62" t="n"/>
      <c r="W14" s="62" t="n"/>
      <c r="X14" s="62" t="n"/>
      <c r="Y14" s="62" t="n"/>
      <c r="Z14" s="62" t="n"/>
      <c r="AA14" s="62" t="n"/>
      <c r="AB14" s="62" t="n"/>
      <c r="AC14" s="62" t="n"/>
      <c r="AD14" s="62" t="n"/>
      <c r="AE14" s="62" t="n"/>
      <c r="AF14" s="62" t="n"/>
      <c r="AG14" s="62" t="n"/>
      <c r="AH14" s="62" t="n"/>
      <c r="AI14" s="62" t="n"/>
      <c r="AJ14" s="62" t="n"/>
      <c r="AK14" s="62" t="n"/>
      <c r="AL14" s="62" t="n"/>
      <c r="AM14" s="62" t="n"/>
      <c r="AN14" s="62" t="n"/>
      <c r="AO14" s="62" t="n"/>
      <c r="AP14" s="62" t="n"/>
      <c r="AQ14" s="62" t="n"/>
      <c r="AR14" s="62" t="n"/>
      <c r="AS14" s="62" t="n"/>
      <c r="AT14" s="62" t="n"/>
      <c r="AU14" s="62" t="n"/>
      <c r="AV14" s="62" t="n"/>
      <c r="AW14" s="62" t="n"/>
      <c r="AX14" s="62" t="n"/>
      <c r="AY14" s="62" t="n"/>
    </row>
    <row r="15">
      <c r="A15" s="38">
        <f>IF(D15="","",COUNTA($D$9:D15))</f>
        <v/>
      </c>
      <c r="B15" s="52" t="n"/>
      <c r="C15" s="53" t="inlineStr">
        <is>
          <t>마케팅1팀</t>
        </is>
      </c>
      <c r="D15" s="52" t="n"/>
      <c r="E15" s="54" t="n"/>
      <c r="F15" s="52" t="n"/>
      <c r="G15" s="55" t="n"/>
      <c r="H15" s="54" t="n"/>
      <c r="I15" s="54" t="n"/>
      <c r="J15" s="54" t="n"/>
      <c r="K15" s="56">
        <f>IF(SUM(U15:AY15)=0,"",SUM(U15:AY15))</f>
        <v/>
      </c>
      <c r="L15" s="57">
        <f>IFERROR(INDEX(U$2:AY$2,MATCH(TRUE,U15:AY15&lt;&gt;"",0)),"")</f>
        <v/>
      </c>
      <c r="M15" s="58">
        <f>IFERROR(LOOKUP(2,1/(U15:AY15&lt;&gt;""),U$2:AY$2),"")</f>
        <v/>
      </c>
      <c r="N15" s="59">
        <f>IF(OR(G15="",M15=""),"",G15-M15)</f>
        <v/>
      </c>
      <c r="O15" s="60" t="n"/>
      <c r="P15" s="61" t="n"/>
      <c r="U15" s="62" t="n"/>
      <c r="V15" s="62" t="n"/>
      <c r="W15" s="62" t="n"/>
      <c r="X15" s="62" t="n"/>
      <c r="Y15" s="62" t="n"/>
      <c r="Z15" s="62" t="n"/>
      <c r="AA15" s="62" t="n"/>
      <c r="AB15" s="62" t="n"/>
      <c r="AC15" s="62" t="n"/>
      <c r="AD15" s="62" t="n"/>
      <c r="AE15" s="62" t="n"/>
      <c r="AF15" s="62" t="n"/>
      <c r="AG15" s="62" t="n"/>
      <c r="AH15" s="62" t="n"/>
      <c r="AI15" s="62" t="n"/>
      <c r="AJ15" s="62" t="n"/>
      <c r="AK15" s="62" t="n"/>
      <c r="AL15" s="62" t="n"/>
      <c r="AM15" s="62" t="n"/>
      <c r="AN15" s="62" t="n"/>
      <c r="AO15" s="62" t="n"/>
      <c r="AP15" s="62" t="n"/>
      <c r="AQ15" s="62" t="n"/>
      <c r="AR15" s="62" t="n"/>
      <c r="AS15" s="62" t="n"/>
      <c r="AT15" s="62" t="n"/>
      <c r="AU15" s="62" t="n"/>
      <c r="AV15" s="62" t="n"/>
      <c r="AW15" s="62" t="n"/>
      <c r="AX15" s="62" t="n"/>
      <c r="AY15" s="62" t="n"/>
    </row>
    <row r="16">
      <c r="A16" s="38">
        <f>IF(D16="","",COUNTA($D$9:D16))</f>
        <v/>
      </c>
      <c r="B16" s="52" t="n"/>
      <c r="C16" s="53" t="inlineStr">
        <is>
          <t>마케팅1팀</t>
        </is>
      </c>
      <c r="D16" s="52" t="n"/>
      <c r="E16" s="54" t="n"/>
      <c r="F16" s="52" t="n"/>
      <c r="G16" s="55" t="n"/>
      <c r="H16" s="54" t="n"/>
      <c r="I16" s="54" t="n"/>
      <c r="J16" s="54" t="n"/>
      <c r="K16" s="56">
        <f>IF(SUM(U16:AY16)=0,"",SUM(U16:AY16))</f>
        <v/>
      </c>
      <c r="L16" s="57">
        <f>IFERROR(INDEX(U$2:AY$2,MATCH(TRUE,U16:AY16&lt;&gt;"",0)),"")</f>
        <v/>
      </c>
      <c r="M16" s="58">
        <f>IFERROR(LOOKUP(2,1/(U16:AY16&lt;&gt;""),U$2:AY$2),"")</f>
        <v/>
      </c>
      <c r="N16" s="59">
        <f>IF(OR(G16="",M16=""),"",G16-M16)</f>
        <v/>
      </c>
      <c r="O16" s="60" t="n"/>
      <c r="P16" s="61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  <c r="AG16" s="62" t="n"/>
      <c r="AH16" s="62" t="n"/>
      <c r="AI16" s="62" t="n"/>
      <c r="AJ16" s="62" t="n"/>
      <c r="AK16" s="62" t="n"/>
      <c r="AL16" s="62" t="n"/>
      <c r="AM16" s="62" t="n"/>
      <c r="AN16" s="62" t="n"/>
      <c r="AO16" s="62" t="n"/>
      <c r="AP16" s="62" t="n"/>
      <c r="AQ16" s="62" t="n"/>
      <c r="AR16" s="62" t="n"/>
      <c r="AS16" s="62" t="n"/>
      <c r="AT16" s="62" t="n"/>
      <c r="AU16" s="62" t="n"/>
      <c r="AV16" s="62" t="n"/>
      <c r="AW16" s="62" t="n"/>
      <c r="AX16" s="62" t="n"/>
      <c r="AY16" s="62" t="n"/>
    </row>
    <row r="17">
      <c r="A17" s="38">
        <f>IF(D17="","",COUNTA($D$9:D17))</f>
        <v/>
      </c>
      <c r="B17" s="52" t="n"/>
      <c r="C17" s="53" t="inlineStr">
        <is>
          <t>마케팅1팀</t>
        </is>
      </c>
      <c r="D17" s="52" t="n"/>
      <c r="E17" s="54" t="n"/>
      <c r="F17" s="52" t="n"/>
      <c r="G17" s="55" t="n"/>
      <c r="H17" s="54" t="n"/>
      <c r="I17" s="54" t="n"/>
      <c r="J17" s="54" t="n"/>
      <c r="K17" s="56">
        <f>IF(SUM(U17:AY17)=0,"",SUM(U17:AY17))</f>
        <v/>
      </c>
      <c r="L17" s="57">
        <f>IFERROR(INDEX(U$2:AY$2,MATCH(TRUE,U17:AY17&lt;&gt;"",0)),"")</f>
        <v/>
      </c>
      <c r="M17" s="58">
        <f>IFERROR(LOOKUP(2,1/(U17:AY17&lt;&gt;""),U$2:AY$2),"")</f>
        <v/>
      </c>
      <c r="N17" s="59">
        <f>IF(OR(G17="",M17=""),"",G17-M17)</f>
        <v/>
      </c>
      <c r="O17" s="60" t="n"/>
      <c r="P17" s="61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  <c r="AG17" s="62" t="n"/>
      <c r="AH17" s="62" t="n"/>
      <c r="AI17" s="62" t="n"/>
      <c r="AJ17" s="62" t="n"/>
      <c r="AK17" s="62" t="n"/>
      <c r="AL17" s="62" t="n"/>
      <c r="AM17" s="62" t="n"/>
      <c r="AN17" s="62" t="n"/>
      <c r="AO17" s="62" t="n"/>
      <c r="AP17" s="62" t="n"/>
      <c r="AQ17" s="62" t="n"/>
      <c r="AR17" s="62" t="n"/>
      <c r="AS17" s="62" t="n"/>
      <c r="AT17" s="62" t="n"/>
      <c r="AU17" s="62" t="n"/>
      <c r="AV17" s="62" t="n"/>
      <c r="AW17" s="62" t="n"/>
      <c r="AX17" s="62" t="n"/>
      <c r="AY17" s="62" t="n"/>
    </row>
    <row r="18">
      <c r="A18" s="38">
        <f>IF(D18="","",COUNTA($D$9:D18))</f>
        <v/>
      </c>
      <c r="B18" s="52" t="n"/>
      <c r="C18" s="53" t="inlineStr">
        <is>
          <t>마케팅1팀</t>
        </is>
      </c>
      <c r="D18" s="52" t="n"/>
      <c r="E18" s="54" t="n"/>
      <c r="F18" s="52" t="n"/>
      <c r="G18" s="55" t="n"/>
      <c r="H18" s="54" t="n"/>
      <c r="I18" s="54" t="n"/>
      <c r="J18" s="54" t="n"/>
      <c r="K18" s="56">
        <f>IF(SUM(U18:AY18)=0,"",SUM(U18:AY18))</f>
        <v/>
      </c>
      <c r="L18" s="57">
        <f>IFERROR(INDEX(U$2:AY$2,MATCH(TRUE,U18:AY18&lt;&gt;"",0)),"")</f>
        <v/>
      </c>
      <c r="M18" s="58">
        <f>IFERROR(LOOKUP(2,1/(U18:AY18&lt;&gt;""),U$2:AY$2),"")</f>
        <v/>
      </c>
      <c r="N18" s="59">
        <f>IF(OR(G18="",M18=""),"",G18-M18)</f>
        <v/>
      </c>
      <c r="O18" s="60" t="n"/>
      <c r="P18" s="61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  <c r="AG18" s="62" t="n"/>
      <c r="AH18" s="62" t="n"/>
      <c r="AI18" s="62" t="n"/>
      <c r="AJ18" s="62" t="n"/>
      <c r="AK18" s="62" t="n"/>
      <c r="AL18" s="62" t="n"/>
      <c r="AM18" s="62" t="n"/>
      <c r="AN18" s="62" t="n"/>
      <c r="AO18" s="62" t="n"/>
      <c r="AP18" s="62" t="n"/>
      <c r="AQ18" s="62" t="n"/>
      <c r="AR18" s="62" t="n"/>
      <c r="AS18" s="62" t="n"/>
      <c r="AT18" s="62" t="n"/>
      <c r="AU18" s="62" t="n"/>
      <c r="AV18" s="62" t="n"/>
      <c r="AW18" s="62" t="n"/>
      <c r="AX18" s="62" t="n"/>
      <c r="AY18" s="62" t="n"/>
    </row>
    <row r="19">
      <c r="A19" s="38">
        <f>IF(D19="","",COUNTA($D$9:D19))</f>
        <v/>
      </c>
      <c r="B19" s="52" t="n"/>
      <c r="C19" s="53" t="inlineStr">
        <is>
          <t>마케팅1팀</t>
        </is>
      </c>
      <c r="D19" s="52" t="n"/>
      <c r="E19" s="54" t="n"/>
      <c r="F19" s="52" t="n"/>
      <c r="G19" s="55" t="n"/>
      <c r="H19" s="54" t="n"/>
      <c r="I19" s="54" t="n"/>
      <c r="J19" s="54" t="n"/>
      <c r="K19" s="56">
        <f>IF(SUM(U19:AY19)=0,"",SUM(U19:AY19))</f>
        <v/>
      </c>
      <c r="L19" s="57">
        <f>IFERROR(INDEX(U$2:AY$2,MATCH(TRUE,U19:AY19&lt;&gt;"",0)),"")</f>
        <v/>
      </c>
      <c r="M19" s="58">
        <f>IFERROR(LOOKUP(2,1/(U19:AY19&lt;&gt;""),U$2:AY$2),"")</f>
        <v/>
      </c>
      <c r="N19" s="59">
        <f>IF(OR(G19="",M19=""),"",G19-M19)</f>
        <v/>
      </c>
      <c r="O19" s="60" t="n"/>
      <c r="P19" s="61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  <c r="AG19" s="62" t="n"/>
      <c r="AH19" s="62" t="n"/>
      <c r="AI19" s="62" t="n"/>
      <c r="AJ19" s="62" t="n"/>
      <c r="AK19" s="62" t="n"/>
      <c r="AL19" s="62" t="n"/>
      <c r="AM19" s="62" t="n"/>
      <c r="AN19" s="62" t="n"/>
      <c r="AO19" s="62" t="n"/>
      <c r="AP19" s="62" t="n"/>
      <c r="AQ19" s="62" t="n"/>
      <c r="AR19" s="62" t="n"/>
      <c r="AS19" s="62" t="n"/>
      <c r="AT19" s="62" t="n"/>
      <c r="AU19" s="62" t="n"/>
      <c r="AV19" s="62" t="n"/>
      <c r="AW19" s="62" t="n"/>
      <c r="AX19" s="62" t="n"/>
      <c r="AY19" s="62" t="n"/>
    </row>
    <row r="20">
      <c r="A20" s="38">
        <f>IF(D20="","",COUNTA($D$9:D20))</f>
        <v/>
      </c>
      <c r="B20" s="52" t="n"/>
      <c r="C20" s="53" t="inlineStr">
        <is>
          <t>마케팅1팀</t>
        </is>
      </c>
      <c r="D20" s="52" t="n"/>
      <c r="E20" s="54" t="n"/>
      <c r="F20" s="52" t="n"/>
      <c r="G20" s="55" t="n"/>
      <c r="H20" s="54" t="n"/>
      <c r="I20" s="54" t="n"/>
      <c r="J20" s="54" t="n"/>
      <c r="K20" s="56">
        <f>IF(SUM(U20:AY20)=0,"",SUM(U20:AY20))</f>
        <v/>
      </c>
      <c r="L20" s="57">
        <f>IFERROR(INDEX(U$2:AY$2,MATCH(TRUE,U20:AY20&lt;&gt;"",0)),"")</f>
        <v/>
      </c>
      <c r="M20" s="58">
        <f>IFERROR(LOOKUP(2,1/(U20:AY20&lt;&gt;""),U$2:AY$2),"")</f>
        <v/>
      </c>
      <c r="N20" s="59">
        <f>IF(OR(G20="",M20=""),"",G20-M20)</f>
        <v/>
      </c>
      <c r="O20" s="60" t="n"/>
      <c r="P20" s="61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  <c r="AG20" s="62" t="n"/>
      <c r="AH20" s="62" t="n"/>
      <c r="AI20" s="62" t="n"/>
      <c r="AJ20" s="62" t="n"/>
      <c r="AK20" s="62" t="n"/>
      <c r="AL20" s="62" t="n"/>
      <c r="AM20" s="62" t="n"/>
      <c r="AN20" s="62" t="n"/>
      <c r="AO20" s="62" t="n"/>
      <c r="AP20" s="62" t="n"/>
      <c r="AQ20" s="62" t="n"/>
      <c r="AR20" s="62" t="n"/>
      <c r="AS20" s="62" t="n"/>
      <c r="AT20" s="62" t="n"/>
      <c r="AU20" s="62" t="n"/>
      <c r="AV20" s="62" t="n"/>
      <c r="AW20" s="62" t="n"/>
      <c r="AX20" s="62" t="n"/>
      <c r="AY20" s="62" t="n"/>
    </row>
    <row r="21">
      <c r="A21" s="38">
        <f>IF(D21="","",COUNTA($D$9:D21))</f>
        <v/>
      </c>
      <c r="B21" s="52" t="n"/>
      <c r="C21" s="53" t="inlineStr">
        <is>
          <t>마케팅1팀</t>
        </is>
      </c>
      <c r="D21" s="52" t="n"/>
      <c r="E21" s="54" t="n"/>
      <c r="F21" s="52" t="n"/>
      <c r="G21" s="55" t="n"/>
      <c r="H21" s="54" t="n"/>
      <c r="I21" s="54" t="n"/>
      <c r="J21" s="54" t="n"/>
      <c r="K21" s="56">
        <f>IF(SUM(U21:AY21)=0,"",SUM(U21:AY21))</f>
        <v/>
      </c>
      <c r="L21" s="57">
        <f>IFERROR(INDEX(U$2:AY$2,MATCH(TRUE,U21:AY21&lt;&gt;"",0)),"")</f>
        <v/>
      </c>
      <c r="M21" s="58">
        <f>IFERROR(LOOKUP(2,1/(U21:AY21&lt;&gt;""),U$2:AY$2),"")</f>
        <v/>
      </c>
      <c r="N21" s="59">
        <f>IF(OR(G21="",M21=""),"",G21-M21)</f>
        <v/>
      </c>
      <c r="O21" s="60" t="n"/>
      <c r="P21" s="61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  <c r="AG21" s="62" t="n"/>
      <c r="AH21" s="62" t="n"/>
      <c r="AI21" s="62" t="n"/>
      <c r="AJ21" s="62" t="n"/>
      <c r="AK21" s="62" t="n"/>
      <c r="AL21" s="62" t="n"/>
      <c r="AM21" s="62" t="n"/>
      <c r="AN21" s="62" t="n"/>
      <c r="AO21" s="62" t="n"/>
      <c r="AP21" s="62" t="n"/>
      <c r="AQ21" s="62" t="n"/>
      <c r="AR21" s="62" t="n"/>
      <c r="AS21" s="62" t="n"/>
      <c r="AT21" s="62" t="n"/>
      <c r="AU21" s="62" t="n"/>
      <c r="AV21" s="62" t="n"/>
      <c r="AW21" s="62" t="n"/>
      <c r="AX21" s="62" t="n"/>
      <c r="AY21" s="62" t="n"/>
    </row>
    <row r="22">
      <c r="A22" s="38">
        <f>IF(D22="","",COUNTA($D$9:D22))</f>
        <v/>
      </c>
      <c r="B22" s="52" t="n"/>
      <c r="C22" s="53" t="inlineStr">
        <is>
          <t>마케팅1팀</t>
        </is>
      </c>
      <c r="D22" s="52" t="n"/>
      <c r="E22" s="54" t="n"/>
      <c r="F22" s="52" t="n"/>
      <c r="G22" s="55" t="n"/>
      <c r="H22" s="54" t="n"/>
      <c r="I22" s="54" t="n"/>
      <c r="J22" s="54" t="n"/>
      <c r="K22" s="56">
        <f>IF(SUM(U22:AY22)=0,"",SUM(U22:AY22))</f>
        <v/>
      </c>
      <c r="L22" s="57">
        <f>IFERROR(INDEX(U$2:AY$2,MATCH(TRUE,U22:AY22&lt;&gt;"",0)),"")</f>
        <v/>
      </c>
      <c r="M22" s="58">
        <f>IFERROR(LOOKUP(2,1/(U22:AY22&lt;&gt;""),U$2:AY$2),"")</f>
        <v/>
      </c>
      <c r="N22" s="59">
        <f>IF(OR(G22="",M22=""),"",G22-M22)</f>
        <v/>
      </c>
      <c r="O22" s="60" t="n"/>
      <c r="P22" s="61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  <c r="AG22" s="62" t="n"/>
      <c r="AH22" s="62" t="n"/>
      <c r="AI22" s="62" t="n"/>
      <c r="AJ22" s="62" t="n"/>
      <c r="AK22" s="62" t="n"/>
      <c r="AL22" s="62" t="n"/>
      <c r="AM22" s="62" t="n"/>
      <c r="AN22" s="62" t="n"/>
      <c r="AO22" s="62" t="n"/>
      <c r="AP22" s="62" t="n"/>
      <c r="AQ22" s="62" t="n"/>
      <c r="AR22" s="62" t="n"/>
      <c r="AS22" s="62" t="n"/>
      <c r="AT22" s="62" t="n"/>
      <c r="AU22" s="62" t="n"/>
      <c r="AV22" s="62" t="n"/>
      <c r="AW22" s="62" t="n"/>
      <c r="AX22" s="62" t="n"/>
      <c r="AY22" s="62" t="n"/>
    </row>
    <row r="23">
      <c r="A23" s="38">
        <f>IF(D23="","",COUNTA($D$9:D23))</f>
        <v/>
      </c>
      <c r="B23" s="52" t="n"/>
      <c r="C23" s="53" t="inlineStr">
        <is>
          <t>마케팅1팀</t>
        </is>
      </c>
      <c r="D23" s="52" t="n"/>
      <c r="E23" s="54" t="n"/>
      <c r="F23" s="52" t="n"/>
      <c r="G23" s="55" t="n"/>
      <c r="H23" s="54" t="n"/>
      <c r="I23" s="54" t="n"/>
      <c r="J23" s="54" t="n"/>
      <c r="K23" s="56">
        <f>IF(SUM(U23:AY23)=0,"",SUM(U23:AY23))</f>
        <v/>
      </c>
      <c r="L23" s="57">
        <f>IFERROR(INDEX(U$2:AY$2,MATCH(TRUE,U23:AY23&lt;&gt;"",0)),"")</f>
        <v/>
      </c>
      <c r="M23" s="58">
        <f>IFERROR(LOOKUP(2,1/(U23:AY23&lt;&gt;""),U$2:AY$2),"")</f>
        <v/>
      </c>
      <c r="N23" s="59">
        <f>IF(OR(G23="",M23=""),"",G23-M23)</f>
        <v/>
      </c>
      <c r="O23" s="60" t="n"/>
      <c r="P23" s="61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  <c r="AG23" s="62" t="n"/>
      <c r="AH23" s="62" t="n"/>
      <c r="AI23" s="62" t="n"/>
      <c r="AJ23" s="62" t="n"/>
      <c r="AK23" s="62" t="n"/>
      <c r="AL23" s="62" t="n"/>
      <c r="AM23" s="62" t="n"/>
      <c r="AN23" s="62" t="n"/>
      <c r="AO23" s="62" t="n"/>
      <c r="AP23" s="62" t="n"/>
      <c r="AQ23" s="62" t="n"/>
      <c r="AR23" s="62" t="n"/>
      <c r="AS23" s="62" t="n"/>
      <c r="AT23" s="62" t="n"/>
      <c r="AU23" s="62" t="n"/>
      <c r="AV23" s="62" t="n"/>
      <c r="AW23" s="62" t="n"/>
      <c r="AX23" s="62" t="n"/>
      <c r="AY23" s="62" t="n"/>
    </row>
    <row r="24">
      <c r="A24" s="38">
        <f>IF(D24="","",COUNTA($D$9:D24))</f>
        <v/>
      </c>
      <c r="B24" s="52" t="n"/>
      <c r="C24" s="53" t="inlineStr">
        <is>
          <t>마케팅1팀</t>
        </is>
      </c>
      <c r="D24" s="52" t="n"/>
      <c r="E24" s="54" t="n"/>
      <c r="F24" s="52" t="n"/>
      <c r="G24" s="55" t="n"/>
      <c r="H24" s="54" t="n"/>
      <c r="I24" s="54" t="n"/>
      <c r="J24" s="54" t="n"/>
      <c r="K24" s="56">
        <f>IF(SUM(U24:AY24)=0,"",SUM(U24:AY24))</f>
        <v/>
      </c>
      <c r="L24" s="57">
        <f>IFERROR(INDEX(U$2:AY$2,MATCH(TRUE,U24:AY24&lt;&gt;"",0)),"")</f>
        <v/>
      </c>
      <c r="M24" s="58">
        <f>IFERROR(LOOKUP(2,1/(U24:AY24&lt;&gt;""),U$2:AY$2),"")</f>
        <v/>
      </c>
      <c r="N24" s="59">
        <f>IF(OR(G24="",M24=""),"",G24-M24)</f>
        <v/>
      </c>
      <c r="O24" s="60" t="n"/>
      <c r="P24" s="61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  <c r="AG24" s="62" t="n"/>
      <c r="AH24" s="62" t="n"/>
      <c r="AI24" s="62" t="n"/>
      <c r="AJ24" s="62" t="n"/>
      <c r="AK24" s="62" t="n"/>
      <c r="AL24" s="62" t="n"/>
      <c r="AM24" s="62" t="n"/>
      <c r="AN24" s="62" t="n"/>
      <c r="AO24" s="62" t="n"/>
      <c r="AP24" s="62" t="n"/>
      <c r="AQ24" s="62" t="n"/>
      <c r="AR24" s="62" t="n"/>
      <c r="AS24" s="62" t="n"/>
      <c r="AT24" s="62" t="n"/>
      <c r="AU24" s="62" t="n"/>
      <c r="AV24" s="62" t="n"/>
      <c r="AW24" s="62" t="n"/>
      <c r="AX24" s="62" t="n"/>
      <c r="AY24" s="62" t="n"/>
    </row>
    <row r="25">
      <c r="A25" s="38">
        <f>IF(D25="","",COUNTA($D$9:D25))</f>
        <v/>
      </c>
      <c r="B25" s="52" t="n"/>
      <c r="C25" s="53" t="inlineStr">
        <is>
          <t>마케팅1팀</t>
        </is>
      </c>
      <c r="D25" s="52" t="n"/>
      <c r="E25" s="54" t="n"/>
      <c r="F25" s="52" t="n"/>
      <c r="G25" s="55" t="n"/>
      <c r="H25" s="54" t="n"/>
      <c r="I25" s="54" t="n"/>
      <c r="J25" s="54" t="n"/>
      <c r="K25" s="56">
        <f>IF(SUM(U25:AY25)=0,"",SUM(U25:AY25))</f>
        <v/>
      </c>
      <c r="L25" s="57">
        <f>IFERROR(INDEX(U$2:AY$2,MATCH(TRUE,U25:AY25&lt;&gt;"",0)),"")</f>
        <v/>
      </c>
      <c r="M25" s="58">
        <f>IFERROR(LOOKUP(2,1/(U25:AY25&lt;&gt;""),U$2:AY$2),"")</f>
        <v/>
      </c>
      <c r="N25" s="59">
        <f>IF(OR(G25="",M25=""),"",G25-M25)</f>
        <v/>
      </c>
      <c r="O25" s="60" t="n"/>
      <c r="P25" s="61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  <c r="AG25" s="62" t="n"/>
      <c r="AH25" s="62" t="n"/>
      <c r="AI25" s="62" t="n"/>
      <c r="AJ25" s="62" t="n"/>
      <c r="AK25" s="62" t="n"/>
      <c r="AL25" s="62" t="n"/>
      <c r="AM25" s="62" t="n"/>
      <c r="AN25" s="62" t="n"/>
      <c r="AO25" s="62" t="n"/>
      <c r="AP25" s="62" t="n"/>
      <c r="AQ25" s="62" t="n"/>
      <c r="AR25" s="62" t="n"/>
      <c r="AS25" s="62" t="n"/>
      <c r="AT25" s="62" t="n"/>
      <c r="AU25" s="62" t="n"/>
      <c r="AV25" s="62" t="n"/>
      <c r="AW25" s="62" t="n"/>
      <c r="AX25" s="62" t="n"/>
      <c r="AY25" s="62" t="n"/>
    </row>
    <row r="26">
      <c r="A26" s="38">
        <f>IF(D26="","",COUNTA($D$9:D26))</f>
        <v/>
      </c>
      <c r="B26" s="52" t="n"/>
      <c r="C26" s="53" t="inlineStr">
        <is>
          <t>마케팅1팀</t>
        </is>
      </c>
      <c r="D26" s="52" t="n"/>
      <c r="E26" s="54" t="n"/>
      <c r="F26" s="52" t="n"/>
      <c r="G26" s="55" t="n"/>
      <c r="H26" s="54" t="n"/>
      <c r="I26" s="54" t="n"/>
      <c r="J26" s="54" t="n"/>
      <c r="K26" s="56">
        <f>IF(SUM(U26:AY26)=0,"",SUM(U26:AY26))</f>
        <v/>
      </c>
      <c r="L26" s="57">
        <f>IFERROR(INDEX(U$2:AY$2,MATCH(TRUE,U26:AY26&lt;&gt;"",0)),"")</f>
        <v/>
      </c>
      <c r="M26" s="58">
        <f>IFERROR(LOOKUP(2,1/(U26:AY26&lt;&gt;""),U$2:AY$2),"")</f>
        <v/>
      </c>
      <c r="N26" s="59">
        <f>IF(OR(G26="",M26=""),"",G26-M26)</f>
        <v/>
      </c>
      <c r="O26" s="60" t="n"/>
      <c r="P26" s="61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  <c r="AG26" s="62" t="n"/>
      <c r="AH26" s="62" t="n"/>
      <c r="AI26" s="62" t="n"/>
      <c r="AJ26" s="62" t="n"/>
      <c r="AK26" s="62" t="n"/>
      <c r="AL26" s="62" t="n"/>
      <c r="AM26" s="62" t="n"/>
      <c r="AN26" s="62" t="n"/>
      <c r="AO26" s="62" t="n"/>
      <c r="AP26" s="62" t="n"/>
      <c r="AQ26" s="62" t="n"/>
      <c r="AR26" s="62" t="n"/>
      <c r="AS26" s="62" t="n"/>
      <c r="AT26" s="62" t="n"/>
      <c r="AU26" s="62" t="n"/>
      <c r="AV26" s="62" t="n"/>
      <c r="AW26" s="62" t="n"/>
      <c r="AX26" s="62" t="n"/>
      <c r="AY26" s="62" t="n"/>
    </row>
    <row r="27">
      <c r="A27" s="38">
        <f>IF(D27="","",COUNTA($D$9:D27))</f>
        <v/>
      </c>
      <c r="B27" s="52" t="n"/>
      <c r="C27" s="53" t="inlineStr">
        <is>
          <t>마케팅1팀</t>
        </is>
      </c>
      <c r="D27" s="52" t="n"/>
      <c r="E27" s="54" t="n"/>
      <c r="F27" s="52" t="n"/>
      <c r="G27" s="55" t="n"/>
      <c r="H27" s="54" t="n"/>
      <c r="I27" s="54" t="n"/>
      <c r="J27" s="54" t="n"/>
      <c r="K27" s="56">
        <f>IF(SUM(U27:AY27)=0,"",SUM(U27:AY27))</f>
        <v/>
      </c>
      <c r="L27" s="57">
        <f>IFERROR(INDEX(U$2:AY$2,MATCH(TRUE,U27:AY27&lt;&gt;"",0)),"")</f>
        <v/>
      </c>
      <c r="M27" s="58">
        <f>IFERROR(LOOKUP(2,1/(U27:AY27&lt;&gt;""),U$2:AY$2),"")</f>
        <v/>
      </c>
      <c r="N27" s="59">
        <f>IF(OR(G27="",M27=""),"",G27-M27)</f>
        <v/>
      </c>
      <c r="O27" s="60" t="n"/>
      <c r="P27" s="61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  <c r="AG27" s="62" t="n"/>
      <c r="AH27" s="62" t="n"/>
      <c r="AI27" s="62" t="n"/>
      <c r="AJ27" s="62" t="n"/>
      <c r="AK27" s="62" t="n"/>
      <c r="AL27" s="62" t="n"/>
      <c r="AM27" s="62" t="n"/>
      <c r="AN27" s="62" t="n"/>
      <c r="AO27" s="62" t="n"/>
      <c r="AP27" s="62" t="n"/>
      <c r="AQ27" s="62" t="n"/>
      <c r="AR27" s="62" t="n"/>
      <c r="AS27" s="62" t="n"/>
      <c r="AT27" s="62" t="n"/>
      <c r="AU27" s="62" t="n"/>
      <c r="AV27" s="62" t="n"/>
      <c r="AW27" s="62" t="n"/>
      <c r="AX27" s="62" t="n"/>
      <c r="AY27" s="62" t="n"/>
    </row>
    <row r="28">
      <c r="A28" s="38">
        <f>IF(D28="","",COUNTA($D$9:D28))</f>
        <v/>
      </c>
      <c r="B28" s="52" t="n"/>
      <c r="C28" s="53" t="inlineStr">
        <is>
          <t>마케팅1팀</t>
        </is>
      </c>
      <c r="D28" s="52" t="n"/>
      <c r="E28" s="54" t="n"/>
      <c r="F28" s="52" t="n"/>
      <c r="G28" s="55" t="n"/>
      <c r="H28" s="54" t="n"/>
      <c r="I28" s="54" t="n"/>
      <c r="J28" s="54" t="n"/>
      <c r="K28" s="56">
        <f>IF(SUM(U28:AY28)=0,"",SUM(U28:AY28))</f>
        <v/>
      </c>
      <c r="L28" s="57">
        <f>IFERROR(INDEX(U$2:AY$2,MATCH(TRUE,U28:AY28&lt;&gt;"",0)),"")</f>
        <v/>
      </c>
      <c r="M28" s="58">
        <f>IFERROR(LOOKUP(2,1/(U28:AY28&lt;&gt;""),U$2:AY$2),"")</f>
        <v/>
      </c>
      <c r="N28" s="59">
        <f>IF(OR(G28="",M28=""),"",G28-M28)</f>
        <v/>
      </c>
      <c r="O28" s="60" t="n"/>
      <c r="P28" s="61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  <c r="AG28" s="62" t="n"/>
      <c r="AH28" s="62" t="n"/>
      <c r="AI28" s="62" t="n"/>
      <c r="AJ28" s="62" t="n"/>
      <c r="AK28" s="62" t="n"/>
      <c r="AL28" s="62" t="n"/>
      <c r="AM28" s="62" t="n"/>
      <c r="AN28" s="62" t="n"/>
      <c r="AO28" s="62" t="n"/>
      <c r="AP28" s="62" t="n"/>
      <c r="AQ28" s="62" t="n"/>
      <c r="AR28" s="62" t="n"/>
      <c r="AS28" s="62" t="n"/>
      <c r="AT28" s="62" t="n"/>
      <c r="AU28" s="62" t="n"/>
      <c r="AV28" s="62" t="n"/>
      <c r="AW28" s="62" t="n"/>
      <c r="AX28" s="62" t="n"/>
      <c r="AY28" s="62" t="n"/>
    </row>
    <row r="29">
      <c r="A29" s="38">
        <f>IF(D29="","",COUNTA($D$9:D29))</f>
        <v/>
      </c>
      <c r="B29" s="52" t="n"/>
      <c r="C29" s="53" t="inlineStr">
        <is>
          <t>마케팅1팀</t>
        </is>
      </c>
      <c r="D29" s="52" t="n"/>
      <c r="E29" s="54" t="n"/>
      <c r="F29" s="52" t="n"/>
      <c r="G29" s="55" t="n"/>
      <c r="H29" s="54" t="n"/>
      <c r="I29" s="54" t="n"/>
      <c r="J29" s="54" t="n"/>
      <c r="K29" s="56">
        <f>IF(SUM(U29:AY29)=0,"",SUM(U29:AY29))</f>
        <v/>
      </c>
      <c r="L29" s="57">
        <f>IFERROR(INDEX(U$2:AY$2,MATCH(TRUE,U29:AY29&lt;&gt;"",0)),"")</f>
        <v/>
      </c>
      <c r="M29" s="58">
        <f>IFERROR(LOOKUP(2,1/(U29:AY29&lt;&gt;""),U$2:AY$2),"")</f>
        <v/>
      </c>
      <c r="N29" s="59">
        <f>IF(OR(G29="",M29=""),"",G29-M29)</f>
        <v/>
      </c>
      <c r="O29" s="60" t="n"/>
      <c r="P29" s="61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  <c r="AG29" s="62" t="n"/>
      <c r="AH29" s="62" t="n"/>
      <c r="AI29" s="62" t="n"/>
      <c r="AJ29" s="62" t="n"/>
      <c r="AK29" s="62" t="n"/>
      <c r="AL29" s="62" t="n"/>
      <c r="AM29" s="62" t="n"/>
      <c r="AN29" s="62" t="n"/>
      <c r="AO29" s="62" t="n"/>
      <c r="AP29" s="62" t="n"/>
      <c r="AQ29" s="62" t="n"/>
      <c r="AR29" s="62" t="n"/>
      <c r="AS29" s="62" t="n"/>
      <c r="AT29" s="62" t="n"/>
      <c r="AU29" s="62" t="n"/>
      <c r="AV29" s="62" t="n"/>
      <c r="AW29" s="62" t="n"/>
      <c r="AX29" s="62" t="n"/>
      <c r="AY29" s="62" t="n"/>
    </row>
    <row r="30">
      <c r="A30" s="38">
        <f>IF(D30="","",COUNTA($D$9:D30))</f>
        <v/>
      </c>
      <c r="B30" s="52" t="n"/>
      <c r="C30" s="53" t="inlineStr">
        <is>
          <t>마케팅1팀</t>
        </is>
      </c>
      <c r="D30" s="52" t="n"/>
      <c r="E30" s="54" t="n"/>
      <c r="F30" s="52" t="n"/>
      <c r="G30" s="55" t="n"/>
      <c r="H30" s="54" t="n"/>
      <c r="I30" s="54" t="n"/>
      <c r="J30" s="54" t="n"/>
      <c r="K30" s="56">
        <f>IF(SUM(U30:AY30)=0,"",SUM(U30:AY30))</f>
        <v/>
      </c>
      <c r="L30" s="57">
        <f>IFERROR(INDEX(U$2:AY$2,MATCH(TRUE,U30:AY30&lt;&gt;"",0)),"")</f>
        <v/>
      </c>
      <c r="M30" s="58">
        <f>IFERROR(LOOKUP(2,1/(U30:AY30&lt;&gt;""),U$2:AY$2),"")</f>
        <v/>
      </c>
      <c r="N30" s="59">
        <f>IF(OR(G30="",M30=""),"",G30-M30)</f>
        <v/>
      </c>
      <c r="O30" s="60" t="n"/>
      <c r="P30" s="61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  <c r="AG30" s="62" t="n"/>
      <c r="AH30" s="62" t="n"/>
      <c r="AI30" s="62" t="n"/>
      <c r="AJ30" s="62" t="n"/>
      <c r="AK30" s="62" t="n"/>
      <c r="AL30" s="62" t="n"/>
      <c r="AM30" s="62" t="n"/>
      <c r="AN30" s="62" t="n"/>
      <c r="AO30" s="62" t="n"/>
      <c r="AP30" s="62" t="n"/>
      <c r="AQ30" s="62" t="n"/>
      <c r="AR30" s="62" t="n"/>
      <c r="AS30" s="62" t="n"/>
      <c r="AT30" s="62" t="n"/>
      <c r="AU30" s="62" t="n"/>
      <c r="AV30" s="62" t="n"/>
      <c r="AW30" s="62" t="n"/>
      <c r="AX30" s="62" t="n"/>
      <c r="AY30" s="62" t="n"/>
    </row>
    <row r="31">
      <c r="A31" s="38">
        <f>IF(D31="","",COUNTA($D$9:D31))</f>
        <v/>
      </c>
      <c r="B31" s="52" t="n"/>
      <c r="C31" s="53" t="inlineStr">
        <is>
          <t>마케팅1팀</t>
        </is>
      </c>
      <c r="D31" s="52" t="n"/>
      <c r="E31" s="54" t="n"/>
      <c r="F31" s="52" t="n"/>
      <c r="G31" s="55" t="n"/>
      <c r="H31" s="54" t="n"/>
      <c r="I31" s="54" t="n"/>
      <c r="J31" s="54" t="n"/>
      <c r="K31" s="56">
        <f>IF(SUM(U31:AY31)=0,"",SUM(U31:AY31))</f>
        <v/>
      </c>
      <c r="L31" s="57">
        <f>IFERROR(INDEX(U$2:AY$2,MATCH(TRUE,U31:AY31&lt;&gt;"",0)),"")</f>
        <v/>
      </c>
      <c r="M31" s="58">
        <f>IFERROR(LOOKUP(2,1/(U31:AY31&lt;&gt;""),U$2:AY$2),"")</f>
        <v/>
      </c>
      <c r="N31" s="59">
        <f>IF(OR(G31="",M31=""),"",G31-M31)</f>
        <v/>
      </c>
      <c r="O31" s="60" t="n"/>
      <c r="P31" s="61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  <c r="AG31" s="62" t="n"/>
      <c r="AH31" s="62" t="n"/>
      <c r="AI31" s="62" t="n"/>
      <c r="AJ31" s="62" t="n"/>
      <c r="AK31" s="62" t="n"/>
      <c r="AL31" s="62" t="n"/>
      <c r="AM31" s="62" t="n"/>
      <c r="AN31" s="62" t="n"/>
      <c r="AO31" s="62" t="n"/>
      <c r="AP31" s="62" t="n"/>
      <c r="AQ31" s="62" t="n"/>
      <c r="AR31" s="62" t="n"/>
      <c r="AS31" s="62" t="n"/>
      <c r="AT31" s="62" t="n"/>
      <c r="AU31" s="62" t="n"/>
      <c r="AV31" s="62" t="n"/>
      <c r="AW31" s="62" t="n"/>
      <c r="AX31" s="62" t="n"/>
      <c r="AY31" s="62" t="n"/>
    </row>
    <row r="32">
      <c r="A32" s="38">
        <f>IF(D32="","",COUNTA($D$9:D32))</f>
        <v/>
      </c>
      <c r="B32" s="52" t="n"/>
      <c r="C32" s="53" t="inlineStr">
        <is>
          <t>마케팅1팀</t>
        </is>
      </c>
      <c r="D32" s="52" t="n"/>
      <c r="E32" s="54" t="n"/>
      <c r="F32" s="52" t="n"/>
      <c r="G32" s="55" t="n"/>
      <c r="H32" s="54" t="n"/>
      <c r="I32" s="54" t="n"/>
      <c r="J32" s="54" t="n"/>
      <c r="K32" s="56">
        <f>IF(SUM(U32:AY32)=0,"",SUM(U32:AY32))</f>
        <v/>
      </c>
      <c r="L32" s="57">
        <f>IFERROR(INDEX(U$2:AY$2,MATCH(TRUE,U32:AY32&lt;&gt;"",0)),"")</f>
        <v/>
      </c>
      <c r="M32" s="58">
        <f>IFERROR(LOOKUP(2,1/(U32:AY32&lt;&gt;""),U$2:AY$2),"")</f>
        <v/>
      </c>
      <c r="N32" s="59">
        <f>IF(OR(G32="",M32=""),"",G32-M32)</f>
        <v/>
      </c>
      <c r="O32" s="60" t="n"/>
      <c r="P32" s="61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  <c r="AG32" s="62" t="n"/>
      <c r="AH32" s="62" t="n"/>
      <c r="AI32" s="62" t="n"/>
      <c r="AJ32" s="62" t="n"/>
      <c r="AK32" s="62" t="n"/>
      <c r="AL32" s="62" t="n"/>
      <c r="AM32" s="62" t="n"/>
      <c r="AN32" s="62" t="n"/>
      <c r="AO32" s="62" t="n"/>
      <c r="AP32" s="62" t="n"/>
      <c r="AQ32" s="62" t="n"/>
      <c r="AR32" s="62" t="n"/>
      <c r="AS32" s="62" t="n"/>
      <c r="AT32" s="62" t="n"/>
      <c r="AU32" s="62" t="n"/>
      <c r="AV32" s="62" t="n"/>
      <c r="AW32" s="62" t="n"/>
      <c r="AX32" s="62" t="n"/>
      <c r="AY32" s="62" t="n"/>
    </row>
    <row r="33">
      <c r="A33" s="38">
        <f>IF(D33="","",COUNTA($D$9:D33))</f>
        <v/>
      </c>
      <c r="B33" s="52" t="n"/>
      <c r="C33" s="53" t="inlineStr">
        <is>
          <t>마케팅1팀</t>
        </is>
      </c>
      <c r="D33" s="52" t="n"/>
      <c r="E33" s="54" t="n"/>
      <c r="F33" s="52" t="n"/>
      <c r="G33" s="55" t="n"/>
      <c r="H33" s="54" t="n"/>
      <c r="I33" s="54" t="n"/>
      <c r="J33" s="54" t="n"/>
      <c r="K33" s="56">
        <f>IF(SUM(U33:AY33)=0,"",SUM(U33:AY33))</f>
        <v/>
      </c>
      <c r="L33" s="57">
        <f>IFERROR(INDEX(U$2:AY$2,MATCH(TRUE,U33:AY33&lt;&gt;"",0)),"")</f>
        <v/>
      </c>
      <c r="M33" s="58">
        <f>IFERROR(LOOKUP(2,1/(U33:AY33&lt;&gt;""),U$2:AY$2),"")</f>
        <v/>
      </c>
      <c r="N33" s="59">
        <f>IF(OR(G33="",M33=""),"",G33-M33)</f>
        <v/>
      </c>
      <c r="O33" s="60" t="n"/>
      <c r="P33" s="61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  <c r="AG33" s="62" t="n"/>
      <c r="AH33" s="62" t="n"/>
      <c r="AI33" s="62" t="n"/>
      <c r="AJ33" s="62" t="n"/>
      <c r="AK33" s="62" t="n"/>
      <c r="AL33" s="62" t="n"/>
      <c r="AM33" s="62" t="n"/>
      <c r="AN33" s="62" t="n"/>
      <c r="AO33" s="62" t="n"/>
      <c r="AP33" s="62" t="n"/>
      <c r="AQ33" s="62" t="n"/>
      <c r="AR33" s="62" t="n"/>
      <c r="AS33" s="62" t="n"/>
      <c r="AT33" s="62" t="n"/>
      <c r="AU33" s="62" t="n"/>
      <c r="AV33" s="62" t="n"/>
      <c r="AW33" s="62" t="n"/>
      <c r="AX33" s="62" t="n"/>
      <c r="AY33" s="62" t="n"/>
    </row>
    <row r="34">
      <c r="A34" s="38">
        <f>IF(D34="","",COUNTA($D$9:D34))</f>
        <v/>
      </c>
      <c r="B34" s="52" t="n"/>
      <c r="C34" s="53" t="inlineStr">
        <is>
          <t>마케팅1팀</t>
        </is>
      </c>
      <c r="D34" s="52" t="n"/>
      <c r="E34" s="54" t="n"/>
      <c r="F34" s="52" t="n"/>
      <c r="G34" s="55" t="n"/>
      <c r="H34" s="54" t="n"/>
      <c r="I34" s="54" t="n"/>
      <c r="J34" s="54" t="n"/>
      <c r="K34" s="56">
        <f>IF(SUM(U34:AY34)=0,"",SUM(U34:AY34))</f>
        <v/>
      </c>
      <c r="L34" s="57">
        <f>IFERROR(INDEX(U$2:AY$2,MATCH(TRUE,U34:AY34&lt;&gt;"",0)),"")</f>
        <v/>
      </c>
      <c r="M34" s="58">
        <f>IFERROR(LOOKUP(2,1/(U34:AY34&lt;&gt;""),U$2:AY$2),"")</f>
        <v/>
      </c>
      <c r="N34" s="59">
        <f>IF(OR(G34="",M34=""),"",G34-M34)</f>
        <v/>
      </c>
      <c r="O34" s="60" t="n"/>
      <c r="P34" s="61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  <c r="AG34" s="62" t="n"/>
      <c r="AH34" s="62" t="n"/>
      <c r="AI34" s="62" t="n"/>
      <c r="AJ34" s="62" t="n"/>
      <c r="AK34" s="62" t="n"/>
      <c r="AL34" s="62" t="n"/>
      <c r="AM34" s="62" t="n"/>
      <c r="AN34" s="62" t="n"/>
      <c r="AO34" s="62" t="n"/>
      <c r="AP34" s="62" t="n"/>
      <c r="AQ34" s="62" t="n"/>
      <c r="AR34" s="62" t="n"/>
      <c r="AS34" s="62" t="n"/>
      <c r="AT34" s="62" t="n"/>
      <c r="AU34" s="62" t="n"/>
      <c r="AV34" s="62" t="n"/>
      <c r="AW34" s="62" t="n"/>
      <c r="AX34" s="62" t="n"/>
      <c r="AY34" s="62" t="n"/>
    </row>
    <row r="35">
      <c r="A35" s="38">
        <f>IF(D35="","",COUNTA($D$9:D35))</f>
        <v/>
      </c>
      <c r="B35" s="52" t="n"/>
      <c r="C35" s="53" t="inlineStr">
        <is>
          <t>마케팅1팀</t>
        </is>
      </c>
      <c r="D35" s="52" t="n"/>
      <c r="E35" s="54" t="n"/>
      <c r="F35" s="52" t="n"/>
      <c r="G35" s="55" t="n"/>
      <c r="H35" s="54" t="n"/>
      <c r="I35" s="54" t="n"/>
      <c r="J35" s="54" t="n"/>
      <c r="K35" s="56">
        <f>IF(SUM(U35:AY35)=0,"",SUM(U35:AY35))</f>
        <v/>
      </c>
      <c r="L35" s="57">
        <f>IFERROR(INDEX(U$2:AY$2,MATCH(TRUE,U35:AY35&lt;&gt;"",0)),"")</f>
        <v/>
      </c>
      <c r="M35" s="58">
        <f>IFERROR(LOOKUP(2,1/(U35:AY35&lt;&gt;""),U$2:AY$2),"")</f>
        <v/>
      </c>
      <c r="N35" s="59">
        <f>IF(OR(G35="",M35=""),"",G35-M35)</f>
        <v/>
      </c>
      <c r="O35" s="60" t="n"/>
      <c r="P35" s="61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  <c r="AG35" s="62" t="n"/>
      <c r="AH35" s="62" t="n"/>
      <c r="AI35" s="62" t="n"/>
      <c r="AJ35" s="62" t="n"/>
      <c r="AK35" s="62" t="n"/>
      <c r="AL35" s="62" t="n"/>
      <c r="AM35" s="62" t="n"/>
      <c r="AN35" s="62" t="n"/>
      <c r="AO35" s="62" t="n"/>
      <c r="AP35" s="62" t="n"/>
      <c r="AQ35" s="62" t="n"/>
      <c r="AR35" s="62" t="n"/>
      <c r="AS35" s="62" t="n"/>
      <c r="AT35" s="62" t="n"/>
      <c r="AU35" s="62" t="n"/>
      <c r="AV35" s="62" t="n"/>
      <c r="AW35" s="62" t="n"/>
      <c r="AX35" s="62" t="n"/>
      <c r="AY35" s="62" t="n"/>
    </row>
    <row r="36">
      <c r="A36" s="38">
        <f>IF(D36="","",COUNTA($D$9:D36))</f>
        <v/>
      </c>
      <c r="B36" s="52" t="n"/>
      <c r="C36" s="53" t="inlineStr">
        <is>
          <t>마케팅1팀</t>
        </is>
      </c>
      <c r="D36" s="52" t="n"/>
      <c r="E36" s="54" t="n"/>
      <c r="F36" s="52" t="n"/>
      <c r="G36" s="55" t="n"/>
      <c r="H36" s="54" t="n"/>
      <c r="I36" s="54" t="n"/>
      <c r="J36" s="54" t="n"/>
      <c r="K36" s="56">
        <f>IF(SUM(U36:AY36)=0,"",SUM(U36:AY36))</f>
        <v/>
      </c>
      <c r="L36" s="57">
        <f>IFERROR(INDEX(U$2:AY$2,MATCH(TRUE,U36:AY36&lt;&gt;"",0)),"")</f>
        <v/>
      </c>
      <c r="M36" s="58">
        <f>IFERROR(LOOKUP(2,1/(U36:AY36&lt;&gt;""),U$2:AY$2),"")</f>
        <v/>
      </c>
      <c r="N36" s="59">
        <f>IF(OR(G36="",M36=""),"",G36-M36)</f>
        <v/>
      </c>
      <c r="O36" s="60" t="n"/>
      <c r="P36" s="61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  <c r="AG36" s="62" t="n"/>
      <c r="AH36" s="62" t="n"/>
      <c r="AI36" s="62" t="n"/>
      <c r="AJ36" s="62" t="n"/>
      <c r="AK36" s="62" t="n"/>
      <c r="AL36" s="62" t="n"/>
      <c r="AM36" s="62" t="n"/>
      <c r="AN36" s="62" t="n"/>
      <c r="AO36" s="62" t="n"/>
      <c r="AP36" s="62" t="n"/>
      <c r="AQ36" s="62" t="n"/>
      <c r="AR36" s="62" t="n"/>
      <c r="AS36" s="62" t="n"/>
      <c r="AT36" s="62" t="n"/>
      <c r="AU36" s="62" t="n"/>
      <c r="AV36" s="62" t="n"/>
      <c r="AW36" s="62" t="n"/>
      <c r="AX36" s="62" t="n"/>
      <c r="AY36" s="62" t="n"/>
    </row>
    <row r="37">
      <c r="A37" s="38">
        <f>IF(D37="","",COUNTA($D$9:D37))</f>
        <v/>
      </c>
      <c r="B37" s="52" t="n"/>
      <c r="C37" s="53" t="inlineStr">
        <is>
          <t>마케팅1팀</t>
        </is>
      </c>
      <c r="D37" s="52" t="n"/>
      <c r="E37" s="54" t="n"/>
      <c r="F37" s="52" t="n"/>
      <c r="G37" s="55" t="n"/>
      <c r="H37" s="54" t="n"/>
      <c r="I37" s="54" t="n"/>
      <c r="J37" s="54" t="n"/>
      <c r="K37" s="56">
        <f>IF(SUM(U37:AY37)=0,"",SUM(U37:AY37))</f>
        <v/>
      </c>
      <c r="L37" s="57">
        <f>IFERROR(INDEX(U$2:AY$2,MATCH(TRUE,U37:AY37&lt;&gt;"",0)),"")</f>
        <v/>
      </c>
      <c r="M37" s="58">
        <f>IFERROR(LOOKUP(2,1/(U37:AY37&lt;&gt;""),U$2:AY$2),"")</f>
        <v/>
      </c>
      <c r="N37" s="59">
        <f>IF(OR(G37="",M37=""),"",G37-M37)</f>
        <v/>
      </c>
      <c r="O37" s="60" t="n"/>
      <c r="P37" s="61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  <c r="AG37" s="62" t="n"/>
      <c r="AH37" s="62" t="n"/>
      <c r="AI37" s="62" t="n"/>
      <c r="AJ37" s="62" t="n"/>
      <c r="AK37" s="62" t="n"/>
      <c r="AL37" s="62" t="n"/>
      <c r="AM37" s="62" t="n"/>
      <c r="AN37" s="62" t="n"/>
      <c r="AO37" s="62" t="n"/>
      <c r="AP37" s="62" t="n"/>
      <c r="AQ37" s="62" t="n"/>
      <c r="AR37" s="62" t="n"/>
      <c r="AS37" s="62" t="n"/>
      <c r="AT37" s="62" t="n"/>
      <c r="AU37" s="62" t="n"/>
      <c r="AV37" s="62" t="n"/>
      <c r="AW37" s="62" t="n"/>
      <c r="AX37" s="62" t="n"/>
      <c r="AY37" s="62" t="n"/>
    </row>
    <row r="38">
      <c r="A38" s="38">
        <f>IF(D38="","",COUNTA($D$9:D38))</f>
        <v/>
      </c>
      <c r="B38" s="52" t="n"/>
      <c r="C38" s="53" t="inlineStr">
        <is>
          <t>마케팅1팀</t>
        </is>
      </c>
      <c r="D38" s="52" t="n"/>
      <c r="E38" s="54" t="n"/>
      <c r="F38" s="52" t="n"/>
      <c r="G38" s="55" t="n"/>
      <c r="H38" s="54" t="n"/>
      <c r="I38" s="54" t="n"/>
      <c r="J38" s="54" t="n"/>
      <c r="K38" s="56">
        <f>IF(SUM(U38:AY38)=0,"",SUM(U38:AY38))</f>
        <v/>
      </c>
      <c r="L38" s="57">
        <f>IFERROR(INDEX(U$2:AY$2,MATCH(TRUE,U38:AY38&lt;&gt;"",0)),"")</f>
        <v/>
      </c>
      <c r="M38" s="58">
        <f>IFERROR(LOOKUP(2,1/(U38:AY38&lt;&gt;""),U$2:AY$2),"")</f>
        <v/>
      </c>
      <c r="N38" s="59">
        <f>IF(OR(G38="",M38=""),"",G38-M38)</f>
        <v/>
      </c>
      <c r="O38" s="60" t="n"/>
      <c r="P38" s="61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  <c r="AG38" s="62" t="n"/>
      <c r="AH38" s="62" t="n"/>
      <c r="AI38" s="62" t="n"/>
      <c r="AJ38" s="62" t="n"/>
      <c r="AK38" s="62" t="n"/>
      <c r="AL38" s="62" t="n"/>
      <c r="AM38" s="62" t="n"/>
      <c r="AN38" s="62" t="n"/>
      <c r="AO38" s="62" t="n"/>
      <c r="AP38" s="62" t="n"/>
      <c r="AQ38" s="62" t="n"/>
      <c r="AR38" s="62" t="n"/>
      <c r="AS38" s="62" t="n"/>
      <c r="AT38" s="62" t="n"/>
      <c r="AU38" s="62" t="n"/>
      <c r="AV38" s="62" t="n"/>
      <c r="AW38" s="62" t="n"/>
      <c r="AX38" s="62" t="n"/>
      <c r="AY38" s="62" t="n"/>
    </row>
    <row r="39">
      <c r="A39" s="63" t="inlineStr">
        <is>
          <t>마케팅2팀  (40~69행)</t>
        </is>
      </c>
      <c r="U39" s="64" t="n"/>
      <c r="V39" s="64" t="n"/>
      <c r="W39" s="64" t="n"/>
      <c r="X39" s="64" t="n"/>
      <c r="Y39" s="64" t="n"/>
      <c r="Z39" s="64" t="n"/>
      <c r="AA39" s="64" t="n"/>
      <c r="AB39" s="64" t="n"/>
      <c r="AC39" s="64" t="n"/>
      <c r="AD39" s="64" t="n"/>
      <c r="AE39" s="64" t="n"/>
      <c r="AF39" s="64" t="n"/>
      <c r="AG39" s="64" t="n"/>
      <c r="AH39" s="64" t="n"/>
      <c r="AI39" s="64" t="n"/>
      <c r="AJ39" s="64" t="n"/>
      <c r="AK39" s="64" t="n"/>
      <c r="AL39" s="64" t="n"/>
      <c r="AM39" s="64" t="n"/>
      <c r="AN39" s="64" t="n"/>
      <c r="AO39" s="64" t="n"/>
      <c r="AP39" s="64" t="n"/>
      <c r="AQ39" s="64" t="n"/>
      <c r="AR39" s="64" t="n"/>
      <c r="AS39" s="64" t="n"/>
      <c r="AT39" s="64" t="n"/>
      <c r="AU39" s="64" t="n"/>
      <c r="AV39" s="64" t="n"/>
      <c r="AW39" s="64" t="n"/>
      <c r="AX39" s="64" t="n"/>
      <c r="AY39" s="64" t="n"/>
    </row>
    <row r="40">
      <c r="A40" s="38">
        <f>IF(D40="","",COUNTA($D$40:D40))</f>
        <v/>
      </c>
      <c r="B40" s="52" t="n"/>
      <c r="C40" s="65" t="inlineStr">
        <is>
          <t>마케팅2팀</t>
        </is>
      </c>
      <c r="D40" s="52" t="n"/>
      <c r="E40" s="54" t="n"/>
      <c r="F40" s="52" t="n"/>
      <c r="G40" s="55" t="n"/>
      <c r="H40" s="54" t="n"/>
      <c r="I40" s="54" t="n"/>
      <c r="J40" s="54" t="n"/>
      <c r="K40" s="56">
        <f>IF(SUM(U40:AY40)=0,"",SUM(U40:AY40))</f>
        <v/>
      </c>
      <c r="L40" s="57">
        <f>IFERROR(INDEX(U$2:AY$2,MATCH(TRUE,U40:AY40&lt;&gt;"",0)),"")</f>
        <v/>
      </c>
      <c r="M40" s="58">
        <f>IFERROR(LOOKUP(2,1/(U40:AY40&lt;&gt;""),U$2:AY$2),"")</f>
        <v/>
      </c>
      <c r="N40" s="59">
        <f>IF(OR(G40="",M40=""),"",G40-M40)</f>
        <v/>
      </c>
      <c r="O40" s="60" t="n"/>
      <c r="P40" s="61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  <c r="AG40" s="62" t="n"/>
      <c r="AH40" s="62" t="n"/>
      <c r="AI40" s="62" t="n"/>
      <c r="AJ40" s="62" t="n"/>
      <c r="AK40" s="62" t="n"/>
      <c r="AL40" s="62" t="n"/>
      <c r="AM40" s="62" t="n"/>
      <c r="AN40" s="62" t="n"/>
      <c r="AO40" s="62" t="n"/>
      <c r="AP40" s="62" t="n"/>
      <c r="AQ40" s="62" t="n"/>
      <c r="AR40" s="62" t="n"/>
      <c r="AS40" s="62" t="n"/>
      <c r="AT40" s="62" t="n"/>
      <c r="AU40" s="62" t="n"/>
      <c r="AV40" s="62" t="n"/>
      <c r="AW40" s="62" t="n"/>
      <c r="AX40" s="62" t="n"/>
      <c r="AY40" s="62" t="n"/>
    </row>
    <row r="41">
      <c r="A41" s="38">
        <f>IF(D41="","",COUNTA($D$40:D41))</f>
        <v/>
      </c>
      <c r="B41" s="52" t="n"/>
      <c r="C41" s="65" t="inlineStr">
        <is>
          <t>마케팅2팀</t>
        </is>
      </c>
      <c r="D41" s="52" t="n"/>
      <c r="E41" s="54" t="n"/>
      <c r="F41" s="52" t="n"/>
      <c r="G41" s="55" t="n"/>
      <c r="H41" s="54" t="n"/>
      <c r="I41" s="54" t="n"/>
      <c r="J41" s="54" t="n"/>
      <c r="K41" s="56">
        <f>IF(SUM(U41:AY41)=0,"",SUM(U41:AY41))</f>
        <v/>
      </c>
      <c r="L41" s="57">
        <f>IFERROR(INDEX(U$2:AY$2,MATCH(TRUE,U41:AY41&lt;&gt;"",0)),"")</f>
        <v/>
      </c>
      <c r="M41" s="58">
        <f>IFERROR(LOOKUP(2,1/(U41:AY41&lt;&gt;""),U$2:AY$2),"")</f>
        <v/>
      </c>
      <c r="N41" s="59">
        <f>IF(OR(G41="",M41=""),"",G41-M41)</f>
        <v/>
      </c>
      <c r="O41" s="60" t="n"/>
      <c r="P41" s="61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  <c r="AG41" s="62" t="n"/>
      <c r="AH41" s="62" t="n"/>
      <c r="AI41" s="62" t="n"/>
      <c r="AJ41" s="62" t="n"/>
      <c r="AK41" s="62" t="n"/>
      <c r="AL41" s="62" t="n"/>
      <c r="AM41" s="62" t="n"/>
      <c r="AN41" s="62" t="n"/>
      <c r="AO41" s="62" t="n"/>
      <c r="AP41" s="62" t="n"/>
      <c r="AQ41" s="62" t="n"/>
      <c r="AR41" s="62" t="n"/>
      <c r="AS41" s="62" t="n"/>
      <c r="AT41" s="62" t="n"/>
      <c r="AU41" s="62" t="n"/>
      <c r="AV41" s="62" t="n"/>
      <c r="AW41" s="62" t="n"/>
      <c r="AX41" s="62" t="n"/>
      <c r="AY41" s="62" t="n"/>
    </row>
    <row r="42">
      <c r="A42" s="38">
        <f>IF(D42="","",COUNTA($D$40:D42))</f>
        <v/>
      </c>
      <c r="B42" s="52" t="n"/>
      <c r="C42" s="65" t="inlineStr">
        <is>
          <t>마케팅2팀</t>
        </is>
      </c>
      <c r="D42" s="52" t="n"/>
      <c r="E42" s="54" t="n"/>
      <c r="F42" s="52" t="n"/>
      <c r="G42" s="55" t="n"/>
      <c r="H42" s="54" t="n"/>
      <c r="I42" s="54" t="n"/>
      <c r="J42" s="54" t="n"/>
      <c r="K42" s="56">
        <f>IF(SUM(U42:AY42)=0,"",SUM(U42:AY42))</f>
        <v/>
      </c>
      <c r="L42" s="57">
        <f>IFERROR(INDEX(U$2:AY$2,MATCH(TRUE,U42:AY42&lt;&gt;"",0)),"")</f>
        <v/>
      </c>
      <c r="M42" s="58">
        <f>IFERROR(LOOKUP(2,1/(U42:AY42&lt;&gt;""),U$2:AY$2),"")</f>
        <v/>
      </c>
      <c r="N42" s="59">
        <f>IF(OR(G42="",M42=""),"",G42-M42)</f>
        <v/>
      </c>
      <c r="O42" s="60" t="n"/>
      <c r="P42" s="61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  <c r="AG42" s="62" t="n"/>
      <c r="AH42" s="62" t="n"/>
      <c r="AI42" s="62" t="n"/>
      <c r="AJ42" s="62" t="n"/>
      <c r="AK42" s="62" t="n"/>
      <c r="AL42" s="62" t="n"/>
      <c r="AM42" s="62" t="n"/>
      <c r="AN42" s="62" t="n"/>
      <c r="AO42" s="62" t="n"/>
      <c r="AP42" s="62" t="n"/>
      <c r="AQ42" s="62" t="n"/>
      <c r="AR42" s="62" t="n"/>
      <c r="AS42" s="62" t="n"/>
      <c r="AT42" s="62" t="n"/>
      <c r="AU42" s="62" t="n"/>
      <c r="AV42" s="62" t="n"/>
      <c r="AW42" s="62" t="n"/>
      <c r="AX42" s="62" t="n"/>
      <c r="AY42" s="62" t="n"/>
    </row>
    <row r="43">
      <c r="A43" s="38">
        <f>IF(D43="","",COUNTA($D$40:D43))</f>
        <v/>
      </c>
      <c r="B43" s="52" t="n"/>
      <c r="C43" s="65" t="inlineStr">
        <is>
          <t>마케팅2팀</t>
        </is>
      </c>
      <c r="D43" s="52" t="n"/>
      <c r="E43" s="54" t="n"/>
      <c r="F43" s="52" t="n"/>
      <c r="G43" s="55" t="n"/>
      <c r="H43" s="54" t="n"/>
      <c r="I43" s="54" t="n"/>
      <c r="J43" s="54" t="n"/>
      <c r="K43" s="56">
        <f>IF(SUM(U43:AY43)=0,"",SUM(U43:AY43))</f>
        <v/>
      </c>
      <c r="L43" s="57">
        <f>IFERROR(INDEX(U$2:AY$2,MATCH(TRUE,U43:AY43&lt;&gt;"",0)),"")</f>
        <v/>
      </c>
      <c r="M43" s="58">
        <f>IFERROR(LOOKUP(2,1/(U43:AY43&lt;&gt;""),U$2:AY$2),"")</f>
        <v/>
      </c>
      <c r="N43" s="59">
        <f>IF(OR(G43="",M43=""),"",G43-M43)</f>
        <v/>
      </c>
      <c r="O43" s="60" t="n"/>
      <c r="P43" s="61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  <c r="AG43" s="62" t="n"/>
      <c r="AH43" s="62" t="n"/>
      <c r="AI43" s="62" t="n"/>
      <c r="AJ43" s="62" t="n"/>
      <c r="AK43" s="62" t="n"/>
      <c r="AL43" s="62" t="n"/>
      <c r="AM43" s="62" t="n"/>
      <c r="AN43" s="62" t="n"/>
      <c r="AO43" s="62" t="n"/>
      <c r="AP43" s="62" t="n"/>
      <c r="AQ43" s="62" t="n"/>
      <c r="AR43" s="62" t="n"/>
      <c r="AS43" s="62" t="n"/>
      <c r="AT43" s="62" t="n"/>
      <c r="AU43" s="62" t="n"/>
      <c r="AV43" s="62" t="n"/>
      <c r="AW43" s="62" t="n"/>
      <c r="AX43" s="62" t="n"/>
      <c r="AY43" s="62" t="n"/>
    </row>
    <row r="44">
      <c r="A44" s="38">
        <f>IF(D44="","",COUNTA($D$40:D44))</f>
        <v/>
      </c>
      <c r="B44" s="52" t="n"/>
      <c r="C44" s="65" t="inlineStr">
        <is>
          <t>마케팅2팀</t>
        </is>
      </c>
      <c r="D44" s="52" t="n"/>
      <c r="E44" s="54" t="n"/>
      <c r="F44" s="52" t="n"/>
      <c r="G44" s="55" t="n"/>
      <c r="H44" s="54" t="n"/>
      <c r="I44" s="54" t="n"/>
      <c r="J44" s="54" t="n"/>
      <c r="K44" s="56">
        <f>IF(SUM(U44:AY44)=0,"",SUM(U44:AY44))</f>
        <v/>
      </c>
      <c r="L44" s="57">
        <f>IFERROR(INDEX(U$2:AY$2,MATCH(TRUE,U44:AY44&lt;&gt;"",0)),"")</f>
        <v/>
      </c>
      <c r="M44" s="58">
        <f>IFERROR(LOOKUP(2,1/(U44:AY44&lt;&gt;""),U$2:AY$2),"")</f>
        <v/>
      </c>
      <c r="N44" s="59">
        <f>IF(OR(G44="",M44=""),"",G44-M44)</f>
        <v/>
      </c>
      <c r="O44" s="60" t="n"/>
      <c r="P44" s="61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  <c r="AG44" s="62" t="n"/>
      <c r="AH44" s="62" t="n"/>
      <c r="AI44" s="62" t="n"/>
      <c r="AJ44" s="62" t="n"/>
      <c r="AK44" s="62" t="n"/>
      <c r="AL44" s="62" t="n"/>
      <c r="AM44" s="62" t="n"/>
      <c r="AN44" s="62" t="n"/>
      <c r="AO44" s="62" t="n"/>
      <c r="AP44" s="62" t="n"/>
      <c r="AQ44" s="62" t="n"/>
      <c r="AR44" s="62" t="n"/>
      <c r="AS44" s="62" t="n"/>
      <c r="AT44" s="62" t="n"/>
      <c r="AU44" s="62" t="n"/>
      <c r="AV44" s="62" t="n"/>
      <c r="AW44" s="62" t="n"/>
      <c r="AX44" s="62" t="n"/>
      <c r="AY44" s="62" t="n"/>
    </row>
    <row r="45">
      <c r="A45" s="38">
        <f>IF(D45="","",COUNTA($D$40:D45))</f>
        <v/>
      </c>
      <c r="B45" s="52" t="n"/>
      <c r="C45" s="65" t="inlineStr">
        <is>
          <t>마케팅2팀</t>
        </is>
      </c>
      <c r="D45" s="52" t="n"/>
      <c r="E45" s="54" t="n"/>
      <c r="F45" s="52" t="n"/>
      <c r="G45" s="55" t="n"/>
      <c r="H45" s="54" t="n"/>
      <c r="I45" s="54" t="n"/>
      <c r="J45" s="54" t="n"/>
      <c r="K45" s="56">
        <f>IF(SUM(U45:AY45)=0,"",SUM(U45:AY45))</f>
        <v/>
      </c>
      <c r="L45" s="57">
        <f>IFERROR(INDEX(U$2:AY$2,MATCH(TRUE,U45:AY45&lt;&gt;"",0)),"")</f>
        <v/>
      </c>
      <c r="M45" s="58">
        <f>IFERROR(LOOKUP(2,1/(U45:AY45&lt;&gt;""),U$2:AY$2),"")</f>
        <v/>
      </c>
      <c r="N45" s="59">
        <f>IF(OR(G45="",M45=""),"",G45-M45)</f>
        <v/>
      </c>
      <c r="O45" s="60" t="n"/>
      <c r="P45" s="61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  <c r="AG45" s="62" t="n"/>
      <c r="AH45" s="62" t="n"/>
      <c r="AI45" s="62" t="n"/>
      <c r="AJ45" s="62" t="n"/>
      <c r="AK45" s="62" t="n"/>
      <c r="AL45" s="62" t="n"/>
      <c r="AM45" s="62" t="n"/>
      <c r="AN45" s="62" t="n"/>
      <c r="AO45" s="62" t="n"/>
      <c r="AP45" s="62" t="n"/>
      <c r="AQ45" s="62" t="n"/>
      <c r="AR45" s="62" t="n"/>
      <c r="AS45" s="62" t="n"/>
      <c r="AT45" s="62" t="n"/>
      <c r="AU45" s="62" t="n"/>
      <c r="AV45" s="62" t="n"/>
      <c r="AW45" s="62" t="n"/>
      <c r="AX45" s="62" t="n"/>
      <c r="AY45" s="62" t="n"/>
    </row>
    <row r="46">
      <c r="A46" s="38">
        <f>IF(D46="","",COUNTA($D$40:D46))</f>
        <v/>
      </c>
      <c r="B46" s="52" t="n"/>
      <c r="C46" s="65" t="inlineStr">
        <is>
          <t>마케팅2팀</t>
        </is>
      </c>
      <c r="D46" s="52" t="n"/>
      <c r="E46" s="54" t="n"/>
      <c r="F46" s="52" t="n"/>
      <c r="G46" s="55" t="n"/>
      <c r="H46" s="54" t="n"/>
      <c r="I46" s="54" t="n"/>
      <c r="J46" s="54" t="n"/>
      <c r="K46" s="56">
        <f>IF(SUM(U46:AY46)=0,"",SUM(U46:AY46))</f>
        <v/>
      </c>
      <c r="L46" s="57">
        <f>IFERROR(INDEX(U$2:AY$2,MATCH(TRUE,U46:AY46&lt;&gt;"",0)),"")</f>
        <v/>
      </c>
      <c r="M46" s="58">
        <f>IFERROR(LOOKUP(2,1/(U46:AY46&lt;&gt;""),U$2:AY$2),"")</f>
        <v/>
      </c>
      <c r="N46" s="59">
        <f>IF(OR(G46="",M46=""),"",G46-M46)</f>
        <v/>
      </c>
      <c r="O46" s="60" t="n"/>
      <c r="P46" s="61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  <c r="AG46" s="62" t="n"/>
      <c r="AH46" s="62" t="n"/>
      <c r="AI46" s="62" t="n"/>
      <c r="AJ46" s="62" t="n"/>
      <c r="AK46" s="62" t="n"/>
      <c r="AL46" s="62" t="n"/>
      <c r="AM46" s="62" t="n"/>
      <c r="AN46" s="62" t="n"/>
      <c r="AO46" s="62" t="n"/>
      <c r="AP46" s="62" t="n"/>
      <c r="AQ46" s="62" t="n"/>
      <c r="AR46" s="62" t="n"/>
      <c r="AS46" s="62" t="n"/>
      <c r="AT46" s="62" t="n"/>
      <c r="AU46" s="62" t="n"/>
      <c r="AV46" s="62" t="n"/>
      <c r="AW46" s="62" t="n"/>
      <c r="AX46" s="62" t="n"/>
      <c r="AY46" s="62" t="n"/>
    </row>
    <row r="47">
      <c r="A47" s="38">
        <f>IF(D47="","",COUNTA($D$40:D47))</f>
        <v/>
      </c>
      <c r="B47" s="52" t="n"/>
      <c r="C47" s="65" t="inlineStr">
        <is>
          <t>마케팅2팀</t>
        </is>
      </c>
      <c r="D47" s="52" t="n"/>
      <c r="E47" s="54" t="n"/>
      <c r="F47" s="52" t="n"/>
      <c r="G47" s="55" t="n"/>
      <c r="H47" s="54" t="n"/>
      <c r="I47" s="54" t="n"/>
      <c r="J47" s="54" t="n"/>
      <c r="K47" s="56">
        <f>IF(SUM(U47:AY47)=0,"",SUM(U47:AY47))</f>
        <v/>
      </c>
      <c r="L47" s="57">
        <f>IFERROR(INDEX(U$2:AY$2,MATCH(TRUE,U47:AY47&lt;&gt;"",0)),"")</f>
        <v/>
      </c>
      <c r="M47" s="58">
        <f>IFERROR(LOOKUP(2,1/(U47:AY47&lt;&gt;""),U$2:AY$2),"")</f>
        <v/>
      </c>
      <c r="N47" s="59">
        <f>IF(OR(G47="",M47=""),"",G47-M47)</f>
        <v/>
      </c>
      <c r="O47" s="60" t="n"/>
      <c r="P47" s="61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  <c r="AG47" s="62" t="n"/>
      <c r="AH47" s="62" t="n"/>
      <c r="AI47" s="62" t="n"/>
      <c r="AJ47" s="62" t="n"/>
      <c r="AK47" s="62" t="n"/>
      <c r="AL47" s="62" t="n"/>
      <c r="AM47" s="62" t="n"/>
      <c r="AN47" s="62" t="n"/>
      <c r="AO47" s="62" t="n"/>
      <c r="AP47" s="62" t="n"/>
      <c r="AQ47" s="62" t="n"/>
      <c r="AR47" s="62" t="n"/>
      <c r="AS47" s="62" t="n"/>
      <c r="AT47" s="62" t="n"/>
      <c r="AU47" s="62" t="n"/>
      <c r="AV47" s="62" t="n"/>
      <c r="AW47" s="62" t="n"/>
      <c r="AX47" s="62" t="n"/>
      <c r="AY47" s="62" t="n"/>
    </row>
    <row r="48">
      <c r="A48" s="38">
        <f>IF(D48="","",COUNTA($D$40:D48))</f>
        <v/>
      </c>
      <c r="B48" s="52" t="n"/>
      <c r="C48" s="65" t="inlineStr">
        <is>
          <t>마케팅2팀</t>
        </is>
      </c>
      <c r="D48" s="52" t="n"/>
      <c r="E48" s="54" t="n"/>
      <c r="F48" s="52" t="n"/>
      <c r="G48" s="55" t="n"/>
      <c r="H48" s="54" t="n"/>
      <c r="I48" s="54" t="n"/>
      <c r="J48" s="54" t="n"/>
      <c r="K48" s="56">
        <f>IF(SUM(U48:AY48)=0,"",SUM(U48:AY48))</f>
        <v/>
      </c>
      <c r="L48" s="57">
        <f>IFERROR(INDEX(U$2:AY$2,MATCH(TRUE,U48:AY48&lt;&gt;"",0)),"")</f>
        <v/>
      </c>
      <c r="M48" s="58">
        <f>IFERROR(LOOKUP(2,1/(U48:AY48&lt;&gt;""),U$2:AY$2),"")</f>
        <v/>
      </c>
      <c r="N48" s="59">
        <f>IF(OR(G48="",M48=""),"",G48-M48)</f>
        <v/>
      </c>
      <c r="O48" s="60" t="n"/>
      <c r="P48" s="61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  <c r="AG48" s="62" t="n"/>
      <c r="AH48" s="62" t="n"/>
      <c r="AI48" s="62" t="n"/>
      <c r="AJ48" s="62" t="n"/>
      <c r="AK48" s="62" t="n"/>
      <c r="AL48" s="62" t="n"/>
      <c r="AM48" s="62" t="n"/>
      <c r="AN48" s="62" t="n"/>
      <c r="AO48" s="62" t="n"/>
      <c r="AP48" s="62" t="n"/>
      <c r="AQ48" s="62" t="n"/>
      <c r="AR48" s="62" t="n"/>
      <c r="AS48" s="62" t="n"/>
      <c r="AT48" s="62" t="n"/>
      <c r="AU48" s="62" t="n"/>
      <c r="AV48" s="62" t="n"/>
      <c r="AW48" s="62" t="n"/>
      <c r="AX48" s="62" t="n"/>
      <c r="AY48" s="62" t="n"/>
    </row>
    <row r="49">
      <c r="A49" s="38">
        <f>IF(D49="","",COUNTA($D$40:D49))</f>
        <v/>
      </c>
      <c r="B49" s="52" t="n"/>
      <c r="C49" s="65" t="inlineStr">
        <is>
          <t>마케팅2팀</t>
        </is>
      </c>
      <c r="D49" s="52" t="n"/>
      <c r="E49" s="54" t="n"/>
      <c r="F49" s="52" t="n"/>
      <c r="G49" s="55" t="n"/>
      <c r="H49" s="54" t="n"/>
      <c r="I49" s="54" t="n"/>
      <c r="J49" s="54" t="n"/>
      <c r="K49" s="56">
        <f>IF(SUM(U49:AY49)=0,"",SUM(U49:AY49))</f>
        <v/>
      </c>
      <c r="L49" s="57">
        <f>IFERROR(INDEX(U$2:AY$2,MATCH(TRUE,U49:AY49&lt;&gt;"",0)),"")</f>
        <v/>
      </c>
      <c r="M49" s="58">
        <f>IFERROR(LOOKUP(2,1/(U49:AY49&lt;&gt;""),U$2:AY$2),"")</f>
        <v/>
      </c>
      <c r="N49" s="59">
        <f>IF(OR(G49="",M49=""),"",G49-M49)</f>
        <v/>
      </c>
      <c r="O49" s="60" t="n"/>
      <c r="P49" s="61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  <c r="AG49" s="62" t="n"/>
      <c r="AH49" s="62" t="n"/>
      <c r="AI49" s="62" t="n"/>
      <c r="AJ49" s="62" t="n"/>
      <c r="AK49" s="62" t="n"/>
      <c r="AL49" s="62" t="n"/>
      <c r="AM49" s="62" t="n"/>
      <c r="AN49" s="62" t="n"/>
      <c r="AO49" s="62" t="n"/>
      <c r="AP49" s="62" t="n"/>
      <c r="AQ49" s="62" t="n"/>
      <c r="AR49" s="62" t="n"/>
      <c r="AS49" s="62" t="n"/>
      <c r="AT49" s="62" t="n"/>
      <c r="AU49" s="62" t="n"/>
      <c r="AV49" s="62" t="n"/>
      <c r="AW49" s="62" t="n"/>
      <c r="AX49" s="62" t="n"/>
      <c r="AY49" s="62" t="n"/>
    </row>
    <row r="50">
      <c r="A50" s="38">
        <f>IF(D50="","",COUNTA($D$40:D50))</f>
        <v/>
      </c>
      <c r="B50" s="52" t="n"/>
      <c r="C50" s="65" t="inlineStr">
        <is>
          <t>마케팅2팀</t>
        </is>
      </c>
      <c r="D50" s="52" t="n"/>
      <c r="E50" s="54" t="n"/>
      <c r="F50" s="52" t="n"/>
      <c r="G50" s="55" t="n"/>
      <c r="H50" s="54" t="n"/>
      <c r="I50" s="54" t="n"/>
      <c r="J50" s="54" t="n"/>
      <c r="K50" s="56">
        <f>IF(SUM(U50:AY50)=0,"",SUM(U50:AY50))</f>
        <v/>
      </c>
      <c r="L50" s="57">
        <f>IFERROR(INDEX(U$2:AY$2,MATCH(TRUE,U50:AY50&lt;&gt;"",0)),"")</f>
        <v/>
      </c>
      <c r="M50" s="58">
        <f>IFERROR(LOOKUP(2,1/(U50:AY50&lt;&gt;""),U$2:AY$2),"")</f>
        <v/>
      </c>
      <c r="N50" s="59">
        <f>IF(OR(G50="",M50=""),"",G50-M50)</f>
        <v/>
      </c>
      <c r="O50" s="60" t="n"/>
      <c r="P50" s="61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  <c r="AG50" s="62" t="n"/>
      <c r="AH50" s="62" t="n"/>
      <c r="AI50" s="62" t="n"/>
      <c r="AJ50" s="62" t="n"/>
      <c r="AK50" s="62" t="n"/>
      <c r="AL50" s="62" t="n"/>
      <c r="AM50" s="62" t="n"/>
      <c r="AN50" s="62" t="n"/>
      <c r="AO50" s="62" t="n"/>
      <c r="AP50" s="62" t="n"/>
      <c r="AQ50" s="62" t="n"/>
      <c r="AR50" s="62" t="n"/>
      <c r="AS50" s="62" t="n"/>
      <c r="AT50" s="62" t="n"/>
      <c r="AU50" s="62" t="n"/>
      <c r="AV50" s="62" t="n"/>
      <c r="AW50" s="62" t="n"/>
      <c r="AX50" s="62" t="n"/>
      <c r="AY50" s="62" t="n"/>
    </row>
    <row r="51">
      <c r="A51" s="38">
        <f>IF(D51="","",COUNTA($D$40:D51))</f>
        <v/>
      </c>
      <c r="B51" s="52" t="n"/>
      <c r="C51" s="65" t="inlineStr">
        <is>
          <t>마케팅2팀</t>
        </is>
      </c>
      <c r="D51" s="52" t="n"/>
      <c r="E51" s="54" t="n"/>
      <c r="F51" s="52" t="n"/>
      <c r="G51" s="55" t="n"/>
      <c r="H51" s="54" t="n"/>
      <c r="I51" s="54" t="n"/>
      <c r="J51" s="54" t="n"/>
      <c r="K51" s="56">
        <f>IF(SUM(U51:AY51)=0,"",SUM(U51:AY51))</f>
        <v/>
      </c>
      <c r="L51" s="57">
        <f>IFERROR(INDEX(U$2:AY$2,MATCH(TRUE,U51:AY51&lt;&gt;"",0)),"")</f>
        <v/>
      </c>
      <c r="M51" s="58">
        <f>IFERROR(LOOKUP(2,1/(U51:AY51&lt;&gt;""),U$2:AY$2),"")</f>
        <v/>
      </c>
      <c r="N51" s="59">
        <f>IF(OR(G51="",M51=""),"",G51-M51)</f>
        <v/>
      </c>
      <c r="O51" s="60" t="n"/>
      <c r="P51" s="61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  <c r="AG51" s="62" t="n"/>
      <c r="AH51" s="62" t="n"/>
      <c r="AI51" s="62" t="n"/>
      <c r="AJ51" s="62" t="n"/>
      <c r="AK51" s="62" t="n"/>
      <c r="AL51" s="62" t="n"/>
      <c r="AM51" s="62" t="n"/>
      <c r="AN51" s="62" t="n"/>
      <c r="AO51" s="62" t="n"/>
      <c r="AP51" s="62" t="n"/>
      <c r="AQ51" s="62" t="n"/>
      <c r="AR51" s="62" t="n"/>
      <c r="AS51" s="62" t="n"/>
      <c r="AT51" s="62" t="n"/>
      <c r="AU51" s="62" t="n"/>
      <c r="AV51" s="62" t="n"/>
      <c r="AW51" s="62" t="n"/>
      <c r="AX51" s="62" t="n"/>
      <c r="AY51" s="62" t="n"/>
    </row>
    <row r="52">
      <c r="A52" s="38">
        <f>IF(D52="","",COUNTA($D$40:D52))</f>
        <v/>
      </c>
      <c r="B52" s="52" t="n"/>
      <c r="C52" s="65" t="inlineStr">
        <is>
          <t>마케팅2팀</t>
        </is>
      </c>
      <c r="D52" s="52" t="n"/>
      <c r="E52" s="54" t="n"/>
      <c r="F52" s="52" t="n"/>
      <c r="G52" s="55" t="n"/>
      <c r="H52" s="54" t="n"/>
      <c r="I52" s="54" t="n"/>
      <c r="J52" s="54" t="n"/>
      <c r="K52" s="56">
        <f>IF(SUM(U52:AY52)=0,"",SUM(U52:AY52))</f>
        <v/>
      </c>
      <c r="L52" s="57">
        <f>IFERROR(INDEX(U$2:AY$2,MATCH(TRUE,U52:AY52&lt;&gt;"",0)),"")</f>
        <v/>
      </c>
      <c r="M52" s="58">
        <f>IFERROR(LOOKUP(2,1/(U52:AY52&lt;&gt;""),U$2:AY$2),"")</f>
        <v/>
      </c>
      <c r="N52" s="59">
        <f>IF(OR(G52="",M52=""),"",G52-M52)</f>
        <v/>
      </c>
      <c r="O52" s="60" t="n"/>
      <c r="P52" s="61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  <c r="AG52" s="62" t="n"/>
      <c r="AH52" s="62" t="n"/>
      <c r="AI52" s="62" t="n"/>
      <c r="AJ52" s="62" t="n"/>
      <c r="AK52" s="62" t="n"/>
      <c r="AL52" s="62" t="n"/>
      <c r="AM52" s="62" t="n"/>
      <c r="AN52" s="62" t="n"/>
      <c r="AO52" s="62" t="n"/>
      <c r="AP52" s="62" t="n"/>
      <c r="AQ52" s="62" t="n"/>
      <c r="AR52" s="62" t="n"/>
      <c r="AS52" s="62" t="n"/>
      <c r="AT52" s="62" t="n"/>
      <c r="AU52" s="62" t="n"/>
      <c r="AV52" s="62" t="n"/>
      <c r="AW52" s="62" t="n"/>
      <c r="AX52" s="62" t="n"/>
      <c r="AY52" s="62" t="n"/>
    </row>
    <row r="53">
      <c r="A53" s="38">
        <f>IF(D53="","",COUNTA($D$40:D53))</f>
        <v/>
      </c>
      <c r="B53" s="52" t="n"/>
      <c r="C53" s="65" t="inlineStr">
        <is>
          <t>마케팅2팀</t>
        </is>
      </c>
      <c r="D53" s="52" t="n"/>
      <c r="E53" s="54" t="n"/>
      <c r="F53" s="52" t="n"/>
      <c r="G53" s="55" t="n"/>
      <c r="H53" s="54" t="n"/>
      <c r="I53" s="54" t="n"/>
      <c r="J53" s="54" t="n"/>
      <c r="K53" s="56">
        <f>IF(SUM(U53:AY53)=0,"",SUM(U53:AY53))</f>
        <v/>
      </c>
      <c r="L53" s="57">
        <f>IFERROR(INDEX(U$2:AY$2,MATCH(TRUE,U53:AY53&lt;&gt;"",0)),"")</f>
        <v/>
      </c>
      <c r="M53" s="58">
        <f>IFERROR(LOOKUP(2,1/(U53:AY53&lt;&gt;""),U$2:AY$2),"")</f>
        <v/>
      </c>
      <c r="N53" s="59">
        <f>IF(OR(G53="",M53=""),"",G53-M53)</f>
        <v/>
      </c>
      <c r="O53" s="60" t="n"/>
      <c r="P53" s="61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  <c r="AG53" s="62" t="n"/>
      <c r="AH53" s="62" t="n"/>
      <c r="AI53" s="62" t="n"/>
      <c r="AJ53" s="62" t="n"/>
      <c r="AK53" s="62" t="n"/>
      <c r="AL53" s="62" t="n"/>
      <c r="AM53" s="62" t="n"/>
      <c r="AN53" s="62" t="n"/>
      <c r="AO53" s="62" t="n"/>
      <c r="AP53" s="62" t="n"/>
      <c r="AQ53" s="62" t="n"/>
      <c r="AR53" s="62" t="n"/>
      <c r="AS53" s="62" t="n"/>
      <c r="AT53" s="62" t="n"/>
      <c r="AU53" s="62" t="n"/>
      <c r="AV53" s="62" t="n"/>
      <c r="AW53" s="62" t="n"/>
      <c r="AX53" s="62" t="n"/>
      <c r="AY53" s="62" t="n"/>
    </row>
    <row r="54">
      <c r="A54" s="38">
        <f>IF(D54="","",COUNTA($D$40:D54))</f>
        <v/>
      </c>
      <c r="B54" s="52" t="n"/>
      <c r="C54" s="65" t="inlineStr">
        <is>
          <t>마케팅2팀</t>
        </is>
      </c>
      <c r="D54" s="52" t="n"/>
      <c r="E54" s="54" t="n"/>
      <c r="F54" s="52" t="n"/>
      <c r="G54" s="55" t="n"/>
      <c r="H54" s="54" t="n"/>
      <c r="I54" s="54" t="n"/>
      <c r="J54" s="54" t="n"/>
      <c r="K54" s="56">
        <f>IF(SUM(U54:AY54)=0,"",SUM(U54:AY54))</f>
        <v/>
      </c>
      <c r="L54" s="57">
        <f>IFERROR(INDEX(U$2:AY$2,MATCH(TRUE,U54:AY54&lt;&gt;"",0)),"")</f>
        <v/>
      </c>
      <c r="M54" s="58">
        <f>IFERROR(LOOKUP(2,1/(U54:AY54&lt;&gt;""),U$2:AY$2),"")</f>
        <v/>
      </c>
      <c r="N54" s="59">
        <f>IF(OR(G54="",M54=""),"",G54-M54)</f>
        <v/>
      </c>
      <c r="O54" s="60" t="n"/>
      <c r="P54" s="61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  <c r="AG54" s="62" t="n"/>
      <c r="AH54" s="62" t="n"/>
      <c r="AI54" s="62" t="n"/>
      <c r="AJ54" s="62" t="n"/>
      <c r="AK54" s="62" t="n"/>
      <c r="AL54" s="62" t="n"/>
      <c r="AM54" s="62" t="n"/>
      <c r="AN54" s="62" t="n"/>
      <c r="AO54" s="62" t="n"/>
      <c r="AP54" s="62" t="n"/>
      <c r="AQ54" s="62" t="n"/>
      <c r="AR54" s="62" t="n"/>
      <c r="AS54" s="62" t="n"/>
      <c r="AT54" s="62" t="n"/>
      <c r="AU54" s="62" t="n"/>
      <c r="AV54" s="62" t="n"/>
      <c r="AW54" s="62" t="n"/>
      <c r="AX54" s="62" t="n"/>
      <c r="AY54" s="62" t="n"/>
    </row>
    <row r="55">
      <c r="A55" s="38">
        <f>IF(D55="","",COUNTA($D$40:D55))</f>
        <v/>
      </c>
      <c r="B55" s="52" t="n"/>
      <c r="C55" s="65" t="inlineStr">
        <is>
          <t>마케팅2팀</t>
        </is>
      </c>
      <c r="D55" s="52" t="n"/>
      <c r="E55" s="54" t="n"/>
      <c r="F55" s="52" t="n"/>
      <c r="G55" s="55" t="n"/>
      <c r="H55" s="54" t="n"/>
      <c r="I55" s="54" t="n"/>
      <c r="J55" s="54" t="n"/>
      <c r="K55" s="56">
        <f>IF(SUM(U55:AY55)=0,"",SUM(U55:AY55))</f>
        <v/>
      </c>
      <c r="L55" s="57">
        <f>IFERROR(INDEX(U$2:AY$2,MATCH(TRUE,U55:AY55&lt;&gt;"",0)),"")</f>
        <v/>
      </c>
      <c r="M55" s="58">
        <f>IFERROR(LOOKUP(2,1/(U55:AY55&lt;&gt;""),U$2:AY$2),"")</f>
        <v/>
      </c>
      <c r="N55" s="59">
        <f>IF(OR(G55="",M55=""),"",G55-M55)</f>
        <v/>
      </c>
      <c r="O55" s="60" t="n"/>
      <c r="P55" s="61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  <c r="AG55" s="62" t="n"/>
      <c r="AH55" s="62" t="n"/>
      <c r="AI55" s="62" t="n"/>
      <c r="AJ55" s="62" t="n"/>
      <c r="AK55" s="62" t="n"/>
      <c r="AL55" s="62" t="n"/>
      <c r="AM55" s="62" t="n"/>
      <c r="AN55" s="62" t="n"/>
      <c r="AO55" s="62" t="n"/>
      <c r="AP55" s="62" t="n"/>
      <c r="AQ55" s="62" t="n"/>
      <c r="AR55" s="62" t="n"/>
      <c r="AS55" s="62" t="n"/>
      <c r="AT55" s="62" t="n"/>
      <c r="AU55" s="62" t="n"/>
      <c r="AV55" s="62" t="n"/>
      <c r="AW55" s="62" t="n"/>
      <c r="AX55" s="62" t="n"/>
      <c r="AY55" s="62" t="n"/>
    </row>
    <row r="56">
      <c r="A56" s="38">
        <f>IF(D56="","",COUNTA($D$40:D56))</f>
        <v/>
      </c>
      <c r="B56" s="52" t="n"/>
      <c r="C56" s="65" t="inlineStr">
        <is>
          <t>마케팅2팀</t>
        </is>
      </c>
      <c r="D56" s="52" t="n"/>
      <c r="E56" s="54" t="n"/>
      <c r="F56" s="52" t="n"/>
      <c r="G56" s="55" t="n"/>
      <c r="H56" s="54" t="n"/>
      <c r="I56" s="54" t="n"/>
      <c r="J56" s="54" t="n"/>
      <c r="K56" s="56">
        <f>IF(SUM(U56:AY56)=0,"",SUM(U56:AY56))</f>
        <v/>
      </c>
      <c r="L56" s="57">
        <f>IFERROR(INDEX(U$2:AY$2,MATCH(TRUE,U56:AY56&lt;&gt;"",0)),"")</f>
        <v/>
      </c>
      <c r="M56" s="58">
        <f>IFERROR(LOOKUP(2,1/(U56:AY56&lt;&gt;""),U$2:AY$2),"")</f>
        <v/>
      </c>
      <c r="N56" s="59">
        <f>IF(OR(G56="",M56=""),"",G56-M56)</f>
        <v/>
      </c>
      <c r="O56" s="60" t="n"/>
      <c r="P56" s="61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  <c r="AG56" s="62" t="n"/>
      <c r="AH56" s="62" t="n"/>
      <c r="AI56" s="62" t="n"/>
      <c r="AJ56" s="62" t="n"/>
      <c r="AK56" s="62" t="n"/>
      <c r="AL56" s="62" t="n"/>
      <c r="AM56" s="62" t="n"/>
      <c r="AN56" s="62" t="n"/>
      <c r="AO56" s="62" t="n"/>
      <c r="AP56" s="62" t="n"/>
      <c r="AQ56" s="62" t="n"/>
      <c r="AR56" s="62" t="n"/>
      <c r="AS56" s="62" t="n"/>
      <c r="AT56" s="62" t="n"/>
      <c r="AU56" s="62" t="n"/>
      <c r="AV56" s="62" t="n"/>
      <c r="AW56" s="62" t="n"/>
      <c r="AX56" s="62" t="n"/>
      <c r="AY56" s="62" t="n"/>
    </row>
    <row r="57">
      <c r="A57" s="38">
        <f>IF(D57="","",COUNTA($D$40:D57))</f>
        <v/>
      </c>
      <c r="B57" s="52" t="n"/>
      <c r="C57" s="65" t="inlineStr">
        <is>
          <t>마케팅2팀</t>
        </is>
      </c>
      <c r="D57" s="52" t="n"/>
      <c r="E57" s="54" t="n"/>
      <c r="F57" s="52" t="n"/>
      <c r="G57" s="55" t="n"/>
      <c r="H57" s="54" t="n"/>
      <c r="I57" s="54" t="n"/>
      <c r="J57" s="54" t="n"/>
      <c r="K57" s="56">
        <f>IF(SUM(U57:AY57)=0,"",SUM(U57:AY57))</f>
        <v/>
      </c>
      <c r="L57" s="57">
        <f>IFERROR(INDEX(U$2:AY$2,MATCH(TRUE,U57:AY57&lt;&gt;"",0)),"")</f>
        <v/>
      </c>
      <c r="M57" s="58">
        <f>IFERROR(LOOKUP(2,1/(U57:AY57&lt;&gt;""),U$2:AY$2),"")</f>
        <v/>
      </c>
      <c r="N57" s="59">
        <f>IF(OR(G57="",M57=""),"",G57-M57)</f>
        <v/>
      </c>
      <c r="O57" s="60" t="n"/>
      <c r="P57" s="61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  <c r="AG57" s="62" t="n"/>
      <c r="AH57" s="62" t="n"/>
      <c r="AI57" s="62" t="n"/>
      <c r="AJ57" s="62" t="n"/>
      <c r="AK57" s="62" t="n"/>
      <c r="AL57" s="62" t="n"/>
      <c r="AM57" s="62" t="n"/>
      <c r="AN57" s="62" t="n"/>
      <c r="AO57" s="62" t="n"/>
      <c r="AP57" s="62" t="n"/>
      <c r="AQ57" s="62" t="n"/>
      <c r="AR57" s="62" t="n"/>
      <c r="AS57" s="62" t="n"/>
      <c r="AT57" s="62" t="n"/>
      <c r="AU57" s="62" t="n"/>
      <c r="AV57" s="62" t="n"/>
      <c r="AW57" s="62" t="n"/>
      <c r="AX57" s="62" t="n"/>
      <c r="AY57" s="62" t="n"/>
    </row>
    <row r="58">
      <c r="A58" s="38">
        <f>IF(D58="","",COUNTA($D$40:D58))</f>
        <v/>
      </c>
      <c r="B58" s="52" t="n"/>
      <c r="C58" s="65" t="inlineStr">
        <is>
          <t>마케팅2팀</t>
        </is>
      </c>
      <c r="D58" s="52" t="n"/>
      <c r="E58" s="54" t="n"/>
      <c r="F58" s="52" t="n"/>
      <c r="G58" s="55" t="n"/>
      <c r="H58" s="54" t="n"/>
      <c r="I58" s="54" t="n"/>
      <c r="J58" s="54" t="n"/>
      <c r="K58" s="56">
        <f>IF(SUM(U58:AY58)=0,"",SUM(U58:AY58))</f>
        <v/>
      </c>
      <c r="L58" s="57">
        <f>IFERROR(INDEX(U$2:AY$2,MATCH(TRUE,U58:AY58&lt;&gt;"",0)),"")</f>
        <v/>
      </c>
      <c r="M58" s="58">
        <f>IFERROR(LOOKUP(2,1/(U58:AY58&lt;&gt;""),U$2:AY$2),"")</f>
        <v/>
      </c>
      <c r="N58" s="59">
        <f>IF(OR(G58="",M58=""),"",G58-M58)</f>
        <v/>
      </c>
      <c r="O58" s="60" t="n"/>
      <c r="P58" s="61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  <c r="AG58" s="62" t="n"/>
      <c r="AH58" s="62" t="n"/>
      <c r="AI58" s="62" t="n"/>
      <c r="AJ58" s="62" t="n"/>
      <c r="AK58" s="62" t="n"/>
      <c r="AL58" s="62" t="n"/>
      <c r="AM58" s="62" t="n"/>
      <c r="AN58" s="62" t="n"/>
      <c r="AO58" s="62" t="n"/>
      <c r="AP58" s="62" t="n"/>
      <c r="AQ58" s="62" t="n"/>
      <c r="AR58" s="62" t="n"/>
      <c r="AS58" s="62" t="n"/>
      <c r="AT58" s="62" t="n"/>
      <c r="AU58" s="62" t="n"/>
      <c r="AV58" s="62" t="n"/>
      <c r="AW58" s="62" t="n"/>
      <c r="AX58" s="62" t="n"/>
      <c r="AY58" s="62" t="n"/>
    </row>
    <row r="59">
      <c r="A59" s="38">
        <f>IF(D59="","",COUNTA($D$40:D59))</f>
        <v/>
      </c>
      <c r="B59" s="52" t="n"/>
      <c r="C59" s="65" t="inlineStr">
        <is>
          <t>마케팅2팀</t>
        </is>
      </c>
      <c r="D59" s="52" t="n"/>
      <c r="E59" s="54" t="n"/>
      <c r="F59" s="52" t="n"/>
      <c r="G59" s="55" t="n"/>
      <c r="H59" s="54" t="n"/>
      <c r="I59" s="54" t="n"/>
      <c r="J59" s="54" t="n"/>
      <c r="K59" s="56">
        <f>IF(SUM(U59:AY59)=0,"",SUM(U59:AY59))</f>
        <v/>
      </c>
      <c r="L59" s="57">
        <f>IFERROR(INDEX(U$2:AY$2,MATCH(TRUE,U59:AY59&lt;&gt;"",0)),"")</f>
        <v/>
      </c>
      <c r="M59" s="58">
        <f>IFERROR(LOOKUP(2,1/(U59:AY59&lt;&gt;""),U$2:AY$2),"")</f>
        <v/>
      </c>
      <c r="N59" s="59">
        <f>IF(OR(G59="",M59=""),"",G59-M59)</f>
        <v/>
      </c>
      <c r="O59" s="60" t="n"/>
      <c r="P59" s="61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  <c r="AG59" s="62" t="n"/>
      <c r="AH59" s="62" t="n"/>
      <c r="AI59" s="62" t="n"/>
      <c r="AJ59" s="62" t="n"/>
      <c r="AK59" s="62" t="n"/>
      <c r="AL59" s="62" t="n"/>
      <c r="AM59" s="62" t="n"/>
      <c r="AN59" s="62" t="n"/>
      <c r="AO59" s="62" t="n"/>
      <c r="AP59" s="62" t="n"/>
      <c r="AQ59" s="62" t="n"/>
      <c r="AR59" s="62" t="n"/>
      <c r="AS59" s="62" t="n"/>
      <c r="AT59" s="62" t="n"/>
      <c r="AU59" s="62" t="n"/>
      <c r="AV59" s="62" t="n"/>
      <c r="AW59" s="62" t="n"/>
      <c r="AX59" s="62" t="n"/>
      <c r="AY59" s="62" t="n"/>
    </row>
    <row r="60">
      <c r="A60" s="38">
        <f>IF(D60="","",COUNTA($D$40:D60))</f>
        <v/>
      </c>
      <c r="B60" s="52" t="n"/>
      <c r="C60" s="65" t="inlineStr">
        <is>
          <t>마케팅2팀</t>
        </is>
      </c>
      <c r="D60" s="52" t="n"/>
      <c r="E60" s="54" t="n"/>
      <c r="F60" s="52" t="n"/>
      <c r="G60" s="55" t="n"/>
      <c r="H60" s="54" t="n"/>
      <c r="I60" s="54" t="n"/>
      <c r="J60" s="54" t="n"/>
      <c r="K60" s="56">
        <f>IF(SUM(U60:AY60)=0,"",SUM(U60:AY60))</f>
        <v/>
      </c>
      <c r="L60" s="57">
        <f>IFERROR(INDEX(U$2:AY$2,MATCH(TRUE,U60:AY60&lt;&gt;"",0)),"")</f>
        <v/>
      </c>
      <c r="M60" s="58">
        <f>IFERROR(LOOKUP(2,1/(U60:AY60&lt;&gt;""),U$2:AY$2),"")</f>
        <v/>
      </c>
      <c r="N60" s="59">
        <f>IF(OR(G60="",M60=""),"",G60-M60)</f>
        <v/>
      </c>
      <c r="O60" s="60" t="n"/>
      <c r="P60" s="61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  <c r="AG60" s="62" t="n"/>
      <c r="AH60" s="62" t="n"/>
      <c r="AI60" s="62" t="n"/>
      <c r="AJ60" s="62" t="n"/>
      <c r="AK60" s="62" t="n"/>
      <c r="AL60" s="62" t="n"/>
      <c r="AM60" s="62" t="n"/>
      <c r="AN60" s="62" t="n"/>
      <c r="AO60" s="62" t="n"/>
      <c r="AP60" s="62" t="n"/>
      <c r="AQ60" s="62" t="n"/>
      <c r="AR60" s="62" t="n"/>
      <c r="AS60" s="62" t="n"/>
      <c r="AT60" s="62" t="n"/>
      <c r="AU60" s="62" t="n"/>
      <c r="AV60" s="62" t="n"/>
      <c r="AW60" s="62" t="n"/>
      <c r="AX60" s="62" t="n"/>
      <c r="AY60" s="62" t="n"/>
    </row>
    <row r="61">
      <c r="A61" s="38">
        <f>IF(D61="","",COUNTA($D$40:D61))</f>
        <v/>
      </c>
      <c r="B61" s="52" t="n"/>
      <c r="C61" s="65" t="inlineStr">
        <is>
          <t>마케팅2팀</t>
        </is>
      </c>
      <c r="D61" s="52" t="n"/>
      <c r="E61" s="54" t="n"/>
      <c r="F61" s="52" t="n"/>
      <c r="G61" s="55" t="n"/>
      <c r="H61" s="54" t="n"/>
      <c r="I61" s="54" t="n"/>
      <c r="J61" s="54" t="n"/>
      <c r="K61" s="56">
        <f>IF(SUM(U61:AY61)=0,"",SUM(U61:AY61))</f>
        <v/>
      </c>
      <c r="L61" s="57">
        <f>IFERROR(INDEX(U$2:AY$2,MATCH(TRUE,U61:AY61&lt;&gt;"",0)),"")</f>
        <v/>
      </c>
      <c r="M61" s="58">
        <f>IFERROR(LOOKUP(2,1/(U61:AY61&lt;&gt;""),U$2:AY$2),"")</f>
        <v/>
      </c>
      <c r="N61" s="59">
        <f>IF(OR(G61="",M61=""),"",G61-M61)</f>
        <v/>
      </c>
      <c r="O61" s="60" t="n"/>
      <c r="P61" s="61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  <c r="AG61" s="62" t="n"/>
      <c r="AH61" s="62" t="n"/>
      <c r="AI61" s="62" t="n"/>
      <c r="AJ61" s="62" t="n"/>
      <c r="AK61" s="62" t="n"/>
      <c r="AL61" s="62" t="n"/>
      <c r="AM61" s="62" t="n"/>
      <c r="AN61" s="62" t="n"/>
      <c r="AO61" s="62" t="n"/>
      <c r="AP61" s="62" t="n"/>
      <c r="AQ61" s="62" t="n"/>
      <c r="AR61" s="62" t="n"/>
      <c r="AS61" s="62" t="n"/>
      <c r="AT61" s="62" t="n"/>
      <c r="AU61" s="62" t="n"/>
      <c r="AV61" s="62" t="n"/>
      <c r="AW61" s="62" t="n"/>
      <c r="AX61" s="62" t="n"/>
      <c r="AY61" s="62" t="n"/>
    </row>
    <row r="62">
      <c r="A62" s="38">
        <f>IF(D62="","",COUNTA($D$40:D62))</f>
        <v/>
      </c>
      <c r="B62" s="52" t="n"/>
      <c r="C62" s="65" t="inlineStr">
        <is>
          <t>마케팅2팀</t>
        </is>
      </c>
      <c r="D62" s="52" t="n"/>
      <c r="E62" s="54" t="n"/>
      <c r="F62" s="52" t="n"/>
      <c r="G62" s="55" t="n"/>
      <c r="H62" s="54" t="n"/>
      <c r="I62" s="54" t="n"/>
      <c r="J62" s="54" t="n"/>
      <c r="K62" s="56">
        <f>IF(SUM(U62:AY62)=0,"",SUM(U62:AY62))</f>
        <v/>
      </c>
      <c r="L62" s="57">
        <f>IFERROR(INDEX(U$2:AY$2,MATCH(TRUE,U62:AY62&lt;&gt;"",0)),"")</f>
        <v/>
      </c>
      <c r="M62" s="58">
        <f>IFERROR(LOOKUP(2,1/(U62:AY62&lt;&gt;""),U$2:AY$2),"")</f>
        <v/>
      </c>
      <c r="N62" s="59">
        <f>IF(OR(G62="",M62=""),"",G62-M62)</f>
        <v/>
      </c>
      <c r="O62" s="60" t="n"/>
      <c r="P62" s="61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  <c r="AG62" s="62" t="n"/>
      <c r="AH62" s="62" t="n"/>
      <c r="AI62" s="62" t="n"/>
      <c r="AJ62" s="62" t="n"/>
      <c r="AK62" s="62" t="n"/>
      <c r="AL62" s="62" t="n"/>
      <c r="AM62" s="62" t="n"/>
      <c r="AN62" s="62" t="n"/>
      <c r="AO62" s="62" t="n"/>
      <c r="AP62" s="62" t="n"/>
      <c r="AQ62" s="62" t="n"/>
      <c r="AR62" s="62" t="n"/>
      <c r="AS62" s="62" t="n"/>
      <c r="AT62" s="62" t="n"/>
      <c r="AU62" s="62" t="n"/>
      <c r="AV62" s="62" t="n"/>
      <c r="AW62" s="62" t="n"/>
      <c r="AX62" s="62" t="n"/>
      <c r="AY62" s="62" t="n"/>
    </row>
    <row r="63">
      <c r="A63" s="38">
        <f>IF(D63="","",COUNTA($D$40:D63))</f>
        <v/>
      </c>
      <c r="B63" s="52" t="n"/>
      <c r="C63" s="65" t="inlineStr">
        <is>
          <t>마케팅2팀</t>
        </is>
      </c>
      <c r="D63" s="52" t="n"/>
      <c r="E63" s="54" t="n"/>
      <c r="F63" s="52" t="n"/>
      <c r="G63" s="55" t="n"/>
      <c r="H63" s="54" t="n"/>
      <c r="I63" s="54" t="n"/>
      <c r="J63" s="54" t="n"/>
      <c r="K63" s="56">
        <f>IF(SUM(U63:AY63)=0,"",SUM(U63:AY63))</f>
        <v/>
      </c>
      <c r="L63" s="57">
        <f>IFERROR(INDEX(U$2:AY$2,MATCH(TRUE,U63:AY63&lt;&gt;"",0)),"")</f>
        <v/>
      </c>
      <c r="M63" s="58">
        <f>IFERROR(LOOKUP(2,1/(U63:AY63&lt;&gt;""),U$2:AY$2),"")</f>
        <v/>
      </c>
      <c r="N63" s="59">
        <f>IF(OR(G63="",M63=""),"",G63-M63)</f>
        <v/>
      </c>
      <c r="O63" s="60" t="n"/>
      <c r="P63" s="61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  <c r="AG63" s="62" t="n"/>
      <c r="AH63" s="62" t="n"/>
      <c r="AI63" s="62" t="n"/>
      <c r="AJ63" s="62" t="n"/>
      <c r="AK63" s="62" t="n"/>
      <c r="AL63" s="62" t="n"/>
      <c r="AM63" s="62" t="n"/>
      <c r="AN63" s="62" t="n"/>
      <c r="AO63" s="62" t="n"/>
      <c r="AP63" s="62" t="n"/>
      <c r="AQ63" s="62" t="n"/>
      <c r="AR63" s="62" t="n"/>
      <c r="AS63" s="62" t="n"/>
      <c r="AT63" s="62" t="n"/>
      <c r="AU63" s="62" t="n"/>
      <c r="AV63" s="62" t="n"/>
      <c r="AW63" s="62" t="n"/>
      <c r="AX63" s="62" t="n"/>
      <c r="AY63" s="62" t="n"/>
    </row>
    <row r="64">
      <c r="A64" s="38">
        <f>IF(D64="","",COUNTA($D$40:D64))</f>
        <v/>
      </c>
      <c r="B64" s="52" t="n"/>
      <c r="C64" s="65" t="inlineStr">
        <is>
          <t>마케팅2팀</t>
        </is>
      </c>
      <c r="D64" s="52" t="n"/>
      <c r="E64" s="54" t="n"/>
      <c r="F64" s="52" t="n"/>
      <c r="G64" s="55" t="n"/>
      <c r="H64" s="54" t="n"/>
      <c r="I64" s="54" t="n"/>
      <c r="J64" s="54" t="n"/>
      <c r="K64" s="56">
        <f>IF(SUM(U64:AY64)=0,"",SUM(U64:AY64))</f>
        <v/>
      </c>
      <c r="L64" s="57">
        <f>IFERROR(INDEX(U$2:AY$2,MATCH(TRUE,U64:AY64&lt;&gt;"",0)),"")</f>
        <v/>
      </c>
      <c r="M64" s="58">
        <f>IFERROR(LOOKUP(2,1/(U64:AY64&lt;&gt;""),U$2:AY$2),"")</f>
        <v/>
      </c>
      <c r="N64" s="59">
        <f>IF(OR(G64="",M64=""),"",G64-M64)</f>
        <v/>
      </c>
      <c r="O64" s="60" t="n"/>
      <c r="P64" s="61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  <c r="AG64" s="62" t="n"/>
      <c r="AH64" s="62" t="n"/>
      <c r="AI64" s="62" t="n"/>
      <c r="AJ64" s="62" t="n"/>
      <c r="AK64" s="62" t="n"/>
      <c r="AL64" s="62" t="n"/>
      <c r="AM64" s="62" t="n"/>
      <c r="AN64" s="62" t="n"/>
      <c r="AO64" s="62" t="n"/>
      <c r="AP64" s="62" t="n"/>
      <c r="AQ64" s="62" t="n"/>
      <c r="AR64" s="62" t="n"/>
      <c r="AS64" s="62" t="n"/>
      <c r="AT64" s="62" t="n"/>
      <c r="AU64" s="62" t="n"/>
      <c r="AV64" s="62" t="n"/>
      <c r="AW64" s="62" t="n"/>
      <c r="AX64" s="62" t="n"/>
      <c r="AY64" s="62" t="n"/>
    </row>
    <row r="65">
      <c r="A65" s="38">
        <f>IF(D65="","",COUNTA($D$40:D65))</f>
        <v/>
      </c>
      <c r="B65" s="52" t="n"/>
      <c r="C65" s="65" t="inlineStr">
        <is>
          <t>마케팅2팀</t>
        </is>
      </c>
      <c r="D65" s="52" t="n"/>
      <c r="E65" s="54" t="n"/>
      <c r="F65" s="52" t="n"/>
      <c r="G65" s="55" t="n"/>
      <c r="H65" s="54" t="n"/>
      <c r="I65" s="54" t="n"/>
      <c r="J65" s="54" t="n"/>
      <c r="K65" s="56">
        <f>IF(SUM(U65:AY65)=0,"",SUM(U65:AY65))</f>
        <v/>
      </c>
      <c r="L65" s="57">
        <f>IFERROR(INDEX(U$2:AY$2,MATCH(TRUE,U65:AY65&lt;&gt;"",0)),"")</f>
        <v/>
      </c>
      <c r="M65" s="58">
        <f>IFERROR(LOOKUP(2,1/(U65:AY65&lt;&gt;""),U$2:AY$2),"")</f>
        <v/>
      </c>
      <c r="N65" s="59">
        <f>IF(OR(G65="",M65=""),"",G65-M65)</f>
        <v/>
      </c>
      <c r="O65" s="60" t="n"/>
      <c r="P65" s="61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  <c r="AG65" s="62" t="n"/>
      <c r="AH65" s="62" t="n"/>
      <c r="AI65" s="62" t="n"/>
      <c r="AJ65" s="62" t="n"/>
      <c r="AK65" s="62" t="n"/>
      <c r="AL65" s="62" t="n"/>
      <c r="AM65" s="62" t="n"/>
      <c r="AN65" s="62" t="n"/>
      <c r="AO65" s="62" t="n"/>
      <c r="AP65" s="62" t="n"/>
      <c r="AQ65" s="62" t="n"/>
      <c r="AR65" s="62" t="n"/>
      <c r="AS65" s="62" t="n"/>
      <c r="AT65" s="62" t="n"/>
      <c r="AU65" s="62" t="n"/>
      <c r="AV65" s="62" t="n"/>
      <c r="AW65" s="62" t="n"/>
      <c r="AX65" s="62" t="n"/>
      <c r="AY65" s="62" t="n"/>
    </row>
    <row r="66">
      <c r="A66" s="38">
        <f>IF(D66="","",COUNTA($D$40:D66))</f>
        <v/>
      </c>
      <c r="B66" s="52" t="n"/>
      <c r="C66" s="65" t="inlineStr">
        <is>
          <t>마케팅2팀</t>
        </is>
      </c>
      <c r="D66" s="52" t="n"/>
      <c r="E66" s="54" t="n"/>
      <c r="F66" s="52" t="n"/>
      <c r="G66" s="55" t="n"/>
      <c r="H66" s="54" t="n"/>
      <c r="I66" s="54" t="n"/>
      <c r="J66" s="54" t="n"/>
      <c r="K66" s="56">
        <f>IF(SUM(U66:AY66)=0,"",SUM(U66:AY66))</f>
        <v/>
      </c>
      <c r="L66" s="57">
        <f>IFERROR(INDEX(U$2:AY$2,MATCH(TRUE,U66:AY66&lt;&gt;"",0)),"")</f>
        <v/>
      </c>
      <c r="M66" s="58">
        <f>IFERROR(LOOKUP(2,1/(U66:AY66&lt;&gt;""),U$2:AY$2),"")</f>
        <v/>
      </c>
      <c r="N66" s="59">
        <f>IF(OR(G66="",M66=""),"",G66-M66)</f>
        <v/>
      </c>
      <c r="O66" s="60" t="n"/>
      <c r="P66" s="61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  <c r="AG66" s="62" t="n"/>
      <c r="AH66" s="62" t="n"/>
      <c r="AI66" s="62" t="n"/>
      <c r="AJ66" s="62" t="n"/>
      <c r="AK66" s="62" t="n"/>
      <c r="AL66" s="62" t="n"/>
      <c r="AM66" s="62" t="n"/>
      <c r="AN66" s="62" t="n"/>
      <c r="AO66" s="62" t="n"/>
      <c r="AP66" s="62" t="n"/>
      <c r="AQ66" s="62" t="n"/>
      <c r="AR66" s="62" t="n"/>
      <c r="AS66" s="62" t="n"/>
      <c r="AT66" s="62" t="n"/>
      <c r="AU66" s="62" t="n"/>
      <c r="AV66" s="62" t="n"/>
      <c r="AW66" s="62" t="n"/>
      <c r="AX66" s="62" t="n"/>
      <c r="AY66" s="62" t="n"/>
    </row>
    <row r="67">
      <c r="A67" s="38">
        <f>IF(D67="","",COUNTA($D$40:D67))</f>
        <v/>
      </c>
      <c r="B67" s="52" t="n"/>
      <c r="C67" s="65" t="inlineStr">
        <is>
          <t>마케팅2팀</t>
        </is>
      </c>
      <c r="D67" s="52" t="n"/>
      <c r="E67" s="54" t="n"/>
      <c r="F67" s="52" t="n"/>
      <c r="G67" s="55" t="n"/>
      <c r="H67" s="54" t="n"/>
      <c r="I67" s="54" t="n"/>
      <c r="J67" s="54" t="n"/>
      <c r="K67" s="56">
        <f>IF(SUM(U67:AY67)=0,"",SUM(U67:AY67))</f>
        <v/>
      </c>
      <c r="L67" s="57">
        <f>IFERROR(INDEX(U$2:AY$2,MATCH(TRUE,U67:AY67&lt;&gt;"",0)),"")</f>
        <v/>
      </c>
      <c r="M67" s="58">
        <f>IFERROR(LOOKUP(2,1/(U67:AY67&lt;&gt;""),U$2:AY$2),"")</f>
        <v/>
      </c>
      <c r="N67" s="59">
        <f>IF(OR(G67="",M67=""),"",G67-M67)</f>
        <v/>
      </c>
      <c r="O67" s="60" t="n"/>
      <c r="P67" s="61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  <c r="AG67" s="62" t="n"/>
      <c r="AH67" s="62" t="n"/>
      <c r="AI67" s="62" t="n"/>
      <c r="AJ67" s="62" t="n"/>
      <c r="AK67" s="62" t="n"/>
      <c r="AL67" s="62" t="n"/>
      <c r="AM67" s="62" t="n"/>
      <c r="AN67" s="62" t="n"/>
      <c r="AO67" s="62" t="n"/>
      <c r="AP67" s="62" t="n"/>
      <c r="AQ67" s="62" t="n"/>
      <c r="AR67" s="62" t="n"/>
      <c r="AS67" s="62" t="n"/>
      <c r="AT67" s="62" t="n"/>
      <c r="AU67" s="62" t="n"/>
      <c r="AV67" s="62" t="n"/>
      <c r="AW67" s="62" t="n"/>
      <c r="AX67" s="62" t="n"/>
      <c r="AY67" s="62" t="n"/>
    </row>
    <row r="68">
      <c r="A68" s="38">
        <f>IF(D68="","",COUNTA($D$40:D68))</f>
        <v/>
      </c>
      <c r="B68" s="52" t="n"/>
      <c r="C68" s="65" t="inlineStr">
        <is>
          <t>마케팅2팀</t>
        </is>
      </c>
      <c r="D68" s="52" t="n"/>
      <c r="E68" s="54" t="n"/>
      <c r="F68" s="52" t="n"/>
      <c r="G68" s="55" t="n"/>
      <c r="H68" s="54" t="n"/>
      <c r="I68" s="54" t="n"/>
      <c r="J68" s="54" t="n"/>
      <c r="K68" s="56">
        <f>IF(SUM(U68:AY68)=0,"",SUM(U68:AY68))</f>
        <v/>
      </c>
      <c r="L68" s="57">
        <f>IFERROR(INDEX(U$2:AY$2,MATCH(TRUE,U68:AY68&lt;&gt;"",0)),"")</f>
        <v/>
      </c>
      <c r="M68" s="58">
        <f>IFERROR(LOOKUP(2,1/(U68:AY68&lt;&gt;""),U$2:AY$2),"")</f>
        <v/>
      </c>
      <c r="N68" s="59">
        <f>IF(OR(G68="",M68=""),"",G68-M68)</f>
        <v/>
      </c>
      <c r="O68" s="60" t="n"/>
      <c r="P68" s="61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  <c r="AG68" s="62" t="n"/>
      <c r="AH68" s="62" t="n"/>
      <c r="AI68" s="62" t="n"/>
      <c r="AJ68" s="62" t="n"/>
      <c r="AK68" s="62" t="n"/>
      <c r="AL68" s="62" t="n"/>
      <c r="AM68" s="62" t="n"/>
      <c r="AN68" s="62" t="n"/>
      <c r="AO68" s="62" t="n"/>
      <c r="AP68" s="62" t="n"/>
      <c r="AQ68" s="62" t="n"/>
      <c r="AR68" s="62" t="n"/>
      <c r="AS68" s="62" t="n"/>
      <c r="AT68" s="62" t="n"/>
      <c r="AU68" s="62" t="n"/>
      <c r="AV68" s="62" t="n"/>
      <c r="AW68" s="62" t="n"/>
      <c r="AX68" s="62" t="n"/>
      <c r="AY68" s="62" t="n"/>
    </row>
    <row r="69">
      <c r="A69" s="38">
        <f>IF(D69="","",COUNTA($D$40:D69))</f>
        <v/>
      </c>
      <c r="B69" s="52" t="n"/>
      <c r="C69" s="65" t="inlineStr">
        <is>
          <t>마케팅2팀</t>
        </is>
      </c>
      <c r="D69" s="52" t="n"/>
      <c r="E69" s="54" t="n"/>
      <c r="F69" s="52" t="n"/>
      <c r="G69" s="55" t="n"/>
      <c r="H69" s="54" t="n"/>
      <c r="I69" s="54" t="n"/>
      <c r="J69" s="54" t="n"/>
      <c r="K69" s="56">
        <f>IF(SUM(U69:AY69)=0,"",SUM(U69:AY69))</f>
        <v/>
      </c>
      <c r="L69" s="57">
        <f>IFERROR(INDEX(U$2:AY$2,MATCH(TRUE,U69:AY69&lt;&gt;"",0)),"")</f>
        <v/>
      </c>
      <c r="M69" s="58">
        <f>IFERROR(LOOKUP(2,1/(U69:AY69&lt;&gt;""),U$2:AY$2),"")</f>
        <v/>
      </c>
      <c r="N69" s="59">
        <f>IF(OR(G69="",M69=""),"",G69-M69)</f>
        <v/>
      </c>
      <c r="O69" s="60" t="n"/>
      <c r="P69" s="61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  <c r="AG69" s="62" t="n"/>
      <c r="AH69" s="62" t="n"/>
      <c r="AI69" s="62" t="n"/>
      <c r="AJ69" s="62" t="n"/>
      <c r="AK69" s="62" t="n"/>
      <c r="AL69" s="62" t="n"/>
      <c r="AM69" s="62" t="n"/>
      <c r="AN69" s="62" t="n"/>
      <c r="AO69" s="62" t="n"/>
      <c r="AP69" s="62" t="n"/>
      <c r="AQ69" s="62" t="n"/>
      <c r="AR69" s="62" t="n"/>
      <c r="AS69" s="62" t="n"/>
      <c r="AT69" s="62" t="n"/>
      <c r="AU69" s="62" t="n"/>
      <c r="AV69" s="62" t="n"/>
      <c r="AW69" s="62" t="n"/>
      <c r="AX69" s="62" t="n"/>
      <c r="AY69" s="62" t="n"/>
    </row>
    <row r="70">
      <c r="A70" s="66" t="inlineStr">
        <is>
          <t>마케팅3팀  (71~100행)</t>
        </is>
      </c>
      <c r="U70" s="67" t="n"/>
      <c r="V70" s="67" t="n"/>
      <c r="W70" s="67" t="n"/>
      <c r="X70" s="67" t="n"/>
      <c r="Y70" s="67" t="n"/>
      <c r="Z70" s="67" t="n"/>
      <c r="AA70" s="67" t="n"/>
      <c r="AB70" s="67" t="n"/>
      <c r="AC70" s="67" t="n"/>
      <c r="AD70" s="67" t="n"/>
      <c r="AE70" s="67" t="n"/>
      <c r="AF70" s="67" t="n"/>
      <c r="AG70" s="67" t="n"/>
      <c r="AH70" s="67" t="n"/>
      <c r="AI70" s="67" t="n"/>
      <c r="AJ70" s="67" t="n"/>
      <c r="AK70" s="67" t="n"/>
      <c r="AL70" s="67" t="n"/>
      <c r="AM70" s="67" t="n"/>
      <c r="AN70" s="67" t="n"/>
      <c r="AO70" s="67" t="n"/>
      <c r="AP70" s="67" t="n"/>
      <c r="AQ70" s="67" t="n"/>
      <c r="AR70" s="67" t="n"/>
      <c r="AS70" s="67" t="n"/>
      <c r="AT70" s="67" t="n"/>
      <c r="AU70" s="67" t="n"/>
      <c r="AV70" s="67" t="n"/>
      <c r="AW70" s="67" t="n"/>
      <c r="AX70" s="67" t="n"/>
      <c r="AY70" s="67" t="n"/>
    </row>
    <row r="71">
      <c r="A71" s="38">
        <f>IF(D71="","",COUNTA($D$71:D71))</f>
        <v/>
      </c>
      <c r="B71" s="52" t="n"/>
      <c r="C71" s="68" t="inlineStr">
        <is>
          <t>마케팅3팀</t>
        </is>
      </c>
      <c r="D71" s="52" t="n"/>
      <c r="E71" s="54" t="n"/>
      <c r="F71" s="52" t="n"/>
      <c r="G71" s="55" t="n"/>
      <c r="H71" s="54" t="n"/>
      <c r="I71" s="54" t="n"/>
      <c r="J71" s="54" t="n"/>
      <c r="K71" s="56">
        <f>IF(SUM(U71:AY71)=0,"",SUM(U71:AY71))</f>
        <v/>
      </c>
      <c r="L71" s="57">
        <f>IFERROR(INDEX(U$2:AY$2,MATCH(TRUE,U71:AY71&lt;&gt;"",0)),"")</f>
        <v/>
      </c>
      <c r="M71" s="58">
        <f>IFERROR(LOOKUP(2,1/(U71:AY71&lt;&gt;""),U$2:AY$2),"")</f>
        <v/>
      </c>
      <c r="N71" s="59">
        <f>IF(OR(G71="",M71=""),"",G71-M71)</f>
        <v/>
      </c>
      <c r="O71" s="60" t="n"/>
      <c r="P71" s="61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  <c r="AG71" s="62" t="n"/>
      <c r="AH71" s="62" t="n"/>
      <c r="AI71" s="62" t="n"/>
      <c r="AJ71" s="62" t="n"/>
      <c r="AK71" s="62" t="n"/>
      <c r="AL71" s="62" t="n"/>
      <c r="AM71" s="62" t="n"/>
      <c r="AN71" s="62" t="n"/>
      <c r="AO71" s="62" t="n"/>
      <c r="AP71" s="62" t="n"/>
      <c r="AQ71" s="62" t="n"/>
      <c r="AR71" s="62" t="n"/>
      <c r="AS71" s="62" t="n"/>
      <c r="AT71" s="62" t="n"/>
      <c r="AU71" s="62" t="n"/>
      <c r="AV71" s="62" t="n"/>
      <c r="AW71" s="62" t="n"/>
      <c r="AX71" s="62" t="n"/>
      <c r="AY71" s="62" t="n"/>
    </row>
    <row r="72">
      <c r="A72" s="38">
        <f>IF(D72="","",COUNTA($D$71:D72))</f>
        <v/>
      </c>
      <c r="B72" s="52" t="n"/>
      <c r="C72" s="68" t="inlineStr">
        <is>
          <t>마케팅3팀</t>
        </is>
      </c>
      <c r="D72" s="52" t="n"/>
      <c r="E72" s="54" t="n"/>
      <c r="F72" s="52" t="n"/>
      <c r="G72" s="55" t="n"/>
      <c r="H72" s="54" t="n"/>
      <c r="I72" s="54" t="n"/>
      <c r="J72" s="54" t="n"/>
      <c r="K72" s="56">
        <f>IF(SUM(U72:AY72)=0,"",SUM(U72:AY72))</f>
        <v/>
      </c>
      <c r="L72" s="57">
        <f>IFERROR(INDEX(U$2:AY$2,MATCH(TRUE,U72:AY72&lt;&gt;"",0)),"")</f>
        <v/>
      </c>
      <c r="M72" s="58">
        <f>IFERROR(LOOKUP(2,1/(U72:AY72&lt;&gt;""),U$2:AY$2),"")</f>
        <v/>
      </c>
      <c r="N72" s="59">
        <f>IF(OR(G72="",M72=""),"",G72-M72)</f>
        <v/>
      </c>
      <c r="O72" s="60" t="n"/>
      <c r="P72" s="61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  <c r="AG72" s="62" t="n"/>
      <c r="AH72" s="62" t="n"/>
      <c r="AI72" s="62" t="n"/>
      <c r="AJ72" s="62" t="n"/>
      <c r="AK72" s="62" t="n"/>
      <c r="AL72" s="62" t="n"/>
      <c r="AM72" s="62" t="n"/>
      <c r="AN72" s="62" t="n"/>
      <c r="AO72" s="62" t="n"/>
      <c r="AP72" s="62" t="n"/>
      <c r="AQ72" s="62" t="n"/>
      <c r="AR72" s="62" t="n"/>
      <c r="AS72" s="62" t="n"/>
      <c r="AT72" s="62" t="n"/>
      <c r="AU72" s="62" t="n"/>
      <c r="AV72" s="62" t="n"/>
      <c r="AW72" s="62" t="n"/>
      <c r="AX72" s="62" t="n"/>
      <c r="AY72" s="62" t="n"/>
    </row>
    <row r="73">
      <c r="A73" s="38">
        <f>IF(D73="","",COUNTA($D$71:D73))</f>
        <v/>
      </c>
      <c r="B73" s="52" t="n"/>
      <c r="C73" s="68" t="inlineStr">
        <is>
          <t>마케팅3팀</t>
        </is>
      </c>
      <c r="D73" s="52" t="n"/>
      <c r="E73" s="54" t="n"/>
      <c r="F73" s="52" t="n"/>
      <c r="G73" s="55" t="n"/>
      <c r="H73" s="54" t="n"/>
      <c r="I73" s="54" t="n"/>
      <c r="J73" s="54" t="n"/>
      <c r="K73" s="56">
        <f>IF(SUM(U73:AY73)=0,"",SUM(U73:AY73))</f>
        <v/>
      </c>
      <c r="L73" s="57">
        <f>IFERROR(INDEX(U$2:AY$2,MATCH(TRUE,U73:AY73&lt;&gt;"",0)),"")</f>
        <v/>
      </c>
      <c r="M73" s="58">
        <f>IFERROR(LOOKUP(2,1/(U73:AY73&lt;&gt;""),U$2:AY$2),"")</f>
        <v/>
      </c>
      <c r="N73" s="59">
        <f>IF(OR(G73="",M73=""),"",G73-M73)</f>
        <v/>
      </c>
      <c r="O73" s="60" t="n"/>
      <c r="P73" s="61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  <c r="AG73" s="62" t="n"/>
      <c r="AH73" s="62" t="n"/>
      <c r="AI73" s="62" t="n"/>
      <c r="AJ73" s="62" t="n"/>
      <c r="AK73" s="62" t="n"/>
      <c r="AL73" s="62" t="n"/>
      <c r="AM73" s="62" t="n"/>
      <c r="AN73" s="62" t="n"/>
      <c r="AO73" s="62" t="n"/>
      <c r="AP73" s="62" t="n"/>
      <c r="AQ73" s="62" t="n"/>
      <c r="AR73" s="62" t="n"/>
      <c r="AS73" s="62" t="n"/>
      <c r="AT73" s="62" t="n"/>
      <c r="AU73" s="62" t="n"/>
      <c r="AV73" s="62" t="n"/>
      <c r="AW73" s="62" t="n"/>
      <c r="AX73" s="62" t="n"/>
      <c r="AY73" s="62" t="n"/>
    </row>
    <row r="74">
      <c r="A74" s="38">
        <f>IF(D74="","",COUNTA($D$71:D74))</f>
        <v/>
      </c>
      <c r="B74" s="52" t="n"/>
      <c r="C74" s="68" t="inlineStr">
        <is>
          <t>마케팅3팀</t>
        </is>
      </c>
      <c r="D74" s="52" t="n"/>
      <c r="E74" s="54" t="n"/>
      <c r="F74" s="52" t="n"/>
      <c r="G74" s="55" t="n"/>
      <c r="H74" s="54" t="n"/>
      <c r="I74" s="54" t="n"/>
      <c r="J74" s="54" t="n"/>
      <c r="K74" s="56">
        <f>IF(SUM(U74:AY74)=0,"",SUM(U74:AY74))</f>
        <v/>
      </c>
      <c r="L74" s="57">
        <f>IFERROR(INDEX(U$2:AY$2,MATCH(TRUE,U74:AY74&lt;&gt;"",0)),"")</f>
        <v/>
      </c>
      <c r="M74" s="58">
        <f>IFERROR(LOOKUP(2,1/(U74:AY74&lt;&gt;""),U$2:AY$2),"")</f>
        <v/>
      </c>
      <c r="N74" s="59">
        <f>IF(OR(G74="",M74=""),"",G74-M74)</f>
        <v/>
      </c>
      <c r="O74" s="60" t="n"/>
      <c r="P74" s="61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  <c r="AG74" s="62" t="n"/>
      <c r="AH74" s="62" t="n"/>
      <c r="AI74" s="62" t="n"/>
      <c r="AJ74" s="62" t="n"/>
      <c r="AK74" s="62" t="n"/>
      <c r="AL74" s="62" t="n"/>
      <c r="AM74" s="62" t="n"/>
      <c r="AN74" s="62" t="n"/>
      <c r="AO74" s="62" t="n"/>
      <c r="AP74" s="62" t="n"/>
      <c r="AQ74" s="62" t="n"/>
      <c r="AR74" s="62" t="n"/>
      <c r="AS74" s="62" t="n"/>
      <c r="AT74" s="62" t="n"/>
      <c r="AU74" s="62" t="n"/>
      <c r="AV74" s="62" t="n"/>
      <c r="AW74" s="62" t="n"/>
      <c r="AX74" s="62" t="n"/>
      <c r="AY74" s="62" t="n"/>
    </row>
    <row r="75">
      <c r="A75" s="38">
        <f>IF(D75="","",COUNTA($D$71:D75))</f>
        <v/>
      </c>
      <c r="B75" s="52" t="n"/>
      <c r="C75" s="68" t="inlineStr">
        <is>
          <t>마케팅3팀</t>
        </is>
      </c>
      <c r="D75" s="52" t="n"/>
      <c r="E75" s="54" t="n"/>
      <c r="F75" s="52" t="n"/>
      <c r="G75" s="55" t="n"/>
      <c r="H75" s="54" t="n"/>
      <c r="I75" s="54" t="n"/>
      <c r="J75" s="54" t="n"/>
      <c r="K75" s="56">
        <f>IF(SUM(U75:AY75)=0,"",SUM(U75:AY75))</f>
        <v/>
      </c>
      <c r="L75" s="57">
        <f>IFERROR(INDEX(U$2:AY$2,MATCH(TRUE,U75:AY75&lt;&gt;"",0)),"")</f>
        <v/>
      </c>
      <c r="M75" s="58">
        <f>IFERROR(LOOKUP(2,1/(U75:AY75&lt;&gt;""),U$2:AY$2),"")</f>
        <v/>
      </c>
      <c r="N75" s="59">
        <f>IF(OR(G75="",M75=""),"",G75-M75)</f>
        <v/>
      </c>
      <c r="O75" s="60" t="n"/>
      <c r="P75" s="61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  <c r="AG75" s="62" t="n"/>
      <c r="AH75" s="62" t="n"/>
      <c r="AI75" s="62" t="n"/>
      <c r="AJ75" s="62" t="n"/>
      <c r="AK75" s="62" t="n"/>
      <c r="AL75" s="62" t="n"/>
      <c r="AM75" s="62" t="n"/>
      <c r="AN75" s="62" t="n"/>
      <c r="AO75" s="62" t="n"/>
      <c r="AP75" s="62" t="n"/>
      <c r="AQ75" s="62" t="n"/>
      <c r="AR75" s="62" t="n"/>
      <c r="AS75" s="62" t="n"/>
      <c r="AT75" s="62" t="n"/>
      <c r="AU75" s="62" t="n"/>
      <c r="AV75" s="62" t="n"/>
      <c r="AW75" s="62" t="n"/>
      <c r="AX75" s="62" t="n"/>
      <c r="AY75" s="62" t="n"/>
    </row>
    <row r="76">
      <c r="A76" s="38">
        <f>IF(D76="","",COUNTA($D$71:D76))</f>
        <v/>
      </c>
      <c r="B76" s="52" t="n"/>
      <c r="C76" s="68" t="inlineStr">
        <is>
          <t>마케팅3팀</t>
        </is>
      </c>
      <c r="D76" s="52" t="n"/>
      <c r="E76" s="54" t="n"/>
      <c r="F76" s="52" t="n"/>
      <c r="G76" s="55" t="n"/>
      <c r="H76" s="54" t="n"/>
      <c r="I76" s="54" t="n"/>
      <c r="J76" s="54" t="n"/>
      <c r="K76" s="56">
        <f>IF(SUM(U76:AY76)=0,"",SUM(U76:AY76))</f>
        <v/>
      </c>
      <c r="L76" s="57">
        <f>IFERROR(INDEX(U$2:AY$2,MATCH(TRUE,U76:AY76&lt;&gt;"",0)),"")</f>
        <v/>
      </c>
      <c r="M76" s="58">
        <f>IFERROR(LOOKUP(2,1/(U76:AY76&lt;&gt;""),U$2:AY$2),"")</f>
        <v/>
      </c>
      <c r="N76" s="59">
        <f>IF(OR(G76="",M76=""),"",G76-M76)</f>
        <v/>
      </c>
      <c r="O76" s="60" t="n"/>
      <c r="P76" s="61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  <c r="AG76" s="62" t="n"/>
      <c r="AH76" s="62" t="n"/>
      <c r="AI76" s="62" t="n"/>
      <c r="AJ76" s="62" t="n"/>
      <c r="AK76" s="62" t="n"/>
      <c r="AL76" s="62" t="n"/>
      <c r="AM76" s="62" t="n"/>
      <c r="AN76" s="62" t="n"/>
      <c r="AO76" s="62" t="n"/>
      <c r="AP76" s="62" t="n"/>
      <c r="AQ76" s="62" t="n"/>
      <c r="AR76" s="62" t="n"/>
      <c r="AS76" s="62" t="n"/>
      <c r="AT76" s="62" t="n"/>
      <c r="AU76" s="62" t="n"/>
      <c r="AV76" s="62" t="n"/>
      <c r="AW76" s="62" t="n"/>
      <c r="AX76" s="62" t="n"/>
      <c r="AY76" s="62" t="n"/>
    </row>
    <row r="77">
      <c r="A77" s="38">
        <f>IF(D77="","",COUNTA($D$71:D77))</f>
        <v/>
      </c>
      <c r="B77" s="52" t="n"/>
      <c r="C77" s="68" t="inlineStr">
        <is>
          <t>마케팅3팀</t>
        </is>
      </c>
      <c r="D77" s="52" t="n"/>
      <c r="E77" s="54" t="n"/>
      <c r="F77" s="52" t="n"/>
      <c r="G77" s="55" t="n"/>
      <c r="H77" s="54" t="n"/>
      <c r="I77" s="54" t="n"/>
      <c r="J77" s="54" t="n"/>
      <c r="K77" s="56">
        <f>IF(SUM(U77:AY77)=0,"",SUM(U77:AY77))</f>
        <v/>
      </c>
      <c r="L77" s="57">
        <f>IFERROR(INDEX(U$2:AY$2,MATCH(TRUE,U77:AY77&lt;&gt;"",0)),"")</f>
        <v/>
      </c>
      <c r="M77" s="58">
        <f>IFERROR(LOOKUP(2,1/(U77:AY77&lt;&gt;""),U$2:AY$2),"")</f>
        <v/>
      </c>
      <c r="N77" s="59">
        <f>IF(OR(G77="",M77=""),"",G77-M77)</f>
        <v/>
      </c>
      <c r="O77" s="60" t="n"/>
      <c r="P77" s="61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  <c r="AG77" s="62" t="n"/>
      <c r="AH77" s="62" t="n"/>
      <c r="AI77" s="62" t="n"/>
      <c r="AJ77" s="62" t="n"/>
      <c r="AK77" s="62" t="n"/>
      <c r="AL77" s="62" t="n"/>
      <c r="AM77" s="62" t="n"/>
      <c r="AN77" s="62" t="n"/>
      <c r="AO77" s="62" t="n"/>
      <c r="AP77" s="62" t="n"/>
      <c r="AQ77" s="62" t="n"/>
      <c r="AR77" s="62" t="n"/>
      <c r="AS77" s="62" t="n"/>
      <c r="AT77" s="62" t="n"/>
      <c r="AU77" s="62" t="n"/>
      <c r="AV77" s="62" t="n"/>
      <c r="AW77" s="62" t="n"/>
      <c r="AX77" s="62" t="n"/>
      <c r="AY77" s="62" t="n"/>
    </row>
    <row r="78">
      <c r="A78" s="38">
        <f>IF(D78="","",COUNTA($D$71:D78))</f>
        <v/>
      </c>
      <c r="B78" s="52" t="n"/>
      <c r="C78" s="68" t="inlineStr">
        <is>
          <t>마케팅3팀</t>
        </is>
      </c>
      <c r="D78" s="52" t="n"/>
      <c r="E78" s="54" t="n"/>
      <c r="F78" s="52" t="n"/>
      <c r="G78" s="55" t="n"/>
      <c r="H78" s="54" t="n"/>
      <c r="I78" s="54" t="n"/>
      <c r="J78" s="54" t="n"/>
      <c r="K78" s="56">
        <f>IF(SUM(U78:AY78)=0,"",SUM(U78:AY78))</f>
        <v/>
      </c>
      <c r="L78" s="57">
        <f>IFERROR(INDEX(U$2:AY$2,MATCH(TRUE,U78:AY78&lt;&gt;"",0)),"")</f>
        <v/>
      </c>
      <c r="M78" s="58">
        <f>IFERROR(LOOKUP(2,1/(U78:AY78&lt;&gt;""),U$2:AY$2),"")</f>
        <v/>
      </c>
      <c r="N78" s="59">
        <f>IF(OR(G78="",M78=""),"",G78-M78)</f>
        <v/>
      </c>
      <c r="O78" s="60" t="n"/>
      <c r="P78" s="61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  <c r="AG78" s="62" t="n"/>
      <c r="AH78" s="62" t="n"/>
      <c r="AI78" s="62" t="n"/>
      <c r="AJ78" s="62" t="n"/>
      <c r="AK78" s="62" t="n"/>
      <c r="AL78" s="62" t="n"/>
      <c r="AM78" s="62" t="n"/>
      <c r="AN78" s="62" t="n"/>
      <c r="AO78" s="62" t="n"/>
      <c r="AP78" s="62" t="n"/>
      <c r="AQ78" s="62" t="n"/>
      <c r="AR78" s="62" t="n"/>
      <c r="AS78" s="62" t="n"/>
      <c r="AT78" s="62" t="n"/>
      <c r="AU78" s="62" t="n"/>
      <c r="AV78" s="62" t="n"/>
      <c r="AW78" s="62" t="n"/>
      <c r="AX78" s="62" t="n"/>
      <c r="AY78" s="62" t="n"/>
    </row>
    <row r="79">
      <c r="A79" s="38">
        <f>IF(D79="","",COUNTA($D$71:D79))</f>
        <v/>
      </c>
      <c r="B79" s="52" t="n"/>
      <c r="C79" s="68" t="inlineStr">
        <is>
          <t>마케팅3팀</t>
        </is>
      </c>
      <c r="D79" s="52" t="n"/>
      <c r="E79" s="54" t="n"/>
      <c r="F79" s="52" t="n"/>
      <c r="G79" s="55" t="n"/>
      <c r="H79" s="54" t="n"/>
      <c r="I79" s="54" t="n"/>
      <c r="J79" s="54" t="n"/>
      <c r="K79" s="56">
        <f>IF(SUM(U79:AY79)=0,"",SUM(U79:AY79))</f>
        <v/>
      </c>
      <c r="L79" s="57">
        <f>IFERROR(INDEX(U$2:AY$2,MATCH(TRUE,U79:AY79&lt;&gt;"",0)),"")</f>
        <v/>
      </c>
      <c r="M79" s="58">
        <f>IFERROR(LOOKUP(2,1/(U79:AY79&lt;&gt;""),U$2:AY$2),"")</f>
        <v/>
      </c>
      <c r="N79" s="59">
        <f>IF(OR(G79="",M79=""),"",G79-M79)</f>
        <v/>
      </c>
      <c r="O79" s="60" t="n"/>
      <c r="P79" s="61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  <c r="AG79" s="62" t="n"/>
      <c r="AH79" s="62" t="n"/>
      <c r="AI79" s="62" t="n"/>
      <c r="AJ79" s="62" t="n"/>
      <c r="AK79" s="62" t="n"/>
      <c r="AL79" s="62" t="n"/>
      <c r="AM79" s="62" t="n"/>
      <c r="AN79" s="62" t="n"/>
      <c r="AO79" s="62" t="n"/>
      <c r="AP79" s="62" t="n"/>
      <c r="AQ79" s="62" t="n"/>
      <c r="AR79" s="62" t="n"/>
      <c r="AS79" s="62" t="n"/>
      <c r="AT79" s="62" t="n"/>
      <c r="AU79" s="62" t="n"/>
      <c r="AV79" s="62" t="n"/>
      <c r="AW79" s="62" t="n"/>
      <c r="AX79" s="62" t="n"/>
      <c r="AY79" s="62" t="n"/>
    </row>
    <row r="80">
      <c r="A80" s="38">
        <f>IF(D80="","",COUNTA($D$71:D80))</f>
        <v/>
      </c>
      <c r="B80" s="52" t="n"/>
      <c r="C80" s="68" t="inlineStr">
        <is>
          <t>마케팅3팀</t>
        </is>
      </c>
      <c r="D80" s="52" t="n"/>
      <c r="E80" s="54" t="n"/>
      <c r="F80" s="52" t="n"/>
      <c r="G80" s="55" t="n"/>
      <c r="H80" s="54" t="n"/>
      <c r="I80" s="54" t="n"/>
      <c r="J80" s="54" t="n"/>
      <c r="K80" s="56">
        <f>IF(SUM(U80:AY80)=0,"",SUM(U80:AY80))</f>
        <v/>
      </c>
      <c r="L80" s="57">
        <f>IFERROR(INDEX(U$2:AY$2,MATCH(TRUE,U80:AY80&lt;&gt;"",0)),"")</f>
        <v/>
      </c>
      <c r="M80" s="58">
        <f>IFERROR(LOOKUP(2,1/(U80:AY80&lt;&gt;""),U$2:AY$2),"")</f>
        <v/>
      </c>
      <c r="N80" s="59">
        <f>IF(OR(G80="",M80=""),"",G80-M80)</f>
        <v/>
      </c>
      <c r="O80" s="60" t="n"/>
      <c r="P80" s="61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  <c r="AG80" s="62" t="n"/>
      <c r="AH80" s="62" t="n"/>
      <c r="AI80" s="62" t="n"/>
      <c r="AJ80" s="62" t="n"/>
      <c r="AK80" s="62" t="n"/>
      <c r="AL80" s="62" t="n"/>
      <c r="AM80" s="62" t="n"/>
      <c r="AN80" s="62" t="n"/>
      <c r="AO80" s="62" t="n"/>
      <c r="AP80" s="62" t="n"/>
      <c r="AQ80" s="62" t="n"/>
      <c r="AR80" s="62" t="n"/>
      <c r="AS80" s="62" t="n"/>
      <c r="AT80" s="62" t="n"/>
      <c r="AU80" s="62" t="n"/>
      <c r="AV80" s="62" t="n"/>
      <c r="AW80" s="62" t="n"/>
      <c r="AX80" s="62" t="n"/>
      <c r="AY80" s="62" t="n"/>
    </row>
    <row r="81">
      <c r="A81" s="38">
        <f>IF(D81="","",COUNTA($D$71:D81))</f>
        <v/>
      </c>
      <c r="B81" s="52" t="n"/>
      <c r="C81" s="68" t="inlineStr">
        <is>
          <t>마케팅3팀</t>
        </is>
      </c>
      <c r="D81" s="52" t="n"/>
      <c r="E81" s="54" t="n"/>
      <c r="F81" s="52" t="n"/>
      <c r="G81" s="55" t="n"/>
      <c r="H81" s="54" t="n"/>
      <c r="I81" s="54" t="n"/>
      <c r="J81" s="54" t="n"/>
      <c r="K81" s="56">
        <f>IF(SUM(U81:AY81)=0,"",SUM(U81:AY81))</f>
        <v/>
      </c>
      <c r="L81" s="57">
        <f>IFERROR(INDEX(U$2:AY$2,MATCH(TRUE,U81:AY81&lt;&gt;"",0)),"")</f>
        <v/>
      </c>
      <c r="M81" s="58">
        <f>IFERROR(LOOKUP(2,1/(U81:AY81&lt;&gt;""),U$2:AY$2),"")</f>
        <v/>
      </c>
      <c r="N81" s="59">
        <f>IF(OR(G81="",M81=""),"",G81-M81)</f>
        <v/>
      </c>
      <c r="O81" s="60" t="n"/>
      <c r="P81" s="61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  <c r="AG81" s="62" t="n"/>
      <c r="AH81" s="62" t="n"/>
      <c r="AI81" s="62" t="n"/>
      <c r="AJ81" s="62" t="n"/>
      <c r="AK81" s="62" t="n"/>
      <c r="AL81" s="62" t="n"/>
      <c r="AM81" s="62" t="n"/>
      <c r="AN81" s="62" t="n"/>
      <c r="AO81" s="62" t="n"/>
      <c r="AP81" s="62" t="n"/>
      <c r="AQ81" s="62" t="n"/>
      <c r="AR81" s="62" t="n"/>
      <c r="AS81" s="62" t="n"/>
      <c r="AT81" s="62" t="n"/>
      <c r="AU81" s="62" t="n"/>
      <c r="AV81" s="62" t="n"/>
      <c r="AW81" s="62" t="n"/>
      <c r="AX81" s="62" t="n"/>
      <c r="AY81" s="62" t="n"/>
    </row>
    <row r="82">
      <c r="A82" s="38">
        <f>IF(D82="","",COUNTA($D$71:D82))</f>
        <v/>
      </c>
      <c r="B82" s="52" t="n"/>
      <c r="C82" s="68" t="inlineStr">
        <is>
          <t>마케팅3팀</t>
        </is>
      </c>
      <c r="D82" s="52" t="n"/>
      <c r="E82" s="54" t="n"/>
      <c r="F82" s="52" t="n"/>
      <c r="G82" s="55" t="n"/>
      <c r="H82" s="54" t="n"/>
      <c r="I82" s="54" t="n"/>
      <c r="J82" s="54" t="n"/>
      <c r="K82" s="56">
        <f>IF(SUM(U82:AY82)=0,"",SUM(U82:AY82))</f>
        <v/>
      </c>
      <c r="L82" s="57">
        <f>IFERROR(INDEX(U$2:AY$2,MATCH(TRUE,U82:AY82&lt;&gt;"",0)),"")</f>
        <v/>
      </c>
      <c r="M82" s="58">
        <f>IFERROR(LOOKUP(2,1/(U82:AY82&lt;&gt;""),U$2:AY$2),"")</f>
        <v/>
      </c>
      <c r="N82" s="59">
        <f>IF(OR(G82="",M82=""),"",G82-M82)</f>
        <v/>
      </c>
      <c r="O82" s="60" t="n"/>
      <c r="P82" s="61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  <c r="AG82" s="62" t="n"/>
      <c r="AH82" s="62" t="n"/>
      <c r="AI82" s="62" t="n"/>
      <c r="AJ82" s="62" t="n"/>
      <c r="AK82" s="62" t="n"/>
      <c r="AL82" s="62" t="n"/>
      <c r="AM82" s="62" t="n"/>
      <c r="AN82" s="62" t="n"/>
      <c r="AO82" s="62" t="n"/>
      <c r="AP82" s="62" t="n"/>
      <c r="AQ82" s="62" t="n"/>
      <c r="AR82" s="62" t="n"/>
      <c r="AS82" s="62" t="n"/>
      <c r="AT82" s="62" t="n"/>
      <c r="AU82" s="62" t="n"/>
      <c r="AV82" s="62" t="n"/>
      <c r="AW82" s="62" t="n"/>
      <c r="AX82" s="62" t="n"/>
      <c r="AY82" s="62" t="n"/>
    </row>
    <row r="83">
      <c r="A83" s="38">
        <f>IF(D83="","",COUNTA($D$71:D83))</f>
        <v/>
      </c>
      <c r="B83" s="52" t="n"/>
      <c r="C83" s="68" t="inlineStr">
        <is>
          <t>마케팅3팀</t>
        </is>
      </c>
      <c r="D83" s="52" t="n"/>
      <c r="E83" s="54" t="n"/>
      <c r="F83" s="52" t="n"/>
      <c r="G83" s="55" t="n"/>
      <c r="H83" s="54" t="n"/>
      <c r="I83" s="54" t="n"/>
      <c r="J83" s="54" t="n"/>
      <c r="K83" s="56">
        <f>IF(SUM(U83:AY83)=0,"",SUM(U83:AY83))</f>
        <v/>
      </c>
      <c r="L83" s="57">
        <f>IFERROR(INDEX(U$2:AY$2,MATCH(TRUE,U83:AY83&lt;&gt;"",0)),"")</f>
        <v/>
      </c>
      <c r="M83" s="58">
        <f>IFERROR(LOOKUP(2,1/(U83:AY83&lt;&gt;""),U$2:AY$2),"")</f>
        <v/>
      </c>
      <c r="N83" s="59">
        <f>IF(OR(G83="",M83=""),"",G83-M83)</f>
        <v/>
      </c>
      <c r="O83" s="60" t="n"/>
      <c r="P83" s="61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  <c r="AG83" s="62" t="n"/>
      <c r="AH83" s="62" t="n"/>
      <c r="AI83" s="62" t="n"/>
      <c r="AJ83" s="62" t="n"/>
      <c r="AK83" s="62" t="n"/>
      <c r="AL83" s="62" t="n"/>
      <c r="AM83" s="62" t="n"/>
      <c r="AN83" s="62" t="n"/>
      <c r="AO83" s="62" t="n"/>
      <c r="AP83" s="62" t="n"/>
      <c r="AQ83" s="62" t="n"/>
      <c r="AR83" s="62" t="n"/>
      <c r="AS83" s="62" t="n"/>
      <c r="AT83" s="62" t="n"/>
      <c r="AU83" s="62" t="n"/>
      <c r="AV83" s="62" t="n"/>
      <c r="AW83" s="62" t="n"/>
      <c r="AX83" s="62" t="n"/>
      <c r="AY83" s="62" t="n"/>
    </row>
    <row r="84">
      <c r="A84" s="38">
        <f>IF(D84="","",COUNTA($D$71:D84))</f>
        <v/>
      </c>
      <c r="B84" s="52" t="n"/>
      <c r="C84" s="68" t="inlineStr">
        <is>
          <t>마케팅3팀</t>
        </is>
      </c>
      <c r="D84" s="52" t="n"/>
      <c r="E84" s="54" t="n"/>
      <c r="F84" s="52" t="n"/>
      <c r="G84" s="55" t="n"/>
      <c r="H84" s="54" t="n"/>
      <c r="I84" s="54" t="n"/>
      <c r="J84" s="54" t="n"/>
      <c r="K84" s="56">
        <f>IF(SUM(U84:AY84)=0,"",SUM(U84:AY84))</f>
        <v/>
      </c>
      <c r="L84" s="57">
        <f>IFERROR(INDEX(U$2:AY$2,MATCH(TRUE,U84:AY84&lt;&gt;"",0)),"")</f>
        <v/>
      </c>
      <c r="M84" s="58">
        <f>IFERROR(LOOKUP(2,1/(U84:AY84&lt;&gt;""),U$2:AY$2),"")</f>
        <v/>
      </c>
      <c r="N84" s="59">
        <f>IF(OR(G84="",M84=""),"",G84-M84)</f>
        <v/>
      </c>
      <c r="O84" s="60" t="n"/>
      <c r="P84" s="61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  <c r="AG84" s="62" t="n"/>
      <c r="AH84" s="62" t="n"/>
      <c r="AI84" s="62" t="n"/>
      <c r="AJ84" s="62" t="n"/>
      <c r="AK84" s="62" t="n"/>
      <c r="AL84" s="62" t="n"/>
      <c r="AM84" s="62" t="n"/>
      <c r="AN84" s="62" t="n"/>
      <c r="AO84" s="62" t="n"/>
      <c r="AP84" s="62" t="n"/>
      <c r="AQ84" s="62" t="n"/>
      <c r="AR84" s="62" t="n"/>
      <c r="AS84" s="62" t="n"/>
      <c r="AT84" s="62" t="n"/>
      <c r="AU84" s="62" t="n"/>
      <c r="AV84" s="62" t="n"/>
      <c r="AW84" s="62" t="n"/>
      <c r="AX84" s="62" t="n"/>
      <c r="AY84" s="62" t="n"/>
    </row>
    <row r="85">
      <c r="A85" s="38">
        <f>IF(D85="","",COUNTA($D$71:D85))</f>
        <v/>
      </c>
      <c r="B85" s="52" t="n"/>
      <c r="C85" s="68" t="inlineStr">
        <is>
          <t>마케팅3팀</t>
        </is>
      </c>
      <c r="D85" s="52" t="n"/>
      <c r="E85" s="54" t="n"/>
      <c r="F85" s="52" t="n"/>
      <c r="G85" s="55" t="n"/>
      <c r="H85" s="54" t="n"/>
      <c r="I85" s="54" t="n"/>
      <c r="J85" s="54" t="n"/>
      <c r="K85" s="56">
        <f>IF(SUM(U85:AY85)=0,"",SUM(U85:AY85))</f>
        <v/>
      </c>
      <c r="L85" s="57">
        <f>IFERROR(INDEX(U$2:AY$2,MATCH(TRUE,U85:AY85&lt;&gt;"",0)),"")</f>
        <v/>
      </c>
      <c r="M85" s="58">
        <f>IFERROR(LOOKUP(2,1/(U85:AY85&lt;&gt;""),U$2:AY$2),"")</f>
        <v/>
      </c>
      <c r="N85" s="59">
        <f>IF(OR(G85="",M85=""),"",G85-M85)</f>
        <v/>
      </c>
      <c r="O85" s="60" t="n"/>
      <c r="P85" s="61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  <c r="AG85" s="62" t="n"/>
      <c r="AH85" s="62" t="n"/>
      <c r="AI85" s="62" t="n"/>
      <c r="AJ85" s="62" t="n"/>
      <c r="AK85" s="62" t="n"/>
      <c r="AL85" s="62" t="n"/>
      <c r="AM85" s="62" t="n"/>
      <c r="AN85" s="62" t="n"/>
      <c r="AO85" s="62" t="n"/>
      <c r="AP85" s="62" t="n"/>
      <c r="AQ85" s="62" t="n"/>
      <c r="AR85" s="62" t="n"/>
      <c r="AS85" s="62" t="n"/>
      <c r="AT85" s="62" t="n"/>
      <c r="AU85" s="62" t="n"/>
      <c r="AV85" s="62" t="n"/>
      <c r="AW85" s="62" t="n"/>
      <c r="AX85" s="62" t="n"/>
      <c r="AY85" s="62" t="n"/>
    </row>
    <row r="86">
      <c r="A86" s="38">
        <f>IF(D86="","",COUNTA($D$71:D86))</f>
        <v/>
      </c>
      <c r="B86" s="52" t="n"/>
      <c r="C86" s="68" t="inlineStr">
        <is>
          <t>마케팅3팀</t>
        </is>
      </c>
      <c r="D86" s="52" t="n"/>
      <c r="E86" s="54" t="n"/>
      <c r="F86" s="52" t="n"/>
      <c r="G86" s="55" t="n"/>
      <c r="H86" s="54" t="n"/>
      <c r="I86" s="54" t="n"/>
      <c r="J86" s="54" t="n"/>
      <c r="K86" s="56">
        <f>IF(SUM(U86:AY86)=0,"",SUM(U86:AY86))</f>
        <v/>
      </c>
      <c r="L86" s="57">
        <f>IFERROR(INDEX(U$2:AY$2,MATCH(TRUE,U86:AY86&lt;&gt;"",0)),"")</f>
        <v/>
      </c>
      <c r="M86" s="58">
        <f>IFERROR(LOOKUP(2,1/(U86:AY86&lt;&gt;""),U$2:AY$2),"")</f>
        <v/>
      </c>
      <c r="N86" s="59">
        <f>IF(OR(G86="",M86=""),"",G86-M86)</f>
        <v/>
      </c>
      <c r="O86" s="60" t="n"/>
      <c r="P86" s="61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  <c r="AG86" s="62" t="n"/>
      <c r="AH86" s="62" t="n"/>
      <c r="AI86" s="62" t="n"/>
      <c r="AJ86" s="62" t="n"/>
      <c r="AK86" s="62" t="n"/>
      <c r="AL86" s="62" t="n"/>
      <c r="AM86" s="62" t="n"/>
      <c r="AN86" s="62" t="n"/>
      <c r="AO86" s="62" t="n"/>
      <c r="AP86" s="62" t="n"/>
      <c r="AQ86" s="62" t="n"/>
      <c r="AR86" s="62" t="n"/>
      <c r="AS86" s="62" t="n"/>
      <c r="AT86" s="62" t="n"/>
      <c r="AU86" s="62" t="n"/>
      <c r="AV86" s="62" t="n"/>
      <c r="AW86" s="62" t="n"/>
      <c r="AX86" s="62" t="n"/>
      <c r="AY86" s="62" t="n"/>
    </row>
    <row r="87">
      <c r="A87" s="38">
        <f>IF(D87="","",COUNTA($D$71:D87))</f>
        <v/>
      </c>
      <c r="B87" s="52" t="n"/>
      <c r="C87" s="68" t="inlineStr">
        <is>
          <t>마케팅3팀</t>
        </is>
      </c>
      <c r="D87" s="52" t="n"/>
      <c r="E87" s="54" t="n"/>
      <c r="F87" s="52" t="n"/>
      <c r="G87" s="55" t="n"/>
      <c r="H87" s="54" t="n"/>
      <c r="I87" s="54" t="n"/>
      <c r="J87" s="54" t="n"/>
      <c r="K87" s="56">
        <f>IF(SUM(U87:AY87)=0,"",SUM(U87:AY87))</f>
        <v/>
      </c>
      <c r="L87" s="57">
        <f>IFERROR(INDEX(U$2:AY$2,MATCH(TRUE,U87:AY87&lt;&gt;"",0)),"")</f>
        <v/>
      </c>
      <c r="M87" s="58">
        <f>IFERROR(LOOKUP(2,1/(U87:AY87&lt;&gt;""),U$2:AY$2),"")</f>
        <v/>
      </c>
      <c r="N87" s="59">
        <f>IF(OR(G87="",M87=""),"",G87-M87)</f>
        <v/>
      </c>
      <c r="O87" s="60" t="n"/>
      <c r="P87" s="61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  <c r="AG87" s="62" t="n"/>
      <c r="AH87" s="62" t="n"/>
      <c r="AI87" s="62" t="n"/>
      <c r="AJ87" s="62" t="n"/>
      <c r="AK87" s="62" t="n"/>
      <c r="AL87" s="62" t="n"/>
      <c r="AM87" s="62" t="n"/>
      <c r="AN87" s="62" t="n"/>
      <c r="AO87" s="62" t="n"/>
      <c r="AP87" s="62" t="n"/>
      <c r="AQ87" s="62" t="n"/>
      <c r="AR87" s="62" t="n"/>
      <c r="AS87" s="62" t="n"/>
      <c r="AT87" s="62" t="n"/>
      <c r="AU87" s="62" t="n"/>
      <c r="AV87" s="62" t="n"/>
      <c r="AW87" s="62" t="n"/>
      <c r="AX87" s="62" t="n"/>
      <c r="AY87" s="62" t="n"/>
    </row>
    <row r="88">
      <c r="A88" s="38">
        <f>IF(D88="","",COUNTA($D$71:D88))</f>
        <v/>
      </c>
      <c r="B88" s="52" t="n"/>
      <c r="C88" s="68" t="inlineStr">
        <is>
          <t>마케팅3팀</t>
        </is>
      </c>
      <c r="D88" s="52" t="n"/>
      <c r="E88" s="54" t="n"/>
      <c r="F88" s="52" t="n"/>
      <c r="G88" s="55" t="n"/>
      <c r="H88" s="54" t="n"/>
      <c r="I88" s="54" t="n"/>
      <c r="J88" s="54" t="n"/>
      <c r="K88" s="56">
        <f>IF(SUM(U88:AY88)=0,"",SUM(U88:AY88))</f>
        <v/>
      </c>
      <c r="L88" s="57">
        <f>IFERROR(INDEX(U$2:AY$2,MATCH(TRUE,U88:AY88&lt;&gt;"",0)),"")</f>
        <v/>
      </c>
      <c r="M88" s="58">
        <f>IFERROR(LOOKUP(2,1/(U88:AY88&lt;&gt;""),U$2:AY$2),"")</f>
        <v/>
      </c>
      <c r="N88" s="59">
        <f>IF(OR(G88="",M88=""),"",G88-M88)</f>
        <v/>
      </c>
      <c r="O88" s="60" t="n"/>
      <c r="P88" s="61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  <c r="AG88" s="62" t="n"/>
      <c r="AH88" s="62" t="n"/>
      <c r="AI88" s="62" t="n"/>
      <c r="AJ88" s="62" t="n"/>
      <c r="AK88" s="62" t="n"/>
      <c r="AL88" s="62" t="n"/>
      <c r="AM88" s="62" t="n"/>
      <c r="AN88" s="62" t="n"/>
      <c r="AO88" s="62" t="n"/>
      <c r="AP88" s="62" t="n"/>
      <c r="AQ88" s="62" t="n"/>
      <c r="AR88" s="62" t="n"/>
      <c r="AS88" s="62" t="n"/>
      <c r="AT88" s="62" t="n"/>
      <c r="AU88" s="62" t="n"/>
      <c r="AV88" s="62" t="n"/>
      <c r="AW88" s="62" t="n"/>
      <c r="AX88" s="62" t="n"/>
      <c r="AY88" s="62" t="n"/>
    </row>
    <row r="89">
      <c r="A89" s="38">
        <f>IF(D89="","",COUNTA($D$71:D89))</f>
        <v/>
      </c>
      <c r="B89" s="52" t="n"/>
      <c r="C89" s="68" t="inlineStr">
        <is>
          <t>마케팅3팀</t>
        </is>
      </c>
      <c r="D89" s="52" t="n"/>
      <c r="E89" s="54" t="n"/>
      <c r="F89" s="52" t="n"/>
      <c r="G89" s="55" t="n"/>
      <c r="H89" s="54" t="n"/>
      <c r="I89" s="54" t="n"/>
      <c r="J89" s="54" t="n"/>
      <c r="K89" s="56">
        <f>IF(SUM(U89:AY89)=0,"",SUM(U89:AY89))</f>
        <v/>
      </c>
      <c r="L89" s="57">
        <f>IFERROR(INDEX(U$2:AY$2,MATCH(TRUE,U89:AY89&lt;&gt;"",0)),"")</f>
        <v/>
      </c>
      <c r="M89" s="58">
        <f>IFERROR(LOOKUP(2,1/(U89:AY89&lt;&gt;""),U$2:AY$2),"")</f>
        <v/>
      </c>
      <c r="N89" s="59">
        <f>IF(OR(G89="",M89=""),"",G89-M89)</f>
        <v/>
      </c>
      <c r="O89" s="60" t="n"/>
      <c r="P89" s="61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  <c r="AG89" s="62" t="n"/>
      <c r="AH89" s="62" t="n"/>
      <c r="AI89" s="62" t="n"/>
      <c r="AJ89" s="62" t="n"/>
      <c r="AK89" s="62" t="n"/>
      <c r="AL89" s="62" t="n"/>
      <c r="AM89" s="62" t="n"/>
      <c r="AN89" s="62" t="n"/>
      <c r="AO89" s="62" t="n"/>
      <c r="AP89" s="62" t="n"/>
      <c r="AQ89" s="62" t="n"/>
      <c r="AR89" s="62" t="n"/>
      <c r="AS89" s="62" t="n"/>
      <c r="AT89" s="62" t="n"/>
      <c r="AU89" s="62" t="n"/>
      <c r="AV89" s="62" t="n"/>
      <c r="AW89" s="62" t="n"/>
      <c r="AX89" s="62" t="n"/>
      <c r="AY89" s="62" t="n"/>
    </row>
    <row r="90">
      <c r="A90" s="38">
        <f>IF(D90="","",COUNTA($D$71:D90))</f>
        <v/>
      </c>
      <c r="B90" s="52" t="n"/>
      <c r="C90" s="68" t="inlineStr">
        <is>
          <t>마케팅3팀</t>
        </is>
      </c>
      <c r="D90" s="52" t="n"/>
      <c r="E90" s="54" t="n"/>
      <c r="F90" s="52" t="n"/>
      <c r="G90" s="55" t="n"/>
      <c r="H90" s="54" t="n"/>
      <c r="I90" s="54" t="n"/>
      <c r="J90" s="54" t="n"/>
      <c r="K90" s="56">
        <f>IF(SUM(U90:AY90)=0,"",SUM(U90:AY90))</f>
        <v/>
      </c>
      <c r="L90" s="57">
        <f>IFERROR(INDEX(U$2:AY$2,MATCH(TRUE,U90:AY90&lt;&gt;"",0)),"")</f>
        <v/>
      </c>
      <c r="M90" s="58">
        <f>IFERROR(LOOKUP(2,1/(U90:AY90&lt;&gt;""),U$2:AY$2),"")</f>
        <v/>
      </c>
      <c r="N90" s="59">
        <f>IF(OR(G90="",M90=""),"",G90-M90)</f>
        <v/>
      </c>
      <c r="O90" s="60" t="n"/>
      <c r="P90" s="61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  <c r="AG90" s="62" t="n"/>
      <c r="AH90" s="62" t="n"/>
      <c r="AI90" s="62" t="n"/>
      <c r="AJ90" s="62" t="n"/>
      <c r="AK90" s="62" t="n"/>
      <c r="AL90" s="62" t="n"/>
      <c r="AM90" s="62" t="n"/>
      <c r="AN90" s="62" t="n"/>
      <c r="AO90" s="62" t="n"/>
      <c r="AP90" s="62" t="n"/>
      <c r="AQ90" s="62" t="n"/>
      <c r="AR90" s="62" t="n"/>
      <c r="AS90" s="62" t="n"/>
      <c r="AT90" s="62" t="n"/>
      <c r="AU90" s="62" t="n"/>
      <c r="AV90" s="62" t="n"/>
      <c r="AW90" s="62" t="n"/>
      <c r="AX90" s="62" t="n"/>
      <c r="AY90" s="62" t="n"/>
    </row>
    <row r="91">
      <c r="A91" s="38">
        <f>IF(D91="","",COUNTA($D$71:D91))</f>
        <v/>
      </c>
      <c r="B91" s="52" t="n"/>
      <c r="C91" s="68" t="inlineStr">
        <is>
          <t>마케팅3팀</t>
        </is>
      </c>
      <c r="D91" s="52" t="n"/>
      <c r="E91" s="54" t="n"/>
      <c r="F91" s="52" t="n"/>
      <c r="G91" s="55" t="n"/>
      <c r="H91" s="54" t="n"/>
      <c r="I91" s="54" t="n"/>
      <c r="J91" s="54" t="n"/>
      <c r="K91" s="56">
        <f>IF(SUM(U91:AY91)=0,"",SUM(U91:AY91))</f>
        <v/>
      </c>
      <c r="L91" s="57">
        <f>IFERROR(INDEX(U$2:AY$2,MATCH(TRUE,U91:AY91&lt;&gt;"",0)),"")</f>
        <v/>
      </c>
      <c r="M91" s="58">
        <f>IFERROR(LOOKUP(2,1/(U91:AY91&lt;&gt;""),U$2:AY$2),"")</f>
        <v/>
      </c>
      <c r="N91" s="59">
        <f>IF(OR(G91="",M91=""),"",G91-M91)</f>
        <v/>
      </c>
      <c r="O91" s="60" t="n"/>
      <c r="P91" s="61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  <c r="AG91" s="62" t="n"/>
      <c r="AH91" s="62" t="n"/>
      <c r="AI91" s="62" t="n"/>
      <c r="AJ91" s="62" t="n"/>
      <c r="AK91" s="62" t="n"/>
      <c r="AL91" s="62" t="n"/>
      <c r="AM91" s="62" t="n"/>
      <c r="AN91" s="62" t="n"/>
      <c r="AO91" s="62" t="n"/>
      <c r="AP91" s="62" t="n"/>
      <c r="AQ91" s="62" t="n"/>
      <c r="AR91" s="62" t="n"/>
      <c r="AS91" s="62" t="n"/>
      <c r="AT91" s="62" t="n"/>
      <c r="AU91" s="62" t="n"/>
      <c r="AV91" s="62" t="n"/>
      <c r="AW91" s="62" t="n"/>
      <c r="AX91" s="62" t="n"/>
      <c r="AY91" s="62" t="n"/>
    </row>
    <row r="92">
      <c r="A92" s="38">
        <f>IF(D92="","",COUNTA($D$71:D92))</f>
        <v/>
      </c>
      <c r="B92" s="52" t="n"/>
      <c r="C92" s="68" t="inlineStr">
        <is>
          <t>마케팅3팀</t>
        </is>
      </c>
      <c r="D92" s="52" t="n"/>
      <c r="E92" s="54" t="n"/>
      <c r="F92" s="52" t="n"/>
      <c r="G92" s="55" t="n"/>
      <c r="H92" s="54" t="n"/>
      <c r="I92" s="54" t="n"/>
      <c r="J92" s="54" t="n"/>
      <c r="K92" s="56">
        <f>IF(SUM(U92:AY92)=0,"",SUM(U92:AY92))</f>
        <v/>
      </c>
      <c r="L92" s="57">
        <f>IFERROR(INDEX(U$2:AY$2,MATCH(TRUE,U92:AY92&lt;&gt;"",0)),"")</f>
        <v/>
      </c>
      <c r="M92" s="58">
        <f>IFERROR(LOOKUP(2,1/(U92:AY92&lt;&gt;""),U$2:AY$2),"")</f>
        <v/>
      </c>
      <c r="N92" s="59">
        <f>IF(OR(G92="",M92=""),"",G92-M92)</f>
        <v/>
      </c>
      <c r="O92" s="60" t="n"/>
      <c r="P92" s="61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  <c r="AG92" s="62" t="n"/>
      <c r="AH92" s="62" t="n"/>
      <c r="AI92" s="62" t="n"/>
      <c r="AJ92" s="62" t="n"/>
      <c r="AK92" s="62" t="n"/>
      <c r="AL92" s="62" t="n"/>
      <c r="AM92" s="62" t="n"/>
      <c r="AN92" s="62" t="n"/>
      <c r="AO92" s="62" t="n"/>
      <c r="AP92" s="62" t="n"/>
      <c r="AQ92" s="62" t="n"/>
      <c r="AR92" s="62" t="n"/>
      <c r="AS92" s="62" t="n"/>
      <c r="AT92" s="62" t="n"/>
      <c r="AU92" s="62" t="n"/>
      <c r="AV92" s="62" t="n"/>
      <c r="AW92" s="62" t="n"/>
      <c r="AX92" s="62" t="n"/>
      <c r="AY92" s="62" t="n"/>
    </row>
    <row r="93">
      <c r="A93" s="38">
        <f>IF(D93="","",COUNTA($D$71:D93))</f>
        <v/>
      </c>
      <c r="B93" s="52" t="n"/>
      <c r="C93" s="68" t="inlineStr">
        <is>
          <t>마케팅3팀</t>
        </is>
      </c>
      <c r="D93" s="52" t="n"/>
      <c r="E93" s="54" t="n"/>
      <c r="F93" s="52" t="n"/>
      <c r="G93" s="55" t="n"/>
      <c r="H93" s="54" t="n"/>
      <c r="I93" s="54" t="n"/>
      <c r="J93" s="54" t="n"/>
      <c r="K93" s="56">
        <f>IF(SUM(U93:AY93)=0,"",SUM(U93:AY93))</f>
        <v/>
      </c>
      <c r="L93" s="57">
        <f>IFERROR(INDEX(U$2:AY$2,MATCH(TRUE,U93:AY93&lt;&gt;"",0)),"")</f>
        <v/>
      </c>
      <c r="M93" s="58">
        <f>IFERROR(LOOKUP(2,1/(U93:AY93&lt;&gt;""),U$2:AY$2),"")</f>
        <v/>
      </c>
      <c r="N93" s="59">
        <f>IF(OR(G93="",M93=""),"",G93-M93)</f>
        <v/>
      </c>
      <c r="O93" s="60" t="n"/>
      <c r="P93" s="61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  <c r="AG93" s="62" t="n"/>
      <c r="AH93" s="62" t="n"/>
      <c r="AI93" s="62" t="n"/>
      <c r="AJ93" s="62" t="n"/>
      <c r="AK93" s="62" t="n"/>
      <c r="AL93" s="62" t="n"/>
      <c r="AM93" s="62" t="n"/>
      <c r="AN93" s="62" t="n"/>
      <c r="AO93" s="62" t="n"/>
      <c r="AP93" s="62" t="n"/>
      <c r="AQ93" s="62" t="n"/>
      <c r="AR93" s="62" t="n"/>
      <c r="AS93" s="62" t="n"/>
      <c r="AT93" s="62" t="n"/>
      <c r="AU93" s="62" t="n"/>
      <c r="AV93" s="62" t="n"/>
      <c r="AW93" s="62" t="n"/>
      <c r="AX93" s="62" t="n"/>
      <c r="AY93" s="62" t="n"/>
    </row>
    <row r="94">
      <c r="A94" s="38">
        <f>IF(D94="","",COUNTA($D$71:D94))</f>
        <v/>
      </c>
      <c r="B94" s="52" t="n"/>
      <c r="C94" s="68" t="inlineStr">
        <is>
          <t>마케팅3팀</t>
        </is>
      </c>
      <c r="D94" s="52" t="n"/>
      <c r="E94" s="54" t="n"/>
      <c r="F94" s="52" t="n"/>
      <c r="G94" s="55" t="n"/>
      <c r="H94" s="54" t="n"/>
      <c r="I94" s="54" t="n"/>
      <c r="J94" s="54" t="n"/>
      <c r="K94" s="56">
        <f>IF(SUM(U94:AY94)=0,"",SUM(U94:AY94))</f>
        <v/>
      </c>
      <c r="L94" s="57">
        <f>IFERROR(INDEX(U$2:AY$2,MATCH(TRUE,U94:AY94&lt;&gt;"",0)),"")</f>
        <v/>
      </c>
      <c r="M94" s="58">
        <f>IFERROR(LOOKUP(2,1/(U94:AY94&lt;&gt;""),U$2:AY$2),"")</f>
        <v/>
      </c>
      <c r="N94" s="59">
        <f>IF(OR(G94="",M94=""),"",G94-M94)</f>
        <v/>
      </c>
      <c r="O94" s="60" t="n"/>
      <c r="P94" s="61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  <c r="AG94" s="62" t="n"/>
      <c r="AH94" s="62" t="n"/>
      <c r="AI94" s="62" t="n"/>
      <c r="AJ94" s="62" t="n"/>
      <c r="AK94" s="62" t="n"/>
      <c r="AL94" s="62" t="n"/>
      <c r="AM94" s="62" t="n"/>
      <c r="AN94" s="62" t="n"/>
      <c r="AO94" s="62" t="n"/>
      <c r="AP94" s="62" t="n"/>
      <c r="AQ94" s="62" t="n"/>
      <c r="AR94" s="62" t="n"/>
      <c r="AS94" s="62" t="n"/>
      <c r="AT94" s="62" t="n"/>
      <c r="AU94" s="62" t="n"/>
      <c r="AV94" s="62" t="n"/>
      <c r="AW94" s="62" t="n"/>
      <c r="AX94" s="62" t="n"/>
      <c r="AY94" s="62" t="n"/>
    </row>
    <row r="95">
      <c r="A95" s="38">
        <f>IF(D95="","",COUNTA($D$71:D95))</f>
        <v/>
      </c>
      <c r="B95" s="52" t="n"/>
      <c r="C95" s="68" t="inlineStr">
        <is>
          <t>마케팅3팀</t>
        </is>
      </c>
      <c r="D95" s="52" t="n"/>
      <c r="E95" s="54" t="n"/>
      <c r="F95" s="52" t="n"/>
      <c r="G95" s="55" t="n"/>
      <c r="H95" s="54" t="n"/>
      <c r="I95" s="54" t="n"/>
      <c r="J95" s="54" t="n"/>
      <c r="K95" s="56">
        <f>IF(SUM(U95:AY95)=0,"",SUM(U95:AY95))</f>
        <v/>
      </c>
      <c r="L95" s="57">
        <f>IFERROR(INDEX(U$2:AY$2,MATCH(TRUE,U95:AY95&lt;&gt;"",0)),"")</f>
        <v/>
      </c>
      <c r="M95" s="58">
        <f>IFERROR(LOOKUP(2,1/(U95:AY95&lt;&gt;""),U$2:AY$2),"")</f>
        <v/>
      </c>
      <c r="N95" s="59">
        <f>IF(OR(G95="",M95=""),"",G95-M95)</f>
        <v/>
      </c>
      <c r="O95" s="60" t="n"/>
      <c r="P95" s="61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  <c r="AG95" s="62" t="n"/>
      <c r="AH95" s="62" t="n"/>
      <c r="AI95" s="62" t="n"/>
      <c r="AJ95" s="62" t="n"/>
      <c r="AK95" s="62" t="n"/>
      <c r="AL95" s="62" t="n"/>
      <c r="AM95" s="62" t="n"/>
      <c r="AN95" s="62" t="n"/>
      <c r="AO95" s="62" t="n"/>
      <c r="AP95" s="62" t="n"/>
      <c r="AQ95" s="62" t="n"/>
      <c r="AR95" s="62" t="n"/>
      <c r="AS95" s="62" t="n"/>
      <c r="AT95" s="62" t="n"/>
      <c r="AU95" s="62" t="n"/>
      <c r="AV95" s="62" t="n"/>
      <c r="AW95" s="62" t="n"/>
      <c r="AX95" s="62" t="n"/>
      <c r="AY95" s="62" t="n"/>
    </row>
    <row r="96">
      <c r="A96" s="38">
        <f>IF(D96="","",COUNTA($D$71:D96))</f>
        <v/>
      </c>
      <c r="B96" s="52" t="n"/>
      <c r="C96" s="68" t="inlineStr">
        <is>
          <t>마케팅3팀</t>
        </is>
      </c>
      <c r="D96" s="52" t="n"/>
      <c r="E96" s="54" t="n"/>
      <c r="F96" s="52" t="n"/>
      <c r="G96" s="55" t="n"/>
      <c r="H96" s="54" t="n"/>
      <c r="I96" s="54" t="n"/>
      <c r="J96" s="54" t="n"/>
      <c r="K96" s="56">
        <f>IF(SUM(U96:AY96)=0,"",SUM(U96:AY96))</f>
        <v/>
      </c>
      <c r="L96" s="57">
        <f>IFERROR(INDEX(U$2:AY$2,MATCH(TRUE,U96:AY96&lt;&gt;"",0)),"")</f>
        <v/>
      </c>
      <c r="M96" s="58">
        <f>IFERROR(LOOKUP(2,1/(U96:AY96&lt;&gt;""),U$2:AY$2),"")</f>
        <v/>
      </c>
      <c r="N96" s="59">
        <f>IF(OR(G96="",M96=""),"",G96-M96)</f>
        <v/>
      </c>
      <c r="O96" s="60" t="n"/>
      <c r="P96" s="61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  <c r="AG96" s="62" t="n"/>
      <c r="AH96" s="62" t="n"/>
      <c r="AI96" s="62" t="n"/>
      <c r="AJ96" s="62" t="n"/>
      <c r="AK96" s="62" t="n"/>
      <c r="AL96" s="62" t="n"/>
      <c r="AM96" s="62" t="n"/>
      <c r="AN96" s="62" t="n"/>
      <c r="AO96" s="62" t="n"/>
      <c r="AP96" s="62" t="n"/>
      <c r="AQ96" s="62" t="n"/>
      <c r="AR96" s="62" t="n"/>
      <c r="AS96" s="62" t="n"/>
      <c r="AT96" s="62" t="n"/>
      <c r="AU96" s="62" t="n"/>
      <c r="AV96" s="62" t="n"/>
      <c r="AW96" s="62" t="n"/>
      <c r="AX96" s="62" t="n"/>
      <c r="AY96" s="62" t="n"/>
    </row>
    <row r="97">
      <c r="A97" s="38">
        <f>IF(D97="","",COUNTA($D$71:D97))</f>
        <v/>
      </c>
      <c r="B97" s="52" t="n"/>
      <c r="C97" s="68" t="inlineStr">
        <is>
          <t>마케팅3팀</t>
        </is>
      </c>
      <c r="D97" s="52" t="n"/>
      <c r="E97" s="54" t="n"/>
      <c r="F97" s="52" t="n"/>
      <c r="G97" s="55" t="n"/>
      <c r="H97" s="54" t="n"/>
      <c r="I97" s="54" t="n"/>
      <c r="J97" s="54" t="n"/>
      <c r="K97" s="56">
        <f>IF(SUM(U97:AY97)=0,"",SUM(U97:AY97))</f>
        <v/>
      </c>
      <c r="L97" s="57">
        <f>IFERROR(INDEX(U$2:AY$2,MATCH(TRUE,U97:AY97&lt;&gt;"",0)),"")</f>
        <v/>
      </c>
      <c r="M97" s="58">
        <f>IFERROR(LOOKUP(2,1/(U97:AY97&lt;&gt;""),U$2:AY$2),"")</f>
        <v/>
      </c>
      <c r="N97" s="59">
        <f>IF(OR(G97="",M97=""),"",G97-M97)</f>
        <v/>
      </c>
      <c r="O97" s="60" t="n"/>
      <c r="P97" s="61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  <c r="AG97" s="62" t="n"/>
      <c r="AH97" s="62" t="n"/>
      <c r="AI97" s="62" t="n"/>
      <c r="AJ97" s="62" t="n"/>
      <c r="AK97" s="62" t="n"/>
      <c r="AL97" s="62" t="n"/>
      <c r="AM97" s="62" t="n"/>
      <c r="AN97" s="62" t="n"/>
      <c r="AO97" s="62" t="n"/>
      <c r="AP97" s="62" t="n"/>
      <c r="AQ97" s="62" t="n"/>
      <c r="AR97" s="62" t="n"/>
      <c r="AS97" s="62" t="n"/>
      <c r="AT97" s="62" t="n"/>
      <c r="AU97" s="62" t="n"/>
      <c r="AV97" s="62" t="n"/>
      <c r="AW97" s="62" t="n"/>
      <c r="AX97" s="62" t="n"/>
      <c r="AY97" s="62" t="n"/>
    </row>
    <row r="98">
      <c r="A98" s="38">
        <f>IF(D98="","",COUNTA($D$71:D98))</f>
        <v/>
      </c>
      <c r="B98" s="52" t="n"/>
      <c r="C98" s="68" t="inlineStr">
        <is>
          <t>마케팅3팀</t>
        </is>
      </c>
      <c r="D98" s="52" t="n"/>
      <c r="E98" s="54" t="n"/>
      <c r="F98" s="52" t="n"/>
      <c r="G98" s="55" t="n"/>
      <c r="H98" s="54" t="n"/>
      <c r="I98" s="54" t="n"/>
      <c r="J98" s="54" t="n"/>
      <c r="K98" s="56">
        <f>IF(SUM(U98:AY98)=0,"",SUM(U98:AY98))</f>
        <v/>
      </c>
      <c r="L98" s="57">
        <f>IFERROR(INDEX(U$2:AY$2,MATCH(TRUE,U98:AY98&lt;&gt;"",0)),"")</f>
        <v/>
      </c>
      <c r="M98" s="58">
        <f>IFERROR(LOOKUP(2,1/(U98:AY98&lt;&gt;""),U$2:AY$2),"")</f>
        <v/>
      </c>
      <c r="N98" s="59">
        <f>IF(OR(G98="",M98=""),"",G98-M98)</f>
        <v/>
      </c>
      <c r="O98" s="60" t="n"/>
      <c r="P98" s="61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  <c r="AG98" s="62" t="n"/>
      <c r="AH98" s="62" t="n"/>
      <c r="AI98" s="62" t="n"/>
      <c r="AJ98" s="62" t="n"/>
      <c r="AK98" s="62" t="n"/>
      <c r="AL98" s="62" t="n"/>
      <c r="AM98" s="62" t="n"/>
      <c r="AN98" s="62" t="n"/>
      <c r="AO98" s="62" t="n"/>
      <c r="AP98" s="62" t="n"/>
      <c r="AQ98" s="62" t="n"/>
      <c r="AR98" s="62" t="n"/>
      <c r="AS98" s="62" t="n"/>
      <c r="AT98" s="62" t="n"/>
      <c r="AU98" s="62" t="n"/>
      <c r="AV98" s="62" t="n"/>
      <c r="AW98" s="62" t="n"/>
      <c r="AX98" s="62" t="n"/>
      <c r="AY98" s="62" t="n"/>
    </row>
    <row r="99">
      <c r="A99" s="38">
        <f>IF(D99="","",COUNTA($D$71:D99))</f>
        <v/>
      </c>
      <c r="B99" s="52" t="n"/>
      <c r="C99" s="68" t="inlineStr">
        <is>
          <t>마케팅3팀</t>
        </is>
      </c>
      <c r="D99" s="52" t="n"/>
      <c r="E99" s="54" t="n"/>
      <c r="F99" s="52" t="n"/>
      <c r="G99" s="55" t="n"/>
      <c r="H99" s="54" t="n"/>
      <c r="I99" s="54" t="n"/>
      <c r="J99" s="54" t="n"/>
      <c r="K99" s="56">
        <f>IF(SUM(U99:AY99)=0,"",SUM(U99:AY99))</f>
        <v/>
      </c>
      <c r="L99" s="57">
        <f>IFERROR(INDEX(U$2:AY$2,MATCH(TRUE,U99:AY99&lt;&gt;"",0)),"")</f>
        <v/>
      </c>
      <c r="M99" s="58">
        <f>IFERROR(LOOKUP(2,1/(U99:AY99&lt;&gt;""),U$2:AY$2),"")</f>
        <v/>
      </c>
      <c r="N99" s="59">
        <f>IF(OR(G99="",M99=""),"",G99-M99)</f>
        <v/>
      </c>
      <c r="O99" s="60" t="n"/>
      <c r="P99" s="61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  <c r="AG99" s="62" t="n"/>
      <c r="AH99" s="62" t="n"/>
      <c r="AI99" s="62" t="n"/>
      <c r="AJ99" s="62" t="n"/>
      <c r="AK99" s="62" t="n"/>
      <c r="AL99" s="62" t="n"/>
      <c r="AM99" s="62" t="n"/>
      <c r="AN99" s="62" t="n"/>
      <c r="AO99" s="62" t="n"/>
      <c r="AP99" s="62" t="n"/>
      <c r="AQ99" s="62" t="n"/>
      <c r="AR99" s="62" t="n"/>
      <c r="AS99" s="62" t="n"/>
      <c r="AT99" s="62" t="n"/>
      <c r="AU99" s="62" t="n"/>
      <c r="AV99" s="62" t="n"/>
      <c r="AW99" s="62" t="n"/>
      <c r="AX99" s="62" t="n"/>
      <c r="AY99" s="62" t="n"/>
    </row>
    <row r="100">
      <c r="A100" s="38">
        <f>IF(D100="","",COUNTA($D$71:D100))</f>
        <v/>
      </c>
      <c r="B100" s="52" t="n"/>
      <c r="C100" s="68" t="inlineStr">
        <is>
          <t>마케팅3팀</t>
        </is>
      </c>
      <c r="D100" s="52" t="n"/>
      <c r="E100" s="54" t="n"/>
      <c r="F100" s="52" t="n"/>
      <c r="G100" s="55" t="n"/>
      <c r="H100" s="54" t="n"/>
      <c r="I100" s="54" t="n"/>
      <c r="J100" s="54" t="n"/>
      <c r="K100" s="56">
        <f>IF(SUM(U100:AY100)=0,"",SUM(U100:AY100))</f>
        <v/>
      </c>
      <c r="L100" s="57">
        <f>IFERROR(INDEX(U$2:AY$2,MATCH(TRUE,U100:AY100&lt;&gt;"",0)),"")</f>
        <v/>
      </c>
      <c r="M100" s="58">
        <f>IFERROR(LOOKUP(2,1/(U100:AY100&lt;&gt;""),U$2:AY$2),"")</f>
        <v/>
      </c>
      <c r="N100" s="59">
        <f>IF(OR(G100="",M100=""),"",G100-M100)</f>
        <v/>
      </c>
      <c r="O100" s="60" t="n"/>
      <c r="P100" s="61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  <c r="AG100" s="62" t="n"/>
      <c r="AH100" s="62" t="n"/>
      <c r="AI100" s="62" t="n"/>
      <c r="AJ100" s="62" t="n"/>
      <c r="AK100" s="62" t="n"/>
      <c r="AL100" s="62" t="n"/>
      <c r="AM100" s="62" t="n"/>
      <c r="AN100" s="62" t="n"/>
      <c r="AO100" s="62" t="n"/>
      <c r="AP100" s="62" t="n"/>
      <c r="AQ100" s="62" t="n"/>
      <c r="AR100" s="62" t="n"/>
      <c r="AS100" s="62" t="n"/>
      <c r="AT100" s="62" t="n"/>
      <c r="AU100" s="62" t="n"/>
      <c r="AV100" s="62" t="n"/>
      <c r="AW100" s="62" t="n"/>
      <c r="AX100" s="62" t="n"/>
      <c r="AY100" s="62" t="n"/>
    </row>
    <row r="101">
      <c r="A101" s="69" t="inlineStr">
        <is>
          <t>마케팅4팀  (102~131행)</t>
        </is>
      </c>
      <c r="U101" s="70" t="n"/>
      <c r="V101" s="70" t="n"/>
      <c r="W101" s="70" t="n"/>
      <c r="X101" s="70" t="n"/>
      <c r="Y101" s="70" t="n"/>
      <c r="Z101" s="70" t="n"/>
      <c r="AA101" s="70" t="n"/>
      <c r="AB101" s="70" t="n"/>
      <c r="AC101" s="70" t="n"/>
      <c r="AD101" s="70" t="n"/>
      <c r="AE101" s="70" t="n"/>
      <c r="AF101" s="70" t="n"/>
      <c r="AG101" s="70" t="n"/>
      <c r="AH101" s="70" t="n"/>
      <c r="AI101" s="70" t="n"/>
      <c r="AJ101" s="70" t="n"/>
      <c r="AK101" s="70" t="n"/>
      <c r="AL101" s="70" t="n"/>
      <c r="AM101" s="70" t="n"/>
      <c r="AN101" s="70" t="n"/>
      <c r="AO101" s="70" t="n"/>
      <c r="AP101" s="70" t="n"/>
      <c r="AQ101" s="70" t="n"/>
      <c r="AR101" s="70" t="n"/>
      <c r="AS101" s="70" t="n"/>
      <c r="AT101" s="70" t="n"/>
      <c r="AU101" s="70" t="n"/>
      <c r="AV101" s="70" t="n"/>
      <c r="AW101" s="70" t="n"/>
      <c r="AX101" s="70" t="n"/>
      <c r="AY101" s="70" t="n"/>
    </row>
    <row r="102">
      <c r="A102" s="38">
        <f>IF(D102="","",COUNTA($D$102:D102))</f>
        <v/>
      </c>
      <c r="B102" s="52" t="n"/>
      <c r="C102" s="71" t="inlineStr">
        <is>
          <t>마케팅4팀</t>
        </is>
      </c>
      <c r="D102" s="52" t="n"/>
      <c r="E102" s="54" t="n"/>
      <c r="F102" s="52" t="n"/>
      <c r="G102" s="55" t="n"/>
      <c r="H102" s="54" t="n"/>
      <c r="I102" s="54" t="n"/>
      <c r="J102" s="54" t="n"/>
      <c r="K102" s="56">
        <f>IF(SUM(U102:AY102)=0,"",SUM(U102:AY102))</f>
        <v/>
      </c>
      <c r="L102" s="57">
        <f>IFERROR(INDEX(U$2:AY$2,MATCH(TRUE,U102:AY102&lt;&gt;"",0)),"")</f>
        <v/>
      </c>
      <c r="M102" s="58">
        <f>IFERROR(LOOKUP(2,1/(U102:AY102&lt;&gt;""),U$2:AY$2),"")</f>
        <v/>
      </c>
      <c r="N102" s="59">
        <f>IF(OR(G102="",M102=""),"",G102-M102)</f>
        <v/>
      </c>
      <c r="O102" s="60" t="n"/>
      <c r="P102" s="61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  <c r="AG102" s="62" t="n"/>
      <c r="AH102" s="62" t="n"/>
      <c r="AI102" s="62" t="n"/>
      <c r="AJ102" s="62" t="n"/>
      <c r="AK102" s="62" t="n"/>
      <c r="AL102" s="62" t="n"/>
      <c r="AM102" s="62" t="n"/>
      <c r="AN102" s="62" t="n"/>
      <c r="AO102" s="62" t="n"/>
      <c r="AP102" s="62" t="n"/>
      <c r="AQ102" s="62" t="n"/>
      <c r="AR102" s="62" t="n"/>
      <c r="AS102" s="62" t="n"/>
      <c r="AT102" s="62" t="n"/>
      <c r="AU102" s="62" t="n"/>
      <c r="AV102" s="62" t="n"/>
      <c r="AW102" s="62" t="n"/>
      <c r="AX102" s="62" t="n"/>
      <c r="AY102" s="62" t="n"/>
    </row>
    <row r="103">
      <c r="A103" s="38">
        <f>IF(D103="","",COUNTA($D$102:D103))</f>
        <v/>
      </c>
      <c r="B103" s="52" t="n"/>
      <c r="C103" s="71" t="inlineStr">
        <is>
          <t>마케팅4팀</t>
        </is>
      </c>
      <c r="D103" s="52" t="n"/>
      <c r="E103" s="54" t="n"/>
      <c r="F103" s="52" t="n"/>
      <c r="G103" s="55" t="n"/>
      <c r="H103" s="54" t="n"/>
      <c r="I103" s="54" t="n"/>
      <c r="J103" s="54" t="n"/>
      <c r="K103" s="56">
        <f>IF(SUM(U103:AY103)=0,"",SUM(U103:AY103))</f>
        <v/>
      </c>
      <c r="L103" s="57">
        <f>IFERROR(INDEX(U$2:AY$2,MATCH(TRUE,U103:AY103&lt;&gt;"",0)),"")</f>
        <v/>
      </c>
      <c r="M103" s="58">
        <f>IFERROR(LOOKUP(2,1/(U103:AY103&lt;&gt;""),U$2:AY$2),"")</f>
        <v/>
      </c>
      <c r="N103" s="59">
        <f>IF(OR(G103="",M103=""),"",G103-M103)</f>
        <v/>
      </c>
      <c r="O103" s="60" t="n"/>
      <c r="P103" s="61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  <c r="AG103" s="62" t="n"/>
      <c r="AH103" s="62" t="n"/>
      <c r="AI103" s="62" t="n"/>
      <c r="AJ103" s="62" t="n"/>
      <c r="AK103" s="62" t="n"/>
      <c r="AL103" s="62" t="n"/>
      <c r="AM103" s="62" t="n"/>
      <c r="AN103" s="62" t="n"/>
      <c r="AO103" s="62" t="n"/>
      <c r="AP103" s="62" t="n"/>
      <c r="AQ103" s="62" t="n"/>
      <c r="AR103" s="62" t="n"/>
      <c r="AS103" s="62" t="n"/>
      <c r="AT103" s="62" t="n"/>
      <c r="AU103" s="62" t="n"/>
      <c r="AV103" s="62" t="n"/>
      <c r="AW103" s="62" t="n"/>
      <c r="AX103" s="62" t="n"/>
      <c r="AY103" s="62" t="n"/>
    </row>
    <row r="104">
      <c r="A104" s="38">
        <f>IF(D104="","",COUNTA($D$102:D104))</f>
        <v/>
      </c>
      <c r="B104" s="52" t="n"/>
      <c r="C104" s="71" t="inlineStr">
        <is>
          <t>마케팅4팀</t>
        </is>
      </c>
      <c r="D104" s="52" t="n"/>
      <c r="E104" s="54" t="n"/>
      <c r="F104" s="52" t="n"/>
      <c r="G104" s="55" t="n"/>
      <c r="H104" s="54" t="n"/>
      <c r="I104" s="54" t="n"/>
      <c r="J104" s="54" t="n"/>
      <c r="K104" s="56">
        <f>IF(SUM(U104:AY104)=0,"",SUM(U104:AY104))</f>
        <v/>
      </c>
      <c r="L104" s="57">
        <f>IFERROR(INDEX(U$2:AY$2,MATCH(TRUE,U104:AY104&lt;&gt;"",0)),"")</f>
        <v/>
      </c>
      <c r="M104" s="58">
        <f>IFERROR(LOOKUP(2,1/(U104:AY104&lt;&gt;""),U$2:AY$2),"")</f>
        <v/>
      </c>
      <c r="N104" s="59">
        <f>IF(OR(G104="",M104=""),"",G104-M104)</f>
        <v/>
      </c>
      <c r="O104" s="60" t="n"/>
      <c r="P104" s="61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  <c r="AG104" s="62" t="n"/>
      <c r="AH104" s="62" t="n"/>
      <c r="AI104" s="62" t="n"/>
      <c r="AJ104" s="62" t="n"/>
      <c r="AK104" s="62" t="n"/>
      <c r="AL104" s="62" t="n"/>
      <c r="AM104" s="62" t="n"/>
      <c r="AN104" s="62" t="n"/>
      <c r="AO104" s="62" t="n"/>
      <c r="AP104" s="62" t="n"/>
      <c r="AQ104" s="62" t="n"/>
      <c r="AR104" s="62" t="n"/>
      <c r="AS104" s="62" t="n"/>
      <c r="AT104" s="62" t="n"/>
      <c r="AU104" s="62" t="n"/>
      <c r="AV104" s="62" t="n"/>
      <c r="AW104" s="62" t="n"/>
      <c r="AX104" s="62" t="n"/>
      <c r="AY104" s="62" t="n"/>
    </row>
    <row r="105">
      <c r="A105" s="38">
        <f>IF(D105="","",COUNTA($D$102:D105))</f>
        <v/>
      </c>
      <c r="B105" s="52" t="n"/>
      <c r="C105" s="71" t="inlineStr">
        <is>
          <t>마케팅4팀</t>
        </is>
      </c>
      <c r="D105" s="52" t="n"/>
      <c r="E105" s="54" t="n"/>
      <c r="F105" s="52" t="n"/>
      <c r="G105" s="55" t="n"/>
      <c r="H105" s="54" t="n"/>
      <c r="I105" s="54" t="n"/>
      <c r="J105" s="54" t="n"/>
      <c r="K105" s="56">
        <f>IF(SUM(U105:AY105)=0,"",SUM(U105:AY105))</f>
        <v/>
      </c>
      <c r="L105" s="57">
        <f>IFERROR(INDEX(U$2:AY$2,MATCH(TRUE,U105:AY105&lt;&gt;"",0)),"")</f>
        <v/>
      </c>
      <c r="M105" s="58">
        <f>IFERROR(LOOKUP(2,1/(U105:AY105&lt;&gt;""),U$2:AY$2),"")</f>
        <v/>
      </c>
      <c r="N105" s="59">
        <f>IF(OR(G105="",M105=""),"",G105-M105)</f>
        <v/>
      </c>
      <c r="O105" s="60" t="n"/>
      <c r="P105" s="61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  <c r="AG105" s="62" t="n"/>
      <c r="AH105" s="62" t="n"/>
      <c r="AI105" s="62" t="n"/>
      <c r="AJ105" s="62" t="n"/>
      <c r="AK105" s="62" t="n"/>
      <c r="AL105" s="62" t="n"/>
      <c r="AM105" s="62" t="n"/>
      <c r="AN105" s="62" t="n"/>
      <c r="AO105" s="62" t="n"/>
      <c r="AP105" s="62" t="n"/>
      <c r="AQ105" s="62" t="n"/>
      <c r="AR105" s="62" t="n"/>
      <c r="AS105" s="62" t="n"/>
      <c r="AT105" s="62" t="n"/>
      <c r="AU105" s="62" t="n"/>
      <c r="AV105" s="62" t="n"/>
      <c r="AW105" s="62" t="n"/>
      <c r="AX105" s="62" t="n"/>
      <c r="AY105" s="62" t="n"/>
    </row>
    <row r="106">
      <c r="A106" s="38">
        <f>IF(D106="","",COUNTA($D$102:D106))</f>
        <v/>
      </c>
      <c r="B106" s="52" t="n"/>
      <c r="C106" s="71" t="inlineStr">
        <is>
          <t>마케팅4팀</t>
        </is>
      </c>
      <c r="D106" s="52" t="n"/>
      <c r="E106" s="54" t="n"/>
      <c r="F106" s="52" t="n"/>
      <c r="G106" s="55" t="n"/>
      <c r="H106" s="54" t="n"/>
      <c r="I106" s="54" t="n"/>
      <c r="J106" s="54" t="n"/>
      <c r="K106" s="56">
        <f>IF(SUM(U106:AY106)=0,"",SUM(U106:AY106))</f>
        <v/>
      </c>
      <c r="L106" s="57">
        <f>IFERROR(INDEX(U$2:AY$2,MATCH(TRUE,U106:AY106&lt;&gt;"",0)),"")</f>
        <v/>
      </c>
      <c r="M106" s="58">
        <f>IFERROR(LOOKUP(2,1/(U106:AY106&lt;&gt;""),U$2:AY$2),"")</f>
        <v/>
      </c>
      <c r="N106" s="59">
        <f>IF(OR(G106="",M106=""),"",G106-M106)</f>
        <v/>
      </c>
      <c r="O106" s="60" t="n"/>
      <c r="P106" s="61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  <c r="AG106" s="62" t="n"/>
      <c r="AH106" s="62" t="n"/>
      <c r="AI106" s="62" t="n"/>
      <c r="AJ106" s="62" t="n"/>
      <c r="AK106" s="62" t="n"/>
      <c r="AL106" s="62" t="n"/>
      <c r="AM106" s="62" t="n"/>
      <c r="AN106" s="62" t="n"/>
      <c r="AO106" s="62" t="n"/>
      <c r="AP106" s="62" t="n"/>
      <c r="AQ106" s="62" t="n"/>
      <c r="AR106" s="62" t="n"/>
      <c r="AS106" s="62" t="n"/>
      <c r="AT106" s="62" t="n"/>
      <c r="AU106" s="62" t="n"/>
      <c r="AV106" s="62" t="n"/>
      <c r="AW106" s="62" t="n"/>
      <c r="AX106" s="62" t="n"/>
      <c r="AY106" s="62" t="n"/>
    </row>
    <row r="107">
      <c r="A107" s="38">
        <f>IF(D107="","",COUNTA($D$102:D107))</f>
        <v/>
      </c>
      <c r="B107" s="52" t="n"/>
      <c r="C107" s="71" t="inlineStr">
        <is>
          <t>마케팅4팀</t>
        </is>
      </c>
      <c r="D107" s="52" t="n"/>
      <c r="E107" s="54" t="n"/>
      <c r="F107" s="52" t="n"/>
      <c r="G107" s="55" t="n"/>
      <c r="H107" s="54" t="n"/>
      <c r="I107" s="54" t="n"/>
      <c r="J107" s="54" t="n"/>
      <c r="K107" s="56">
        <f>IF(SUM(U107:AY107)=0,"",SUM(U107:AY107))</f>
        <v/>
      </c>
      <c r="L107" s="57">
        <f>IFERROR(INDEX(U$2:AY$2,MATCH(TRUE,U107:AY107&lt;&gt;"",0)),"")</f>
        <v/>
      </c>
      <c r="M107" s="58">
        <f>IFERROR(LOOKUP(2,1/(U107:AY107&lt;&gt;""),U$2:AY$2),"")</f>
        <v/>
      </c>
      <c r="N107" s="59">
        <f>IF(OR(G107="",M107=""),"",G107-M107)</f>
        <v/>
      </c>
      <c r="O107" s="60" t="n"/>
      <c r="P107" s="61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  <c r="AG107" s="62" t="n"/>
      <c r="AH107" s="62" t="n"/>
      <c r="AI107" s="62" t="n"/>
      <c r="AJ107" s="62" t="n"/>
      <c r="AK107" s="62" t="n"/>
      <c r="AL107" s="62" t="n"/>
      <c r="AM107" s="62" t="n"/>
      <c r="AN107" s="62" t="n"/>
      <c r="AO107" s="62" t="n"/>
      <c r="AP107" s="62" t="n"/>
      <c r="AQ107" s="62" t="n"/>
      <c r="AR107" s="62" t="n"/>
      <c r="AS107" s="62" t="n"/>
      <c r="AT107" s="62" t="n"/>
      <c r="AU107" s="62" t="n"/>
      <c r="AV107" s="62" t="n"/>
      <c r="AW107" s="62" t="n"/>
      <c r="AX107" s="62" t="n"/>
      <c r="AY107" s="62" t="n"/>
    </row>
    <row r="108">
      <c r="A108" s="38">
        <f>IF(D108="","",COUNTA($D$102:D108))</f>
        <v/>
      </c>
      <c r="B108" s="52" t="n"/>
      <c r="C108" s="71" t="inlineStr">
        <is>
          <t>마케팅4팀</t>
        </is>
      </c>
      <c r="D108" s="52" t="n"/>
      <c r="E108" s="54" t="n"/>
      <c r="F108" s="52" t="n"/>
      <c r="G108" s="55" t="n"/>
      <c r="H108" s="54" t="n"/>
      <c r="I108" s="54" t="n"/>
      <c r="J108" s="54" t="n"/>
      <c r="K108" s="56">
        <f>IF(SUM(U108:AY108)=0,"",SUM(U108:AY108))</f>
        <v/>
      </c>
      <c r="L108" s="57">
        <f>IFERROR(INDEX(U$2:AY$2,MATCH(TRUE,U108:AY108&lt;&gt;"",0)),"")</f>
        <v/>
      </c>
      <c r="M108" s="58">
        <f>IFERROR(LOOKUP(2,1/(U108:AY108&lt;&gt;""),U$2:AY$2),"")</f>
        <v/>
      </c>
      <c r="N108" s="59">
        <f>IF(OR(G108="",M108=""),"",G108-M108)</f>
        <v/>
      </c>
      <c r="O108" s="60" t="n"/>
      <c r="P108" s="61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  <c r="AG108" s="62" t="n"/>
      <c r="AH108" s="62" t="n"/>
      <c r="AI108" s="62" t="n"/>
      <c r="AJ108" s="62" t="n"/>
      <c r="AK108" s="62" t="n"/>
      <c r="AL108" s="62" t="n"/>
      <c r="AM108" s="62" t="n"/>
      <c r="AN108" s="62" t="n"/>
      <c r="AO108" s="62" t="n"/>
      <c r="AP108" s="62" t="n"/>
      <c r="AQ108" s="62" t="n"/>
      <c r="AR108" s="62" t="n"/>
      <c r="AS108" s="62" t="n"/>
      <c r="AT108" s="62" t="n"/>
      <c r="AU108" s="62" t="n"/>
      <c r="AV108" s="62" t="n"/>
      <c r="AW108" s="62" t="n"/>
      <c r="AX108" s="62" t="n"/>
      <c r="AY108" s="62" t="n"/>
    </row>
    <row r="109">
      <c r="A109" s="38">
        <f>IF(D109="","",COUNTA($D$102:D109))</f>
        <v/>
      </c>
      <c r="B109" s="52" t="n"/>
      <c r="C109" s="71" t="inlineStr">
        <is>
          <t>마케팅4팀</t>
        </is>
      </c>
      <c r="D109" s="52" t="n"/>
      <c r="E109" s="54" t="n"/>
      <c r="F109" s="52" t="n"/>
      <c r="G109" s="55" t="n"/>
      <c r="H109" s="54" t="n"/>
      <c r="I109" s="54" t="n"/>
      <c r="J109" s="54" t="n"/>
      <c r="K109" s="56">
        <f>IF(SUM(U109:AY109)=0,"",SUM(U109:AY109))</f>
        <v/>
      </c>
      <c r="L109" s="57">
        <f>IFERROR(INDEX(U$2:AY$2,MATCH(TRUE,U109:AY109&lt;&gt;"",0)),"")</f>
        <v/>
      </c>
      <c r="M109" s="58">
        <f>IFERROR(LOOKUP(2,1/(U109:AY109&lt;&gt;""),U$2:AY$2),"")</f>
        <v/>
      </c>
      <c r="N109" s="59">
        <f>IF(OR(G109="",M109=""),"",G109-M109)</f>
        <v/>
      </c>
      <c r="O109" s="60" t="n"/>
      <c r="P109" s="61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  <c r="AG109" s="62" t="n"/>
      <c r="AH109" s="62" t="n"/>
      <c r="AI109" s="62" t="n"/>
      <c r="AJ109" s="62" t="n"/>
      <c r="AK109" s="62" t="n"/>
      <c r="AL109" s="62" t="n"/>
      <c r="AM109" s="62" t="n"/>
      <c r="AN109" s="62" t="n"/>
      <c r="AO109" s="62" t="n"/>
      <c r="AP109" s="62" t="n"/>
      <c r="AQ109" s="62" t="n"/>
      <c r="AR109" s="62" t="n"/>
      <c r="AS109" s="62" t="n"/>
      <c r="AT109" s="62" t="n"/>
      <c r="AU109" s="62" t="n"/>
      <c r="AV109" s="62" t="n"/>
      <c r="AW109" s="62" t="n"/>
      <c r="AX109" s="62" t="n"/>
      <c r="AY109" s="62" t="n"/>
    </row>
    <row r="110">
      <c r="A110" s="38">
        <f>IF(D110="","",COUNTA($D$102:D110))</f>
        <v/>
      </c>
      <c r="B110" s="52" t="n"/>
      <c r="C110" s="71" t="inlineStr">
        <is>
          <t>마케팅4팀</t>
        </is>
      </c>
      <c r="D110" s="52" t="n"/>
      <c r="E110" s="54" t="n"/>
      <c r="F110" s="52" t="n"/>
      <c r="G110" s="55" t="n"/>
      <c r="H110" s="54" t="n"/>
      <c r="I110" s="54" t="n"/>
      <c r="J110" s="54" t="n"/>
      <c r="K110" s="56">
        <f>IF(SUM(U110:AY110)=0,"",SUM(U110:AY110))</f>
        <v/>
      </c>
      <c r="L110" s="57">
        <f>IFERROR(INDEX(U$2:AY$2,MATCH(TRUE,U110:AY110&lt;&gt;"",0)),"")</f>
        <v/>
      </c>
      <c r="M110" s="58">
        <f>IFERROR(LOOKUP(2,1/(U110:AY110&lt;&gt;""),U$2:AY$2),"")</f>
        <v/>
      </c>
      <c r="N110" s="59">
        <f>IF(OR(G110="",M110=""),"",G110-M110)</f>
        <v/>
      </c>
      <c r="O110" s="60" t="n"/>
      <c r="P110" s="61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  <c r="AG110" s="62" t="n"/>
      <c r="AH110" s="62" t="n"/>
      <c r="AI110" s="62" t="n"/>
      <c r="AJ110" s="62" t="n"/>
      <c r="AK110" s="62" t="n"/>
      <c r="AL110" s="62" t="n"/>
      <c r="AM110" s="62" t="n"/>
      <c r="AN110" s="62" t="n"/>
      <c r="AO110" s="62" t="n"/>
      <c r="AP110" s="62" t="n"/>
      <c r="AQ110" s="62" t="n"/>
      <c r="AR110" s="62" t="n"/>
      <c r="AS110" s="62" t="n"/>
      <c r="AT110" s="62" t="n"/>
      <c r="AU110" s="62" t="n"/>
      <c r="AV110" s="62" t="n"/>
      <c r="AW110" s="62" t="n"/>
      <c r="AX110" s="62" t="n"/>
      <c r="AY110" s="62" t="n"/>
    </row>
    <row r="111">
      <c r="A111" s="38">
        <f>IF(D111="","",COUNTA($D$102:D111))</f>
        <v/>
      </c>
      <c r="B111" s="52" t="n"/>
      <c r="C111" s="71" t="inlineStr">
        <is>
          <t>마케팅4팀</t>
        </is>
      </c>
      <c r="D111" s="52" t="n"/>
      <c r="E111" s="54" t="n"/>
      <c r="F111" s="52" t="n"/>
      <c r="G111" s="55" t="n"/>
      <c r="H111" s="54" t="n"/>
      <c r="I111" s="54" t="n"/>
      <c r="J111" s="54" t="n"/>
      <c r="K111" s="56">
        <f>IF(SUM(U111:AY111)=0,"",SUM(U111:AY111))</f>
        <v/>
      </c>
      <c r="L111" s="57">
        <f>IFERROR(INDEX(U$2:AY$2,MATCH(TRUE,U111:AY111&lt;&gt;"",0)),"")</f>
        <v/>
      </c>
      <c r="M111" s="58">
        <f>IFERROR(LOOKUP(2,1/(U111:AY111&lt;&gt;""),U$2:AY$2),"")</f>
        <v/>
      </c>
      <c r="N111" s="59">
        <f>IF(OR(G111="",M111=""),"",G111-M111)</f>
        <v/>
      </c>
      <c r="O111" s="60" t="n"/>
      <c r="P111" s="61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  <c r="AG111" s="62" t="n"/>
      <c r="AH111" s="62" t="n"/>
      <c r="AI111" s="62" t="n"/>
      <c r="AJ111" s="62" t="n"/>
      <c r="AK111" s="62" t="n"/>
      <c r="AL111" s="62" t="n"/>
      <c r="AM111" s="62" t="n"/>
      <c r="AN111" s="62" t="n"/>
      <c r="AO111" s="62" t="n"/>
      <c r="AP111" s="62" t="n"/>
      <c r="AQ111" s="62" t="n"/>
      <c r="AR111" s="62" t="n"/>
      <c r="AS111" s="62" t="n"/>
      <c r="AT111" s="62" t="n"/>
      <c r="AU111" s="62" t="n"/>
      <c r="AV111" s="62" t="n"/>
      <c r="AW111" s="62" t="n"/>
      <c r="AX111" s="62" t="n"/>
      <c r="AY111" s="62" t="n"/>
    </row>
    <row r="112">
      <c r="A112" s="38">
        <f>IF(D112="","",COUNTA($D$102:D112))</f>
        <v/>
      </c>
      <c r="B112" s="52" t="n"/>
      <c r="C112" s="71" t="inlineStr">
        <is>
          <t>마케팅4팀</t>
        </is>
      </c>
      <c r="D112" s="52" t="n"/>
      <c r="E112" s="54" t="n"/>
      <c r="F112" s="52" t="n"/>
      <c r="G112" s="55" t="n"/>
      <c r="H112" s="54" t="n"/>
      <c r="I112" s="54" t="n"/>
      <c r="J112" s="54" t="n"/>
      <c r="K112" s="56">
        <f>IF(SUM(U112:AY112)=0,"",SUM(U112:AY112))</f>
        <v/>
      </c>
      <c r="L112" s="57">
        <f>IFERROR(INDEX(U$2:AY$2,MATCH(TRUE,U112:AY112&lt;&gt;"",0)),"")</f>
        <v/>
      </c>
      <c r="M112" s="58">
        <f>IFERROR(LOOKUP(2,1/(U112:AY112&lt;&gt;""),U$2:AY$2),"")</f>
        <v/>
      </c>
      <c r="N112" s="59">
        <f>IF(OR(G112="",M112=""),"",G112-M112)</f>
        <v/>
      </c>
      <c r="O112" s="60" t="n"/>
      <c r="P112" s="61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  <c r="AG112" s="62" t="n"/>
      <c r="AH112" s="62" t="n"/>
      <c r="AI112" s="62" t="n"/>
      <c r="AJ112" s="62" t="n"/>
      <c r="AK112" s="62" t="n"/>
      <c r="AL112" s="62" t="n"/>
      <c r="AM112" s="62" t="n"/>
      <c r="AN112" s="62" t="n"/>
      <c r="AO112" s="62" t="n"/>
      <c r="AP112" s="62" t="n"/>
      <c r="AQ112" s="62" t="n"/>
      <c r="AR112" s="62" t="n"/>
      <c r="AS112" s="62" t="n"/>
      <c r="AT112" s="62" t="n"/>
      <c r="AU112" s="62" t="n"/>
      <c r="AV112" s="62" t="n"/>
      <c r="AW112" s="62" t="n"/>
      <c r="AX112" s="62" t="n"/>
      <c r="AY112" s="62" t="n"/>
    </row>
    <row r="113">
      <c r="A113" s="38">
        <f>IF(D113="","",COUNTA($D$102:D113))</f>
        <v/>
      </c>
      <c r="B113" s="52" t="n"/>
      <c r="C113" s="71" t="inlineStr">
        <is>
          <t>마케팅4팀</t>
        </is>
      </c>
      <c r="D113" s="52" t="n"/>
      <c r="E113" s="54" t="n"/>
      <c r="F113" s="52" t="n"/>
      <c r="G113" s="55" t="n"/>
      <c r="H113" s="54" t="n"/>
      <c r="I113" s="54" t="n"/>
      <c r="J113" s="54" t="n"/>
      <c r="K113" s="56">
        <f>IF(SUM(U113:AY113)=0,"",SUM(U113:AY113))</f>
        <v/>
      </c>
      <c r="L113" s="57">
        <f>IFERROR(INDEX(U$2:AY$2,MATCH(TRUE,U113:AY113&lt;&gt;"",0)),"")</f>
        <v/>
      </c>
      <c r="M113" s="58">
        <f>IFERROR(LOOKUP(2,1/(U113:AY113&lt;&gt;""),U$2:AY$2),"")</f>
        <v/>
      </c>
      <c r="N113" s="59">
        <f>IF(OR(G113="",M113=""),"",G113-M113)</f>
        <v/>
      </c>
      <c r="O113" s="60" t="n"/>
      <c r="P113" s="61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  <c r="AG113" s="62" t="n"/>
      <c r="AH113" s="62" t="n"/>
      <c r="AI113" s="62" t="n"/>
      <c r="AJ113" s="62" t="n"/>
      <c r="AK113" s="62" t="n"/>
      <c r="AL113" s="62" t="n"/>
      <c r="AM113" s="62" t="n"/>
      <c r="AN113" s="62" t="n"/>
      <c r="AO113" s="62" t="n"/>
      <c r="AP113" s="62" t="n"/>
      <c r="AQ113" s="62" t="n"/>
      <c r="AR113" s="62" t="n"/>
      <c r="AS113" s="62" t="n"/>
      <c r="AT113" s="62" t="n"/>
      <c r="AU113" s="62" t="n"/>
      <c r="AV113" s="62" t="n"/>
      <c r="AW113" s="62" t="n"/>
      <c r="AX113" s="62" t="n"/>
      <c r="AY113" s="62" t="n"/>
    </row>
    <row r="114">
      <c r="A114" s="38">
        <f>IF(D114="","",COUNTA($D$102:D114))</f>
        <v/>
      </c>
      <c r="B114" s="52" t="n"/>
      <c r="C114" s="71" t="inlineStr">
        <is>
          <t>마케팅4팀</t>
        </is>
      </c>
      <c r="D114" s="52" t="n"/>
      <c r="E114" s="54" t="n"/>
      <c r="F114" s="52" t="n"/>
      <c r="G114" s="55" t="n"/>
      <c r="H114" s="54" t="n"/>
      <c r="I114" s="54" t="n"/>
      <c r="J114" s="54" t="n"/>
      <c r="K114" s="56">
        <f>IF(SUM(U114:AY114)=0,"",SUM(U114:AY114))</f>
        <v/>
      </c>
      <c r="L114" s="57">
        <f>IFERROR(INDEX(U$2:AY$2,MATCH(TRUE,U114:AY114&lt;&gt;"",0)),"")</f>
        <v/>
      </c>
      <c r="M114" s="58">
        <f>IFERROR(LOOKUP(2,1/(U114:AY114&lt;&gt;""),U$2:AY$2),"")</f>
        <v/>
      </c>
      <c r="N114" s="59">
        <f>IF(OR(G114="",M114=""),"",G114-M114)</f>
        <v/>
      </c>
      <c r="O114" s="60" t="n"/>
      <c r="P114" s="61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  <c r="AG114" s="62" t="n"/>
      <c r="AH114" s="62" t="n"/>
      <c r="AI114" s="62" t="n"/>
      <c r="AJ114" s="62" t="n"/>
      <c r="AK114" s="62" t="n"/>
      <c r="AL114" s="62" t="n"/>
      <c r="AM114" s="62" t="n"/>
      <c r="AN114" s="62" t="n"/>
      <c r="AO114" s="62" t="n"/>
      <c r="AP114" s="62" t="n"/>
      <c r="AQ114" s="62" t="n"/>
      <c r="AR114" s="62" t="n"/>
      <c r="AS114" s="62" t="n"/>
      <c r="AT114" s="62" t="n"/>
      <c r="AU114" s="62" t="n"/>
      <c r="AV114" s="62" t="n"/>
      <c r="AW114" s="62" t="n"/>
      <c r="AX114" s="62" t="n"/>
      <c r="AY114" s="62" t="n"/>
    </row>
    <row r="115">
      <c r="A115" s="38">
        <f>IF(D115="","",COUNTA($D$102:D115))</f>
        <v/>
      </c>
      <c r="B115" s="52" t="n"/>
      <c r="C115" s="71" t="inlineStr">
        <is>
          <t>마케팅4팀</t>
        </is>
      </c>
      <c r="D115" s="52" t="n"/>
      <c r="E115" s="54" t="n"/>
      <c r="F115" s="52" t="n"/>
      <c r="G115" s="55" t="n"/>
      <c r="H115" s="54" t="n"/>
      <c r="I115" s="54" t="n"/>
      <c r="J115" s="54" t="n"/>
      <c r="K115" s="56">
        <f>IF(SUM(U115:AY115)=0,"",SUM(U115:AY115))</f>
        <v/>
      </c>
      <c r="L115" s="57">
        <f>IFERROR(INDEX(U$2:AY$2,MATCH(TRUE,U115:AY115&lt;&gt;"",0)),"")</f>
        <v/>
      </c>
      <c r="M115" s="58">
        <f>IFERROR(LOOKUP(2,1/(U115:AY115&lt;&gt;""),U$2:AY$2),"")</f>
        <v/>
      </c>
      <c r="N115" s="59">
        <f>IF(OR(G115="",M115=""),"",G115-M115)</f>
        <v/>
      </c>
      <c r="O115" s="60" t="n"/>
      <c r="P115" s="61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  <c r="AG115" s="62" t="n"/>
      <c r="AH115" s="62" t="n"/>
      <c r="AI115" s="62" t="n"/>
      <c r="AJ115" s="62" t="n"/>
      <c r="AK115" s="62" t="n"/>
      <c r="AL115" s="62" t="n"/>
      <c r="AM115" s="62" t="n"/>
      <c r="AN115" s="62" t="n"/>
      <c r="AO115" s="62" t="n"/>
      <c r="AP115" s="62" t="n"/>
      <c r="AQ115" s="62" t="n"/>
      <c r="AR115" s="62" t="n"/>
      <c r="AS115" s="62" t="n"/>
      <c r="AT115" s="62" t="n"/>
      <c r="AU115" s="62" t="n"/>
      <c r="AV115" s="62" t="n"/>
      <c r="AW115" s="62" t="n"/>
      <c r="AX115" s="62" t="n"/>
      <c r="AY115" s="62" t="n"/>
    </row>
    <row r="116">
      <c r="A116" s="38">
        <f>IF(D116="","",COUNTA($D$102:D116))</f>
        <v/>
      </c>
      <c r="B116" s="52" t="n"/>
      <c r="C116" s="71" t="inlineStr">
        <is>
          <t>마케팅4팀</t>
        </is>
      </c>
      <c r="D116" s="52" t="n"/>
      <c r="E116" s="54" t="n"/>
      <c r="F116" s="52" t="n"/>
      <c r="G116" s="55" t="n"/>
      <c r="H116" s="54" t="n"/>
      <c r="I116" s="54" t="n"/>
      <c r="J116" s="54" t="n"/>
      <c r="K116" s="56">
        <f>IF(SUM(U116:AY116)=0,"",SUM(U116:AY116))</f>
        <v/>
      </c>
      <c r="L116" s="57">
        <f>IFERROR(INDEX(U$2:AY$2,MATCH(TRUE,U116:AY116&lt;&gt;"",0)),"")</f>
        <v/>
      </c>
      <c r="M116" s="58">
        <f>IFERROR(LOOKUP(2,1/(U116:AY116&lt;&gt;""),U$2:AY$2),"")</f>
        <v/>
      </c>
      <c r="N116" s="59">
        <f>IF(OR(G116="",M116=""),"",G116-M116)</f>
        <v/>
      </c>
      <c r="O116" s="60" t="n"/>
      <c r="P116" s="61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  <c r="AG116" s="62" t="n"/>
      <c r="AH116" s="62" t="n"/>
      <c r="AI116" s="62" t="n"/>
      <c r="AJ116" s="62" t="n"/>
      <c r="AK116" s="62" t="n"/>
      <c r="AL116" s="62" t="n"/>
      <c r="AM116" s="62" t="n"/>
      <c r="AN116" s="62" t="n"/>
      <c r="AO116" s="62" t="n"/>
      <c r="AP116" s="62" t="n"/>
      <c r="AQ116" s="62" t="n"/>
      <c r="AR116" s="62" t="n"/>
      <c r="AS116" s="62" t="n"/>
      <c r="AT116" s="62" t="n"/>
      <c r="AU116" s="62" t="n"/>
      <c r="AV116" s="62" t="n"/>
      <c r="AW116" s="62" t="n"/>
      <c r="AX116" s="62" t="n"/>
      <c r="AY116" s="62" t="n"/>
    </row>
    <row r="117">
      <c r="A117" s="38">
        <f>IF(D117="","",COUNTA($D$102:D117))</f>
        <v/>
      </c>
      <c r="B117" s="52" t="n"/>
      <c r="C117" s="71" t="inlineStr">
        <is>
          <t>마케팅4팀</t>
        </is>
      </c>
      <c r="D117" s="52" t="n"/>
      <c r="E117" s="54" t="n"/>
      <c r="F117" s="52" t="n"/>
      <c r="G117" s="55" t="n"/>
      <c r="H117" s="54" t="n"/>
      <c r="I117" s="54" t="n"/>
      <c r="J117" s="54" t="n"/>
      <c r="K117" s="56">
        <f>IF(SUM(U117:AY117)=0,"",SUM(U117:AY117))</f>
        <v/>
      </c>
      <c r="L117" s="57">
        <f>IFERROR(INDEX(U$2:AY$2,MATCH(TRUE,U117:AY117&lt;&gt;"",0)),"")</f>
        <v/>
      </c>
      <c r="M117" s="58">
        <f>IFERROR(LOOKUP(2,1/(U117:AY117&lt;&gt;""),U$2:AY$2),"")</f>
        <v/>
      </c>
      <c r="N117" s="59">
        <f>IF(OR(G117="",M117=""),"",G117-M117)</f>
        <v/>
      </c>
      <c r="O117" s="60" t="n"/>
      <c r="P117" s="61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  <c r="AG117" s="62" t="n"/>
      <c r="AH117" s="62" t="n"/>
      <c r="AI117" s="62" t="n"/>
      <c r="AJ117" s="62" t="n"/>
      <c r="AK117" s="62" t="n"/>
      <c r="AL117" s="62" t="n"/>
      <c r="AM117" s="62" t="n"/>
      <c r="AN117" s="62" t="n"/>
      <c r="AO117" s="62" t="n"/>
      <c r="AP117" s="62" t="n"/>
      <c r="AQ117" s="62" t="n"/>
      <c r="AR117" s="62" t="n"/>
      <c r="AS117" s="62" t="n"/>
      <c r="AT117" s="62" t="n"/>
      <c r="AU117" s="62" t="n"/>
      <c r="AV117" s="62" t="n"/>
      <c r="AW117" s="62" t="n"/>
      <c r="AX117" s="62" t="n"/>
      <c r="AY117" s="62" t="n"/>
    </row>
    <row r="118">
      <c r="A118" s="38">
        <f>IF(D118="","",COUNTA($D$102:D118))</f>
        <v/>
      </c>
      <c r="B118" s="52" t="n"/>
      <c r="C118" s="71" t="inlineStr">
        <is>
          <t>마케팅4팀</t>
        </is>
      </c>
      <c r="D118" s="52" t="n"/>
      <c r="E118" s="54" t="n"/>
      <c r="F118" s="52" t="n"/>
      <c r="G118" s="55" t="n"/>
      <c r="H118" s="54" t="n"/>
      <c r="I118" s="54" t="n"/>
      <c r="J118" s="54" t="n"/>
      <c r="K118" s="56">
        <f>IF(SUM(U118:AY118)=0,"",SUM(U118:AY118))</f>
        <v/>
      </c>
      <c r="L118" s="57">
        <f>IFERROR(INDEX(U$2:AY$2,MATCH(TRUE,U118:AY118&lt;&gt;"",0)),"")</f>
        <v/>
      </c>
      <c r="M118" s="58">
        <f>IFERROR(LOOKUP(2,1/(U118:AY118&lt;&gt;""),U$2:AY$2),"")</f>
        <v/>
      </c>
      <c r="N118" s="59">
        <f>IF(OR(G118="",M118=""),"",G118-M118)</f>
        <v/>
      </c>
      <c r="O118" s="60" t="n"/>
      <c r="P118" s="61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  <c r="AG118" s="62" t="n"/>
      <c r="AH118" s="62" t="n"/>
      <c r="AI118" s="62" t="n"/>
      <c r="AJ118" s="62" t="n"/>
      <c r="AK118" s="62" t="n"/>
      <c r="AL118" s="62" t="n"/>
      <c r="AM118" s="62" t="n"/>
      <c r="AN118" s="62" t="n"/>
      <c r="AO118" s="62" t="n"/>
      <c r="AP118" s="62" t="n"/>
      <c r="AQ118" s="62" t="n"/>
      <c r="AR118" s="62" t="n"/>
      <c r="AS118" s="62" t="n"/>
      <c r="AT118" s="62" t="n"/>
      <c r="AU118" s="62" t="n"/>
      <c r="AV118" s="62" t="n"/>
      <c r="AW118" s="62" t="n"/>
      <c r="AX118" s="62" t="n"/>
      <c r="AY118" s="62" t="n"/>
    </row>
    <row r="119">
      <c r="A119" s="38">
        <f>IF(D119="","",COUNTA($D$102:D119))</f>
        <v/>
      </c>
      <c r="B119" s="52" t="n"/>
      <c r="C119" s="71" t="inlineStr">
        <is>
          <t>마케팅4팀</t>
        </is>
      </c>
      <c r="D119" s="52" t="n"/>
      <c r="E119" s="54" t="n"/>
      <c r="F119" s="52" t="n"/>
      <c r="G119" s="55" t="n"/>
      <c r="H119" s="54" t="n"/>
      <c r="I119" s="54" t="n"/>
      <c r="J119" s="54" t="n"/>
      <c r="K119" s="56">
        <f>IF(SUM(U119:AY119)=0,"",SUM(U119:AY119))</f>
        <v/>
      </c>
      <c r="L119" s="57">
        <f>IFERROR(INDEX(U$2:AY$2,MATCH(TRUE,U119:AY119&lt;&gt;"",0)),"")</f>
        <v/>
      </c>
      <c r="M119" s="58">
        <f>IFERROR(LOOKUP(2,1/(U119:AY119&lt;&gt;""),U$2:AY$2),"")</f>
        <v/>
      </c>
      <c r="N119" s="59">
        <f>IF(OR(G119="",M119=""),"",G119-M119)</f>
        <v/>
      </c>
      <c r="O119" s="60" t="n"/>
      <c r="P119" s="61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  <c r="AG119" s="62" t="n"/>
      <c r="AH119" s="62" t="n"/>
      <c r="AI119" s="62" t="n"/>
      <c r="AJ119" s="62" t="n"/>
      <c r="AK119" s="62" t="n"/>
      <c r="AL119" s="62" t="n"/>
      <c r="AM119" s="62" t="n"/>
      <c r="AN119" s="62" t="n"/>
      <c r="AO119" s="62" t="n"/>
      <c r="AP119" s="62" t="n"/>
      <c r="AQ119" s="62" t="n"/>
      <c r="AR119" s="62" t="n"/>
      <c r="AS119" s="62" t="n"/>
      <c r="AT119" s="62" t="n"/>
      <c r="AU119" s="62" t="n"/>
      <c r="AV119" s="62" t="n"/>
      <c r="AW119" s="62" t="n"/>
      <c r="AX119" s="62" t="n"/>
      <c r="AY119" s="62" t="n"/>
    </row>
    <row r="120">
      <c r="A120" s="38">
        <f>IF(D120="","",COUNTA($D$102:D120))</f>
        <v/>
      </c>
      <c r="B120" s="52" t="n"/>
      <c r="C120" s="71" t="inlineStr">
        <is>
          <t>마케팅4팀</t>
        </is>
      </c>
      <c r="D120" s="52" t="n"/>
      <c r="E120" s="54" t="n"/>
      <c r="F120" s="52" t="n"/>
      <c r="G120" s="55" t="n"/>
      <c r="H120" s="54" t="n"/>
      <c r="I120" s="54" t="n"/>
      <c r="J120" s="54" t="n"/>
      <c r="K120" s="56">
        <f>IF(SUM(U120:AY120)=0,"",SUM(U120:AY120))</f>
        <v/>
      </c>
      <c r="L120" s="57">
        <f>IFERROR(INDEX(U$2:AY$2,MATCH(TRUE,U120:AY120&lt;&gt;"",0)),"")</f>
        <v/>
      </c>
      <c r="M120" s="58">
        <f>IFERROR(LOOKUP(2,1/(U120:AY120&lt;&gt;""),U$2:AY$2),"")</f>
        <v/>
      </c>
      <c r="N120" s="59">
        <f>IF(OR(G120="",M120=""),"",G120-M120)</f>
        <v/>
      </c>
      <c r="O120" s="60" t="n"/>
      <c r="P120" s="61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  <c r="AG120" s="62" t="n"/>
      <c r="AH120" s="62" t="n"/>
      <c r="AI120" s="62" t="n"/>
      <c r="AJ120" s="62" t="n"/>
      <c r="AK120" s="62" t="n"/>
      <c r="AL120" s="62" t="n"/>
      <c r="AM120" s="62" t="n"/>
      <c r="AN120" s="62" t="n"/>
      <c r="AO120" s="62" t="n"/>
      <c r="AP120" s="62" t="n"/>
      <c r="AQ120" s="62" t="n"/>
      <c r="AR120" s="62" t="n"/>
      <c r="AS120" s="62" t="n"/>
      <c r="AT120" s="62" t="n"/>
      <c r="AU120" s="62" t="n"/>
      <c r="AV120" s="62" t="n"/>
      <c r="AW120" s="62" t="n"/>
      <c r="AX120" s="62" t="n"/>
      <c r="AY120" s="62" t="n"/>
    </row>
    <row r="121">
      <c r="A121" s="38">
        <f>IF(D121="","",COUNTA($D$102:D121))</f>
        <v/>
      </c>
      <c r="B121" s="52" t="n"/>
      <c r="C121" s="71" t="inlineStr">
        <is>
          <t>마케팅4팀</t>
        </is>
      </c>
      <c r="D121" s="52" t="n"/>
      <c r="E121" s="54" t="n"/>
      <c r="F121" s="52" t="n"/>
      <c r="G121" s="55" t="n"/>
      <c r="H121" s="54" t="n"/>
      <c r="I121" s="54" t="n"/>
      <c r="J121" s="54" t="n"/>
      <c r="K121" s="56">
        <f>IF(SUM(U121:AY121)=0,"",SUM(U121:AY121))</f>
        <v/>
      </c>
      <c r="L121" s="57">
        <f>IFERROR(INDEX(U$2:AY$2,MATCH(TRUE,U121:AY121&lt;&gt;"",0)),"")</f>
        <v/>
      </c>
      <c r="M121" s="58">
        <f>IFERROR(LOOKUP(2,1/(U121:AY121&lt;&gt;""),U$2:AY$2),"")</f>
        <v/>
      </c>
      <c r="N121" s="59">
        <f>IF(OR(G121="",M121=""),"",G121-M121)</f>
        <v/>
      </c>
      <c r="O121" s="60" t="n"/>
      <c r="P121" s="61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  <c r="AG121" s="62" t="n"/>
      <c r="AH121" s="62" t="n"/>
      <c r="AI121" s="62" t="n"/>
      <c r="AJ121" s="62" t="n"/>
      <c r="AK121" s="62" t="n"/>
      <c r="AL121" s="62" t="n"/>
      <c r="AM121" s="62" t="n"/>
      <c r="AN121" s="62" t="n"/>
      <c r="AO121" s="62" t="n"/>
      <c r="AP121" s="62" t="n"/>
      <c r="AQ121" s="62" t="n"/>
      <c r="AR121" s="62" t="n"/>
      <c r="AS121" s="62" t="n"/>
      <c r="AT121" s="62" t="n"/>
      <c r="AU121" s="62" t="n"/>
      <c r="AV121" s="62" t="n"/>
      <c r="AW121" s="62" t="n"/>
      <c r="AX121" s="62" t="n"/>
      <c r="AY121" s="62" t="n"/>
    </row>
    <row r="122">
      <c r="A122" s="38">
        <f>IF(D122="","",COUNTA($D$102:D122))</f>
        <v/>
      </c>
      <c r="B122" s="52" t="n"/>
      <c r="C122" s="71" t="inlineStr">
        <is>
          <t>마케팅4팀</t>
        </is>
      </c>
      <c r="D122" s="52" t="n"/>
      <c r="E122" s="54" t="n"/>
      <c r="F122" s="52" t="n"/>
      <c r="G122" s="55" t="n"/>
      <c r="H122" s="54" t="n"/>
      <c r="I122" s="54" t="n"/>
      <c r="J122" s="54" t="n"/>
      <c r="K122" s="56">
        <f>IF(SUM(U122:AY122)=0,"",SUM(U122:AY122))</f>
        <v/>
      </c>
      <c r="L122" s="57">
        <f>IFERROR(INDEX(U$2:AY$2,MATCH(TRUE,U122:AY122&lt;&gt;"",0)),"")</f>
        <v/>
      </c>
      <c r="M122" s="58">
        <f>IFERROR(LOOKUP(2,1/(U122:AY122&lt;&gt;""),U$2:AY$2),"")</f>
        <v/>
      </c>
      <c r="N122" s="59">
        <f>IF(OR(G122="",M122=""),"",G122-M122)</f>
        <v/>
      </c>
      <c r="O122" s="60" t="n"/>
      <c r="P122" s="61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  <c r="AG122" s="62" t="n"/>
      <c r="AH122" s="62" t="n"/>
      <c r="AI122" s="62" t="n"/>
      <c r="AJ122" s="62" t="n"/>
      <c r="AK122" s="62" t="n"/>
      <c r="AL122" s="62" t="n"/>
      <c r="AM122" s="62" t="n"/>
      <c r="AN122" s="62" t="n"/>
      <c r="AO122" s="62" t="n"/>
      <c r="AP122" s="62" t="n"/>
      <c r="AQ122" s="62" t="n"/>
      <c r="AR122" s="62" t="n"/>
      <c r="AS122" s="62" t="n"/>
      <c r="AT122" s="62" t="n"/>
      <c r="AU122" s="62" t="n"/>
      <c r="AV122" s="62" t="n"/>
      <c r="AW122" s="62" t="n"/>
      <c r="AX122" s="62" t="n"/>
      <c r="AY122" s="62" t="n"/>
    </row>
    <row r="123">
      <c r="A123" s="38">
        <f>IF(D123="","",COUNTA($D$102:D123))</f>
        <v/>
      </c>
      <c r="B123" s="52" t="n"/>
      <c r="C123" s="71" t="inlineStr">
        <is>
          <t>마케팅4팀</t>
        </is>
      </c>
      <c r="D123" s="52" t="n"/>
      <c r="E123" s="54" t="n"/>
      <c r="F123" s="52" t="n"/>
      <c r="G123" s="55" t="n"/>
      <c r="H123" s="54" t="n"/>
      <c r="I123" s="54" t="n"/>
      <c r="J123" s="54" t="n"/>
      <c r="K123" s="56">
        <f>IF(SUM(U123:AY123)=0,"",SUM(U123:AY123))</f>
        <v/>
      </c>
      <c r="L123" s="57">
        <f>IFERROR(INDEX(U$2:AY$2,MATCH(TRUE,U123:AY123&lt;&gt;"",0)),"")</f>
        <v/>
      </c>
      <c r="M123" s="58">
        <f>IFERROR(LOOKUP(2,1/(U123:AY123&lt;&gt;""),U$2:AY$2),"")</f>
        <v/>
      </c>
      <c r="N123" s="59">
        <f>IF(OR(G123="",M123=""),"",G123-M123)</f>
        <v/>
      </c>
      <c r="O123" s="60" t="n"/>
      <c r="P123" s="61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  <c r="AG123" s="62" t="n"/>
      <c r="AH123" s="62" t="n"/>
      <c r="AI123" s="62" t="n"/>
      <c r="AJ123" s="62" t="n"/>
      <c r="AK123" s="62" t="n"/>
      <c r="AL123" s="62" t="n"/>
      <c r="AM123" s="62" t="n"/>
      <c r="AN123" s="62" t="n"/>
      <c r="AO123" s="62" t="n"/>
      <c r="AP123" s="62" t="n"/>
      <c r="AQ123" s="62" t="n"/>
      <c r="AR123" s="62" t="n"/>
      <c r="AS123" s="62" t="n"/>
      <c r="AT123" s="62" t="n"/>
      <c r="AU123" s="62" t="n"/>
      <c r="AV123" s="62" t="n"/>
      <c r="AW123" s="62" t="n"/>
      <c r="AX123" s="62" t="n"/>
      <c r="AY123" s="62" t="n"/>
    </row>
    <row r="124">
      <c r="A124" s="38">
        <f>IF(D124="","",COUNTA($D$102:D124))</f>
        <v/>
      </c>
      <c r="B124" s="52" t="n"/>
      <c r="C124" s="71" t="inlineStr">
        <is>
          <t>마케팅4팀</t>
        </is>
      </c>
      <c r="D124" s="52" t="n"/>
      <c r="E124" s="54" t="n"/>
      <c r="F124" s="52" t="n"/>
      <c r="G124" s="55" t="n"/>
      <c r="H124" s="54" t="n"/>
      <c r="I124" s="54" t="n"/>
      <c r="J124" s="54" t="n"/>
      <c r="K124" s="56">
        <f>IF(SUM(U124:AY124)=0,"",SUM(U124:AY124))</f>
        <v/>
      </c>
      <c r="L124" s="57">
        <f>IFERROR(INDEX(U$2:AY$2,MATCH(TRUE,U124:AY124&lt;&gt;"",0)),"")</f>
        <v/>
      </c>
      <c r="M124" s="58">
        <f>IFERROR(LOOKUP(2,1/(U124:AY124&lt;&gt;""),U$2:AY$2),"")</f>
        <v/>
      </c>
      <c r="N124" s="59">
        <f>IF(OR(G124="",M124=""),"",G124-M124)</f>
        <v/>
      </c>
      <c r="O124" s="60" t="n"/>
      <c r="P124" s="61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  <c r="AG124" s="62" t="n"/>
      <c r="AH124" s="62" t="n"/>
      <c r="AI124" s="62" t="n"/>
      <c r="AJ124" s="62" t="n"/>
      <c r="AK124" s="62" t="n"/>
      <c r="AL124" s="62" t="n"/>
      <c r="AM124" s="62" t="n"/>
      <c r="AN124" s="62" t="n"/>
      <c r="AO124" s="62" t="n"/>
      <c r="AP124" s="62" t="n"/>
      <c r="AQ124" s="62" t="n"/>
      <c r="AR124" s="62" t="n"/>
      <c r="AS124" s="62" t="n"/>
      <c r="AT124" s="62" t="n"/>
      <c r="AU124" s="62" t="n"/>
      <c r="AV124" s="62" t="n"/>
      <c r="AW124" s="62" t="n"/>
      <c r="AX124" s="62" t="n"/>
      <c r="AY124" s="62" t="n"/>
    </row>
    <row r="125">
      <c r="A125" s="38">
        <f>IF(D125="","",COUNTA($D$102:D125))</f>
        <v/>
      </c>
      <c r="B125" s="52" t="n"/>
      <c r="C125" s="71" t="inlineStr">
        <is>
          <t>마케팅4팀</t>
        </is>
      </c>
      <c r="D125" s="52" t="n"/>
      <c r="E125" s="54" t="n"/>
      <c r="F125" s="52" t="n"/>
      <c r="G125" s="55" t="n"/>
      <c r="H125" s="54" t="n"/>
      <c r="I125" s="54" t="n"/>
      <c r="J125" s="54" t="n"/>
      <c r="K125" s="56">
        <f>IF(SUM(U125:AY125)=0,"",SUM(U125:AY125))</f>
        <v/>
      </c>
      <c r="L125" s="57">
        <f>IFERROR(INDEX(U$2:AY$2,MATCH(TRUE,U125:AY125&lt;&gt;"",0)),"")</f>
        <v/>
      </c>
      <c r="M125" s="58">
        <f>IFERROR(LOOKUP(2,1/(U125:AY125&lt;&gt;""),U$2:AY$2),"")</f>
        <v/>
      </c>
      <c r="N125" s="59">
        <f>IF(OR(G125="",M125=""),"",G125-M125)</f>
        <v/>
      </c>
      <c r="O125" s="60" t="n"/>
      <c r="P125" s="61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  <c r="AG125" s="62" t="n"/>
      <c r="AH125" s="62" t="n"/>
      <c r="AI125" s="62" t="n"/>
      <c r="AJ125" s="62" t="n"/>
      <c r="AK125" s="62" t="n"/>
      <c r="AL125" s="62" t="n"/>
      <c r="AM125" s="62" t="n"/>
      <c r="AN125" s="62" t="n"/>
      <c r="AO125" s="62" t="n"/>
      <c r="AP125" s="62" t="n"/>
      <c r="AQ125" s="62" t="n"/>
      <c r="AR125" s="62" t="n"/>
      <c r="AS125" s="62" t="n"/>
      <c r="AT125" s="62" t="n"/>
      <c r="AU125" s="62" t="n"/>
      <c r="AV125" s="62" t="n"/>
      <c r="AW125" s="62" t="n"/>
      <c r="AX125" s="62" t="n"/>
      <c r="AY125" s="62" t="n"/>
    </row>
    <row r="126">
      <c r="A126" s="38">
        <f>IF(D126="","",COUNTA($D$102:D126))</f>
        <v/>
      </c>
      <c r="B126" s="52" t="n"/>
      <c r="C126" s="71" t="inlineStr">
        <is>
          <t>마케팅4팀</t>
        </is>
      </c>
      <c r="D126" s="52" t="n"/>
      <c r="E126" s="54" t="n"/>
      <c r="F126" s="52" t="n"/>
      <c r="G126" s="55" t="n"/>
      <c r="H126" s="54" t="n"/>
      <c r="I126" s="54" t="n"/>
      <c r="J126" s="54" t="n"/>
      <c r="K126" s="56">
        <f>IF(SUM(U126:AY126)=0,"",SUM(U126:AY126))</f>
        <v/>
      </c>
      <c r="L126" s="57">
        <f>IFERROR(INDEX(U$2:AY$2,MATCH(TRUE,U126:AY126&lt;&gt;"",0)),"")</f>
        <v/>
      </c>
      <c r="M126" s="58">
        <f>IFERROR(LOOKUP(2,1/(U126:AY126&lt;&gt;""),U$2:AY$2),"")</f>
        <v/>
      </c>
      <c r="N126" s="59">
        <f>IF(OR(G126="",M126=""),"",G126-M126)</f>
        <v/>
      </c>
      <c r="O126" s="60" t="n"/>
      <c r="P126" s="61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  <c r="AG126" s="62" t="n"/>
      <c r="AH126" s="62" t="n"/>
      <c r="AI126" s="62" t="n"/>
      <c r="AJ126" s="62" t="n"/>
      <c r="AK126" s="62" t="n"/>
      <c r="AL126" s="62" t="n"/>
      <c r="AM126" s="62" t="n"/>
      <c r="AN126" s="62" t="n"/>
      <c r="AO126" s="62" t="n"/>
      <c r="AP126" s="62" t="n"/>
      <c r="AQ126" s="62" t="n"/>
      <c r="AR126" s="62" t="n"/>
      <c r="AS126" s="62" t="n"/>
      <c r="AT126" s="62" t="n"/>
      <c r="AU126" s="62" t="n"/>
      <c r="AV126" s="62" t="n"/>
      <c r="AW126" s="62" t="n"/>
      <c r="AX126" s="62" t="n"/>
      <c r="AY126" s="62" t="n"/>
    </row>
    <row r="127">
      <c r="A127" s="38">
        <f>IF(D127="","",COUNTA($D$102:D127))</f>
        <v/>
      </c>
      <c r="B127" s="52" t="n"/>
      <c r="C127" s="71" t="inlineStr">
        <is>
          <t>마케팅4팀</t>
        </is>
      </c>
      <c r="D127" s="52" t="n"/>
      <c r="E127" s="54" t="n"/>
      <c r="F127" s="52" t="n"/>
      <c r="G127" s="55" t="n"/>
      <c r="H127" s="54" t="n"/>
      <c r="I127" s="54" t="n"/>
      <c r="J127" s="54" t="n"/>
      <c r="K127" s="56">
        <f>IF(SUM(U127:AY127)=0,"",SUM(U127:AY127))</f>
        <v/>
      </c>
      <c r="L127" s="57">
        <f>IFERROR(INDEX(U$2:AY$2,MATCH(TRUE,U127:AY127&lt;&gt;"",0)),"")</f>
        <v/>
      </c>
      <c r="M127" s="58">
        <f>IFERROR(LOOKUP(2,1/(U127:AY127&lt;&gt;""),U$2:AY$2),"")</f>
        <v/>
      </c>
      <c r="N127" s="59">
        <f>IF(OR(G127="",M127=""),"",G127-M127)</f>
        <v/>
      </c>
      <c r="O127" s="60" t="n"/>
      <c r="P127" s="61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  <c r="AG127" s="62" t="n"/>
      <c r="AH127" s="62" t="n"/>
      <c r="AI127" s="62" t="n"/>
      <c r="AJ127" s="62" t="n"/>
      <c r="AK127" s="62" t="n"/>
      <c r="AL127" s="62" t="n"/>
      <c r="AM127" s="62" t="n"/>
      <c r="AN127" s="62" t="n"/>
      <c r="AO127" s="62" t="n"/>
      <c r="AP127" s="62" t="n"/>
      <c r="AQ127" s="62" t="n"/>
      <c r="AR127" s="62" t="n"/>
      <c r="AS127" s="62" t="n"/>
      <c r="AT127" s="62" t="n"/>
      <c r="AU127" s="62" t="n"/>
      <c r="AV127" s="62" t="n"/>
      <c r="AW127" s="62" t="n"/>
      <c r="AX127" s="62" t="n"/>
      <c r="AY127" s="62" t="n"/>
    </row>
    <row r="128">
      <c r="A128" s="38">
        <f>IF(D128="","",COUNTA($D$102:D128))</f>
        <v/>
      </c>
      <c r="B128" s="52" t="n"/>
      <c r="C128" s="71" t="inlineStr">
        <is>
          <t>마케팅4팀</t>
        </is>
      </c>
      <c r="D128" s="52" t="n"/>
      <c r="E128" s="54" t="n"/>
      <c r="F128" s="52" t="n"/>
      <c r="G128" s="55" t="n"/>
      <c r="H128" s="54" t="n"/>
      <c r="I128" s="54" t="n"/>
      <c r="J128" s="54" t="n"/>
      <c r="K128" s="56">
        <f>IF(SUM(U128:AY128)=0,"",SUM(U128:AY128))</f>
        <v/>
      </c>
      <c r="L128" s="57">
        <f>IFERROR(INDEX(U$2:AY$2,MATCH(TRUE,U128:AY128&lt;&gt;"",0)),"")</f>
        <v/>
      </c>
      <c r="M128" s="58">
        <f>IFERROR(LOOKUP(2,1/(U128:AY128&lt;&gt;""),U$2:AY$2),"")</f>
        <v/>
      </c>
      <c r="N128" s="59">
        <f>IF(OR(G128="",M128=""),"",G128-M128)</f>
        <v/>
      </c>
      <c r="O128" s="60" t="n"/>
      <c r="P128" s="61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  <c r="AG128" s="62" t="n"/>
      <c r="AH128" s="62" t="n"/>
      <c r="AI128" s="62" t="n"/>
      <c r="AJ128" s="62" t="n"/>
      <c r="AK128" s="62" t="n"/>
      <c r="AL128" s="62" t="n"/>
      <c r="AM128" s="62" t="n"/>
      <c r="AN128" s="62" t="n"/>
      <c r="AO128" s="62" t="n"/>
      <c r="AP128" s="62" t="n"/>
      <c r="AQ128" s="62" t="n"/>
      <c r="AR128" s="62" t="n"/>
      <c r="AS128" s="62" t="n"/>
      <c r="AT128" s="62" t="n"/>
      <c r="AU128" s="62" t="n"/>
      <c r="AV128" s="62" t="n"/>
      <c r="AW128" s="62" t="n"/>
      <c r="AX128" s="62" t="n"/>
      <c r="AY128" s="62" t="n"/>
    </row>
    <row r="129">
      <c r="A129" s="38">
        <f>IF(D129="","",COUNTA($D$102:D129))</f>
        <v/>
      </c>
      <c r="B129" s="52" t="n"/>
      <c r="C129" s="71" t="inlineStr">
        <is>
          <t>마케팅4팀</t>
        </is>
      </c>
      <c r="D129" s="52" t="n"/>
      <c r="E129" s="54" t="n"/>
      <c r="F129" s="52" t="n"/>
      <c r="G129" s="55" t="n"/>
      <c r="H129" s="54" t="n"/>
      <c r="I129" s="54" t="n"/>
      <c r="J129" s="54" t="n"/>
      <c r="K129" s="56">
        <f>IF(SUM(U129:AY129)=0,"",SUM(U129:AY129))</f>
        <v/>
      </c>
      <c r="L129" s="57">
        <f>IFERROR(INDEX(U$2:AY$2,MATCH(TRUE,U129:AY129&lt;&gt;"",0)),"")</f>
        <v/>
      </c>
      <c r="M129" s="58">
        <f>IFERROR(LOOKUP(2,1/(U129:AY129&lt;&gt;""),U$2:AY$2),"")</f>
        <v/>
      </c>
      <c r="N129" s="59">
        <f>IF(OR(G129="",M129=""),"",G129-M129)</f>
        <v/>
      </c>
      <c r="O129" s="60" t="n"/>
      <c r="P129" s="61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  <c r="AG129" s="62" t="n"/>
      <c r="AH129" s="62" t="n"/>
      <c r="AI129" s="62" t="n"/>
      <c r="AJ129" s="62" t="n"/>
      <c r="AK129" s="62" t="n"/>
      <c r="AL129" s="62" t="n"/>
      <c r="AM129" s="62" t="n"/>
      <c r="AN129" s="62" t="n"/>
      <c r="AO129" s="62" t="n"/>
      <c r="AP129" s="62" t="n"/>
      <c r="AQ129" s="62" t="n"/>
      <c r="AR129" s="62" t="n"/>
      <c r="AS129" s="62" t="n"/>
      <c r="AT129" s="62" t="n"/>
      <c r="AU129" s="62" t="n"/>
      <c r="AV129" s="62" t="n"/>
      <c r="AW129" s="62" t="n"/>
      <c r="AX129" s="62" t="n"/>
      <c r="AY129" s="62" t="n"/>
    </row>
    <row r="130">
      <c r="A130" s="38">
        <f>IF(D130="","",COUNTA($D$102:D130))</f>
        <v/>
      </c>
      <c r="B130" s="52" t="n"/>
      <c r="C130" s="71" t="inlineStr">
        <is>
          <t>마케팅4팀</t>
        </is>
      </c>
      <c r="D130" s="52" t="n"/>
      <c r="E130" s="54" t="n"/>
      <c r="F130" s="52" t="n"/>
      <c r="G130" s="55" t="n"/>
      <c r="H130" s="54" t="n"/>
      <c r="I130" s="54" t="n"/>
      <c r="J130" s="54" t="n"/>
      <c r="K130" s="56">
        <f>IF(SUM(U130:AY130)=0,"",SUM(U130:AY130))</f>
        <v/>
      </c>
      <c r="L130" s="57">
        <f>IFERROR(INDEX(U$2:AY$2,MATCH(TRUE,U130:AY130&lt;&gt;"",0)),"")</f>
        <v/>
      </c>
      <c r="M130" s="58">
        <f>IFERROR(LOOKUP(2,1/(U130:AY130&lt;&gt;""),U$2:AY$2),"")</f>
        <v/>
      </c>
      <c r="N130" s="59">
        <f>IF(OR(G130="",M130=""),"",G130-M130)</f>
        <v/>
      </c>
      <c r="O130" s="60" t="n"/>
      <c r="P130" s="61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  <c r="AG130" s="62" t="n"/>
      <c r="AH130" s="62" t="n"/>
      <c r="AI130" s="62" t="n"/>
      <c r="AJ130" s="62" t="n"/>
      <c r="AK130" s="62" t="n"/>
      <c r="AL130" s="62" t="n"/>
      <c r="AM130" s="62" t="n"/>
      <c r="AN130" s="62" t="n"/>
      <c r="AO130" s="62" t="n"/>
      <c r="AP130" s="62" t="n"/>
      <c r="AQ130" s="62" t="n"/>
      <c r="AR130" s="62" t="n"/>
      <c r="AS130" s="62" t="n"/>
      <c r="AT130" s="62" t="n"/>
      <c r="AU130" s="62" t="n"/>
      <c r="AV130" s="62" t="n"/>
      <c r="AW130" s="62" t="n"/>
      <c r="AX130" s="62" t="n"/>
      <c r="AY130" s="62" t="n"/>
    </row>
    <row r="131">
      <c r="A131" s="38">
        <f>IF(D131="","",COUNTA($D$102:D131))</f>
        <v/>
      </c>
      <c r="B131" s="52" t="n"/>
      <c r="C131" s="71" t="inlineStr">
        <is>
          <t>마케팅4팀</t>
        </is>
      </c>
      <c r="D131" s="52" t="n"/>
      <c r="E131" s="54" t="n"/>
      <c r="F131" s="52" t="n"/>
      <c r="G131" s="55" t="n"/>
      <c r="H131" s="54" t="n"/>
      <c r="I131" s="54" t="n"/>
      <c r="J131" s="54" t="n"/>
      <c r="K131" s="56">
        <f>IF(SUM(U131:AY131)=0,"",SUM(U131:AY131))</f>
        <v/>
      </c>
      <c r="L131" s="57">
        <f>IFERROR(INDEX(U$2:AY$2,MATCH(TRUE,U131:AY131&lt;&gt;"",0)),"")</f>
        <v/>
      </c>
      <c r="M131" s="58">
        <f>IFERROR(LOOKUP(2,1/(U131:AY131&lt;&gt;""),U$2:AY$2),"")</f>
        <v/>
      </c>
      <c r="N131" s="59">
        <f>IF(OR(G131="",M131=""),"",G131-M131)</f>
        <v/>
      </c>
      <c r="O131" s="60" t="n"/>
      <c r="P131" s="61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  <c r="AG131" s="62" t="n"/>
      <c r="AH131" s="62" t="n"/>
      <c r="AI131" s="62" t="n"/>
      <c r="AJ131" s="62" t="n"/>
      <c r="AK131" s="62" t="n"/>
      <c r="AL131" s="62" t="n"/>
      <c r="AM131" s="62" t="n"/>
      <c r="AN131" s="62" t="n"/>
      <c r="AO131" s="62" t="n"/>
      <c r="AP131" s="62" t="n"/>
      <c r="AQ131" s="62" t="n"/>
      <c r="AR131" s="62" t="n"/>
      <c r="AS131" s="62" t="n"/>
      <c r="AT131" s="62" t="n"/>
      <c r="AU131" s="62" t="n"/>
      <c r="AV131" s="62" t="n"/>
      <c r="AW131" s="62" t="n"/>
      <c r="AX131" s="62" t="n"/>
      <c r="AY131" s="62" t="n"/>
    </row>
    <row r="132">
      <c r="A132" s="72" t="inlineStr">
        <is>
          <t>기타  (133~162행)</t>
        </is>
      </c>
      <c r="U132" s="34" t="n"/>
      <c r="V132" s="34" t="n"/>
      <c r="W132" s="34" t="n"/>
      <c r="X132" s="34" t="n"/>
      <c r="Y132" s="34" t="n"/>
      <c r="Z132" s="34" t="n"/>
      <c r="AA132" s="34" t="n"/>
      <c r="AB132" s="34" t="n"/>
      <c r="AC132" s="34" t="n"/>
      <c r="AD132" s="34" t="n"/>
      <c r="AE132" s="34" t="n"/>
      <c r="AF132" s="34" t="n"/>
      <c r="AG132" s="34" t="n"/>
      <c r="AH132" s="34" t="n"/>
      <c r="AI132" s="34" t="n"/>
      <c r="AJ132" s="34" t="n"/>
      <c r="AK132" s="34" t="n"/>
      <c r="AL132" s="34" t="n"/>
      <c r="AM132" s="34" t="n"/>
      <c r="AN132" s="34" t="n"/>
      <c r="AO132" s="34" t="n"/>
      <c r="AP132" s="34" t="n"/>
      <c r="AQ132" s="34" t="n"/>
      <c r="AR132" s="34" t="n"/>
      <c r="AS132" s="34" t="n"/>
      <c r="AT132" s="34" t="n"/>
      <c r="AU132" s="34" t="n"/>
      <c r="AV132" s="34" t="n"/>
      <c r="AW132" s="34" t="n"/>
      <c r="AX132" s="34" t="n"/>
      <c r="AY132" s="34" t="n"/>
    </row>
    <row r="133">
      <c r="A133" s="38">
        <f>IF(D133="","",COUNTA($D$133:D133))</f>
        <v/>
      </c>
      <c r="B133" s="52" t="n"/>
      <c r="C133" s="73" t="inlineStr">
        <is>
          <t>기타</t>
        </is>
      </c>
      <c r="D133" s="52" t="n"/>
      <c r="E133" s="54" t="n"/>
      <c r="F133" s="52" t="n"/>
      <c r="G133" s="55" t="n"/>
      <c r="H133" s="54" t="n"/>
      <c r="I133" s="54" t="n"/>
      <c r="J133" s="54" t="n"/>
      <c r="K133" s="56">
        <f>IF(SUM(U133:AY133)=0,"",SUM(U133:AY133))</f>
        <v/>
      </c>
      <c r="L133" s="57">
        <f>IFERROR(INDEX(U$2:AY$2,MATCH(TRUE,U133:AY133&lt;&gt;"",0)),"")</f>
        <v/>
      </c>
      <c r="M133" s="58">
        <f>IFERROR(LOOKUP(2,1/(U133:AY133&lt;&gt;""),U$2:AY$2),"")</f>
        <v/>
      </c>
      <c r="N133" s="59">
        <f>IF(OR(G133="",M133=""),"",G133-M133)</f>
        <v/>
      </c>
      <c r="O133" s="60" t="n"/>
      <c r="P133" s="61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  <c r="AG133" s="62" t="n"/>
      <c r="AH133" s="62" t="n"/>
      <c r="AI133" s="62" t="n"/>
      <c r="AJ133" s="62" t="n"/>
      <c r="AK133" s="62" t="n"/>
      <c r="AL133" s="62" t="n"/>
      <c r="AM133" s="62" t="n"/>
      <c r="AN133" s="62" t="n"/>
      <c r="AO133" s="62" t="n"/>
      <c r="AP133" s="62" t="n"/>
      <c r="AQ133" s="62" t="n"/>
      <c r="AR133" s="62" t="n"/>
      <c r="AS133" s="62" t="n"/>
      <c r="AT133" s="62" t="n"/>
      <c r="AU133" s="62" t="n"/>
      <c r="AV133" s="62" t="n"/>
      <c r="AW133" s="62" t="n"/>
      <c r="AX133" s="62" t="n"/>
      <c r="AY133" s="62" t="n"/>
    </row>
    <row r="134">
      <c r="A134" s="38">
        <f>IF(D134="","",COUNTA($D$133:D134))</f>
        <v/>
      </c>
      <c r="B134" s="52" t="n"/>
      <c r="C134" s="73" t="inlineStr">
        <is>
          <t>기타</t>
        </is>
      </c>
      <c r="D134" s="52" t="n"/>
      <c r="E134" s="54" t="n"/>
      <c r="F134" s="52" t="n"/>
      <c r="G134" s="55" t="n"/>
      <c r="H134" s="54" t="n"/>
      <c r="I134" s="54" t="n"/>
      <c r="J134" s="54" t="n"/>
      <c r="K134" s="56">
        <f>IF(SUM(U134:AY134)=0,"",SUM(U134:AY134))</f>
        <v/>
      </c>
      <c r="L134" s="57">
        <f>IFERROR(INDEX(U$2:AY$2,MATCH(TRUE,U134:AY134&lt;&gt;"",0)),"")</f>
        <v/>
      </c>
      <c r="M134" s="58">
        <f>IFERROR(LOOKUP(2,1/(U134:AY134&lt;&gt;""),U$2:AY$2),"")</f>
        <v/>
      </c>
      <c r="N134" s="59">
        <f>IF(OR(G134="",M134=""),"",G134-M134)</f>
        <v/>
      </c>
      <c r="O134" s="60" t="n"/>
      <c r="P134" s="61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  <c r="AG134" s="62" t="n"/>
      <c r="AH134" s="62" t="n"/>
      <c r="AI134" s="62" t="n"/>
      <c r="AJ134" s="62" t="n"/>
      <c r="AK134" s="62" t="n"/>
      <c r="AL134" s="62" t="n"/>
      <c r="AM134" s="62" t="n"/>
      <c r="AN134" s="62" t="n"/>
      <c r="AO134" s="62" t="n"/>
      <c r="AP134" s="62" t="n"/>
      <c r="AQ134" s="62" t="n"/>
      <c r="AR134" s="62" t="n"/>
      <c r="AS134" s="62" t="n"/>
      <c r="AT134" s="62" t="n"/>
      <c r="AU134" s="62" t="n"/>
      <c r="AV134" s="62" t="n"/>
      <c r="AW134" s="62" t="n"/>
      <c r="AX134" s="62" t="n"/>
      <c r="AY134" s="62" t="n"/>
    </row>
    <row r="135">
      <c r="A135" s="38">
        <f>IF(D135="","",COUNTA($D$133:D135))</f>
        <v/>
      </c>
      <c r="B135" s="52" t="n"/>
      <c r="C135" s="73" t="inlineStr">
        <is>
          <t>기타</t>
        </is>
      </c>
      <c r="D135" s="52" t="n"/>
      <c r="E135" s="54" t="n"/>
      <c r="F135" s="52" t="n"/>
      <c r="G135" s="55" t="n"/>
      <c r="H135" s="54" t="n"/>
      <c r="I135" s="54" t="n"/>
      <c r="J135" s="54" t="n"/>
      <c r="K135" s="56">
        <f>IF(SUM(U135:AY135)=0,"",SUM(U135:AY135))</f>
        <v/>
      </c>
      <c r="L135" s="57">
        <f>IFERROR(INDEX(U$2:AY$2,MATCH(TRUE,U135:AY135&lt;&gt;"",0)),"")</f>
        <v/>
      </c>
      <c r="M135" s="58">
        <f>IFERROR(LOOKUP(2,1/(U135:AY135&lt;&gt;""),U$2:AY$2),"")</f>
        <v/>
      </c>
      <c r="N135" s="59">
        <f>IF(OR(G135="",M135=""),"",G135-M135)</f>
        <v/>
      </c>
      <c r="O135" s="60" t="n"/>
      <c r="P135" s="61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  <c r="AG135" s="62" t="n"/>
      <c r="AH135" s="62" t="n"/>
      <c r="AI135" s="62" t="n"/>
      <c r="AJ135" s="62" t="n"/>
      <c r="AK135" s="62" t="n"/>
      <c r="AL135" s="62" t="n"/>
      <c r="AM135" s="62" t="n"/>
      <c r="AN135" s="62" t="n"/>
      <c r="AO135" s="62" t="n"/>
      <c r="AP135" s="62" t="n"/>
      <c r="AQ135" s="62" t="n"/>
      <c r="AR135" s="62" t="n"/>
      <c r="AS135" s="62" t="n"/>
      <c r="AT135" s="62" t="n"/>
      <c r="AU135" s="62" t="n"/>
      <c r="AV135" s="62" t="n"/>
      <c r="AW135" s="62" t="n"/>
      <c r="AX135" s="62" t="n"/>
      <c r="AY135" s="62" t="n"/>
    </row>
    <row r="136">
      <c r="A136" s="38">
        <f>IF(D136="","",COUNTA($D$133:D136))</f>
        <v/>
      </c>
      <c r="B136" s="52" t="n"/>
      <c r="C136" s="73" t="inlineStr">
        <is>
          <t>기타</t>
        </is>
      </c>
      <c r="D136" s="52" t="n"/>
      <c r="E136" s="54" t="n"/>
      <c r="F136" s="52" t="n"/>
      <c r="G136" s="55" t="n"/>
      <c r="H136" s="54" t="n"/>
      <c r="I136" s="54" t="n"/>
      <c r="J136" s="54" t="n"/>
      <c r="K136" s="56">
        <f>IF(SUM(U136:AY136)=0,"",SUM(U136:AY136))</f>
        <v/>
      </c>
      <c r="L136" s="57">
        <f>IFERROR(INDEX(U$2:AY$2,MATCH(TRUE,U136:AY136&lt;&gt;"",0)),"")</f>
        <v/>
      </c>
      <c r="M136" s="58">
        <f>IFERROR(LOOKUP(2,1/(U136:AY136&lt;&gt;""),U$2:AY$2),"")</f>
        <v/>
      </c>
      <c r="N136" s="59">
        <f>IF(OR(G136="",M136=""),"",G136-M136)</f>
        <v/>
      </c>
      <c r="O136" s="60" t="n"/>
      <c r="P136" s="61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  <c r="AG136" s="62" t="n"/>
      <c r="AH136" s="62" t="n"/>
      <c r="AI136" s="62" t="n"/>
      <c r="AJ136" s="62" t="n"/>
      <c r="AK136" s="62" t="n"/>
      <c r="AL136" s="62" t="n"/>
      <c r="AM136" s="62" t="n"/>
      <c r="AN136" s="62" t="n"/>
      <c r="AO136" s="62" t="n"/>
      <c r="AP136" s="62" t="n"/>
      <c r="AQ136" s="62" t="n"/>
      <c r="AR136" s="62" t="n"/>
      <c r="AS136" s="62" t="n"/>
      <c r="AT136" s="62" t="n"/>
      <c r="AU136" s="62" t="n"/>
      <c r="AV136" s="62" t="n"/>
      <c r="AW136" s="62" t="n"/>
      <c r="AX136" s="62" t="n"/>
      <c r="AY136" s="62" t="n"/>
    </row>
    <row r="137">
      <c r="A137" s="38">
        <f>IF(D137="","",COUNTA($D$133:D137))</f>
        <v/>
      </c>
      <c r="B137" s="52" t="n"/>
      <c r="C137" s="73" t="inlineStr">
        <is>
          <t>기타</t>
        </is>
      </c>
      <c r="D137" s="52" t="n"/>
      <c r="E137" s="54" t="n"/>
      <c r="F137" s="52" t="n"/>
      <c r="G137" s="55" t="n"/>
      <c r="H137" s="54" t="n"/>
      <c r="I137" s="54" t="n"/>
      <c r="J137" s="54" t="n"/>
      <c r="K137" s="56">
        <f>IF(SUM(U137:AY137)=0,"",SUM(U137:AY137))</f>
        <v/>
      </c>
      <c r="L137" s="57">
        <f>IFERROR(INDEX(U$2:AY$2,MATCH(TRUE,U137:AY137&lt;&gt;"",0)),"")</f>
        <v/>
      </c>
      <c r="M137" s="58">
        <f>IFERROR(LOOKUP(2,1/(U137:AY137&lt;&gt;""),U$2:AY$2),"")</f>
        <v/>
      </c>
      <c r="N137" s="59">
        <f>IF(OR(G137="",M137=""),"",G137-M137)</f>
        <v/>
      </c>
      <c r="O137" s="60" t="n"/>
      <c r="P137" s="61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  <c r="AG137" s="62" t="n"/>
      <c r="AH137" s="62" t="n"/>
      <c r="AI137" s="62" t="n"/>
      <c r="AJ137" s="62" t="n"/>
      <c r="AK137" s="62" t="n"/>
      <c r="AL137" s="62" t="n"/>
      <c r="AM137" s="62" t="n"/>
      <c r="AN137" s="62" t="n"/>
      <c r="AO137" s="62" t="n"/>
      <c r="AP137" s="62" t="n"/>
      <c r="AQ137" s="62" t="n"/>
      <c r="AR137" s="62" t="n"/>
      <c r="AS137" s="62" t="n"/>
      <c r="AT137" s="62" t="n"/>
      <c r="AU137" s="62" t="n"/>
      <c r="AV137" s="62" t="n"/>
      <c r="AW137" s="62" t="n"/>
      <c r="AX137" s="62" t="n"/>
      <c r="AY137" s="62" t="n"/>
    </row>
    <row r="138">
      <c r="A138" s="38">
        <f>IF(D138="","",COUNTA($D$133:D138))</f>
        <v/>
      </c>
      <c r="B138" s="52" t="n"/>
      <c r="C138" s="73" t="inlineStr">
        <is>
          <t>기타</t>
        </is>
      </c>
      <c r="D138" s="52" t="n"/>
      <c r="E138" s="54" t="n"/>
      <c r="F138" s="52" t="n"/>
      <c r="G138" s="55" t="n"/>
      <c r="H138" s="54" t="n"/>
      <c r="I138" s="54" t="n"/>
      <c r="J138" s="54" t="n"/>
      <c r="K138" s="56">
        <f>IF(SUM(U138:AY138)=0,"",SUM(U138:AY138))</f>
        <v/>
      </c>
      <c r="L138" s="57">
        <f>IFERROR(INDEX(U$2:AY$2,MATCH(TRUE,U138:AY138&lt;&gt;"",0)),"")</f>
        <v/>
      </c>
      <c r="M138" s="58">
        <f>IFERROR(LOOKUP(2,1/(U138:AY138&lt;&gt;""),U$2:AY$2),"")</f>
        <v/>
      </c>
      <c r="N138" s="59">
        <f>IF(OR(G138="",M138=""),"",G138-M138)</f>
        <v/>
      </c>
      <c r="O138" s="60" t="n"/>
      <c r="P138" s="61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  <c r="AG138" s="62" t="n"/>
      <c r="AH138" s="62" t="n"/>
      <c r="AI138" s="62" t="n"/>
      <c r="AJ138" s="62" t="n"/>
      <c r="AK138" s="62" t="n"/>
      <c r="AL138" s="62" t="n"/>
      <c r="AM138" s="62" t="n"/>
      <c r="AN138" s="62" t="n"/>
      <c r="AO138" s="62" t="n"/>
      <c r="AP138" s="62" t="n"/>
      <c r="AQ138" s="62" t="n"/>
      <c r="AR138" s="62" t="n"/>
      <c r="AS138" s="62" t="n"/>
      <c r="AT138" s="62" t="n"/>
      <c r="AU138" s="62" t="n"/>
      <c r="AV138" s="62" t="n"/>
      <c r="AW138" s="62" t="n"/>
      <c r="AX138" s="62" t="n"/>
      <c r="AY138" s="62" t="n"/>
    </row>
    <row r="139">
      <c r="A139" s="38">
        <f>IF(D139="","",COUNTA($D$133:D139))</f>
        <v/>
      </c>
      <c r="B139" s="52" t="n"/>
      <c r="C139" s="73" t="inlineStr">
        <is>
          <t>기타</t>
        </is>
      </c>
      <c r="D139" s="52" t="n"/>
      <c r="E139" s="54" t="n"/>
      <c r="F139" s="52" t="n"/>
      <c r="G139" s="55" t="n"/>
      <c r="H139" s="54" t="n"/>
      <c r="I139" s="54" t="n"/>
      <c r="J139" s="54" t="n"/>
      <c r="K139" s="56">
        <f>IF(SUM(U139:AY139)=0,"",SUM(U139:AY139))</f>
        <v/>
      </c>
      <c r="L139" s="57">
        <f>IFERROR(INDEX(U$2:AY$2,MATCH(TRUE,U139:AY139&lt;&gt;"",0)),"")</f>
        <v/>
      </c>
      <c r="M139" s="58">
        <f>IFERROR(LOOKUP(2,1/(U139:AY139&lt;&gt;""),U$2:AY$2),"")</f>
        <v/>
      </c>
      <c r="N139" s="59">
        <f>IF(OR(G139="",M139=""),"",G139-M139)</f>
        <v/>
      </c>
      <c r="O139" s="60" t="n"/>
      <c r="P139" s="61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  <c r="AG139" s="62" t="n"/>
      <c r="AH139" s="62" t="n"/>
      <c r="AI139" s="62" t="n"/>
      <c r="AJ139" s="62" t="n"/>
      <c r="AK139" s="62" t="n"/>
      <c r="AL139" s="62" t="n"/>
      <c r="AM139" s="62" t="n"/>
      <c r="AN139" s="62" t="n"/>
      <c r="AO139" s="62" t="n"/>
      <c r="AP139" s="62" t="n"/>
      <c r="AQ139" s="62" t="n"/>
      <c r="AR139" s="62" t="n"/>
      <c r="AS139" s="62" t="n"/>
      <c r="AT139" s="62" t="n"/>
      <c r="AU139" s="62" t="n"/>
      <c r="AV139" s="62" t="n"/>
      <c r="AW139" s="62" t="n"/>
      <c r="AX139" s="62" t="n"/>
      <c r="AY139" s="62" t="n"/>
    </row>
    <row r="140">
      <c r="A140" s="38">
        <f>IF(D140="","",COUNTA($D$133:D140))</f>
        <v/>
      </c>
      <c r="B140" s="52" t="n"/>
      <c r="C140" s="73" t="inlineStr">
        <is>
          <t>기타</t>
        </is>
      </c>
      <c r="D140" s="52" t="n"/>
      <c r="E140" s="54" t="n"/>
      <c r="F140" s="52" t="n"/>
      <c r="G140" s="55" t="n"/>
      <c r="H140" s="54" t="n"/>
      <c r="I140" s="54" t="n"/>
      <c r="J140" s="54" t="n"/>
      <c r="K140" s="56">
        <f>IF(SUM(U140:AY140)=0,"",SUM(U140:AY140))</f>
        <v/>
      </c>
      <c r="L140" s="57">
        <f>IFERROR(INDEX(U$2:AY$2,MATCH(TRUE,U140:AY140&lt;&gt;"",0)),"")</f>
        <v/>
      </c>
      <c r="M140" s="58">
        <f>IFERROR(LOOKUP(2,1/(U140:AY140&lt;&gt;""),U$2:AY$2),"")</f>
        <v/>
      </c>
      <c r="N140" s="59">
        <f>IF(OR(G140="",M140=""),"",G140-M140)</f>
        <v/>
      </c>
      <c r="O140" s="60" t="n"/>
      <c r="P140" s="61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  <c r="AG140" s="62" t="n"/>
      <c r="AH140" s="62" t="n"/>
      <c r="AI140" s="62" t="n"/>
      <c r="AJ140" s="62" t="n"/>
      <c r="AK140" s="62" t="n"/>
      <c r="AL140" s="62" t="n"/>
      <c r="AM140" s="62" t="n"/>
      <c r="AN140" s="62" t="n"/>
      <c r="AO140" s="62" t="n"/>
      <c r="AP140" s="62" t="n"/>
      <c r="AQ140" s="62" t="n"/>
      <c r="AR140" s="62" t="n"/>
      <c r="AS140" s="62" t="n"/>
      <c r="AT140" s="62" t="n"/>
      <c r="AU140" s="62" t="n"/>
      <c r="AV140" s="62" t="n"/>
      <c r="AW140" s="62" t="n"/>
      <c r="AX140" s="62" t="n"/>
      <c r="AY140" s="62" t="n"/>
    </row>
    <row r="141">
      <c r="A141" s="38">
        <f>IF(D141="","",COUNTA($D$133:D141))</f>
        <v/>
      </c>
      <c r="B141" s="52" t="n"/>
      <c r="C141" s="73" t="inlineStr">
        <is>
          <t>기타</t>
        </is>
      </c>
      <c r="D141" s="52" t="n"/>
      <c r="E141" s="54" t="n"/>
      <c r="F141" s="52" t="n"/>
      <c r="G141" s="55" t="n"/>
      <c r="H141" s="54" t="n"/>
      <c r="I141" s="54" t="n"/>
      <c r="J141" s="54" t="n"/>
      <c r="K141" s="56">
        <f>IF(SUM(U141:AY141)=0,"",SUM(U141:AY141))</f>
        <v/>
      </c>
      <c r="L141" s="57">
        <f>IFERROR(INDEX(U$2:AY$2,MATCH(TRUE,U141:AY141&lt;&gt;"",0)),"")</f>
        <v/>
      </c>
      <c r="M141" s="58">
        <f>IFERROR(LOOKUP(2,1/(U141:AY141&lt;&gt;""),U$2:AY$2),"")</f>
        <v/>
      </c>
      <c r="N141" s="59">
        <f>IF(OR(G141="",M141=""),"",G141-M141)</f>
        <v/>
      </c>
      <c r="O141" s="60" t="n"/>
      <c r="P141" s="61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  <c r="AG141" s="62" t="n"/>
      <c r="AH141" s="62" t="n"/>
      <c r="AI141" s="62" t="n"/>
      <c r="AJ141" s="62" t="n"/>
      <c r="AK141" s="62" t="n"/>
      <c r="AL141" s="62" t="n"/>
      <c r="AM141" s="62" t="n"/>
      <c r="AN141" s="62" t="n"/>
      <c r="AO141" s="62" t="n"/>
      <c r="AP141" s="62" t="n"/>
      <c r="AQ141" s="62" t="n"/>
      <c r="AR141" s="62" t="n"/>
      <c r="AS141" s="62" t="n"/>
      <c r="AT141" s="62" t="n"/>
      <c r="AU141" s="62" t="n"/>
      <c r="AV141" s="62" t="n"/>
      <c r="AW141" s="62" t="n"/>
      <c r="AX141" s="62" t="n"/>
      <c r="AY141" s="62" t="n"/>
    </row>
    <row r="142">
      <c r="A142" s="38">
        <f>IF(D142="","",COUNTA($D$133:D142))</f>
        <v/>
      </c>
      <c r="B142" s="52" t="n"/>
      <c r="C142" s="73" t="inlineStr">
        <is>
          <t>기타</t>
        </is>
      </c>
      <c r="D142" s="52" t="n"/>
      <c r="E142" s="54" t="n"/>
      <c r="F142" s="52" t="n"/>
      <c r="G142" s="55" t="n"/>
      <c r="H142" s="54" t="n"/>
      <c r="I142" s="54" t="n"/>
      <c r="J142" s="54" t="n"/>
      <c r="K142" s="56">
        <f>IF(SUM(U142:AY142)=0,"",SUM(U142:AY142))</f>
        <v/>
      </c>
      <c r="L142" s="57">
        <f>IFERROR(INDEX(U$2:AY$2,MATCH(TRUE,U142:AY142&lt;&gt;"",0)),"")</f>
        <v/>
      </c>
      <c r="M142" s="58">
        <f>IFERROR(LOOKUP(2,1/(U142:AY142&lt;&gt;""),U$2:AY$2),"")</f>
        <v/>
      </c>
      <c r="N142" s="59">
        <f>IF(OR(G142="",M142=""),"",G142-M142)</f>
        <v/>
      </c>
      <c r="O142" s="60" t="n"/>
      <c r="P142" s="61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  <c r="AG142" s="62" t="n"/>
      <c r="AH142" s="62" t="n"/>
      <c r="AI142" s="62" t="n"/>
      <c r="AJ142" s="62" t="n"/>
      <c r="AK142" s="62" t="n"/>
      <c r="AL142" s="62" t="n"/>
      <c r="AM142" s="62" t="n"/>
      <c r="AN142" s="62" t="n"/>
      <c r="AO142" s="62" t="n"/>
      <c r="AP142" s="62" t="n"/>
      <c r="AQ142" s="62" t="n"/>
      <c r="AR142" s="62" t="n"/>
      <c r="AS142" s="62" t="n"/>
      <c r="AT142" s="62" t="n"/>
      <c r="AU142" s="62" t="n"/>
      <c r="AV142" s="62" t="n"/>
      <c r="AW142" s="62" t="n"/>
      <c r="AX142" s="62" t="n"/>
      <c r="AY142" s="62" t="n"/>
    </row>
    <row r="143">
      <c r="A143" s="38">
        <f>IF(D143="","",COUNTA($D$133:D143))</f>
        <v/>
      </c>
      <c r="B143" s="52" t="n"/>
      <c r="C143" s="73" t="inlineStr">
        <is>
          <t>기타</t>
        </is>
      </c>
      <c r="D143" s="52" t="n"/>
      <c r="E143" s="54" t="n"/>
      <c r="F143" s="52" t="n"/>
      <c r="G143" s="55" t="n"/>
      <c r="H143" s="54" t="n"/>
      <c r="I143" s="54" t="n"/>
      <c r="J143" s="54" t="n"/>
      <c r="K143" s="56">
        <f>IF(SUM(U143:AY143)=0,"",SUM(U143:AY143))</f>
        <v/>
      </c>
      <c r="L143" s="57">
        <f>IFERROR(INDEX(U$2:AY$2,MATCH(TRUE,U143:AY143&lt;&gt;"",0)),"")</f>
        <v/>
      </c>
      <c r="M143" s="58">
        <f>IFERROR(LOOKUP(2,1/(U143:AY143&lt;&gt;""),U$2:AY$2),"")</f>
        <v/>
      </c>
      <c r="N143" s="59">
        <f>IF(OR(G143="",M143=""),"",G143-M143)</f>
        <v/>
      </c>
      <c r="O143" s="60" t="n"/>
      <c r="P143" s="61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  <c r="AG143" s="62" t="n"/>
      <c r="AH143" s="62" t="n"/>
      <c r="AI143" s="62" t="n"/>
      <c r="AJ143" s="62" t="n"/>
      <c r="AK143" s="62" t="n"/>
      <c r="AL143" s="62" t="n"/>
      <c r="AM143" s="62" t="n"/>
      <c r="AN143" s="62" t="n"/>
      <c r="AO143" s="62" t="n"/>
      <c r="AP143" s="62" t="n"/>
      <c r="AQ143" s="62" t="n"/>
      <c r="AR143" s="62" t="n"/>
      <c r="AS143" s="62" t="n"/>
      <c r="AT143" s="62" t="n"/>
      <c r="AU143" s="62" t="n"/>
      <c r="AV143" s="62" t="n"/>
      <c r="AW143" s="62" t="n"/>
      <c r="AX143" s="62" t="n"/>
      <c r="AY143" s="62" t="n"/>
    </row>
    <row r="144">
      <c r="A144" s="38">
        <f>IF(D144="","",COUNTA($D$133:D144))</f>
        <v/>
      </c>
      <c r="B144" s="52" t="n"/>
      <c r="C144" s="73" t="inlineStr">
        <is>
          <t>기타</t>
        </is>
      </c>
      <c r="D144" s="52" t="n"/>
      <c r="E144" s="54" t="n"/>
      <c r="F144" s="52" t="n"/>
      <c r="G144" s="55" t="n"/>
      <c r="H144" s="54" t="n"/>
      <c r="I144" s="54" t="n"/>
      <c r="J144" s="54" t="n"/>
      <c r="K144" s="56">
        <f>IF(SUM(U144:AY144)=0,"",SUM(U144:AY144))</f>
        <v/>
      </c>
      <c r="L144" s="57">
        <f>IFERROR(INDEX(U$2:AY$2,MATCH(TRUE,U144:AY144&lt;&gt;"",0)),"")</f>
        <v/>
      </c>
      <c r="M144" s="58">
        <f>IFERROR(LOOKUP(2,1/(U144:AY144&lt;&gt;""),U$2:AY$2),"")</f>
        <v/>
      </c>
      <c r="N144" s="59">
        <f>IF(OR(G144="",M144=""),"",G144-M144)</f>
        <v/>
      </c>
      <c r="O144" s="60" t="n"/>
      <c r="P144" s="61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  <c r="AG144" s="62" t="n"/>
      <c r="AH144" s="62" t="n"/>
      <c r="AI144" s="62" t="n"/>
      <c r="AJ144" s="62" t="n"/>
      <c r="AK144" s="62" t="n"/>
      <c r="AL144" s="62" t="n"/>
      <c r="AM144" s="62" t="n"/>
      <c r="AN144" s="62" t="n"/>
      <c r="AO144" s="62" t="n"/>
      <c r="AP144" s="62" t="n"/>
      <c r="AQ144" s="62" t="n"/>
      <c r="AR144" s="62" t="n"/>
      <c r="AS144" s="62" t="n"/>
      <c r="AT144" s="62" t="n"/>
      <c r="AU144" s="62" t="n"/>
      <c r="AV144" s="62" t="n"/>
      <c r="AW144" s="62" t="n"/>
      <c r="AX144" s="62" t="n"/>
      <c r="AY144" s="62" t="n"/>
    </row>
    <row r="145">
      <c r="A145" s="38">
        <f>IF(D145="","",COUNTA($D$133:D145))</f>
        <v/>
      </c>
      <c r="B145" s="52" t="n"/>
      <c r="C145" s="73" t="inlineStr">
        <is>
          <t>기타</t>
        </is>
      </c>
      <c r="D145" s="52" t="n"/>
      <c r="E145" s="54" t="n"/>
      <c r="F145" s="52" t="n"/>
      <c r="G145" s="55" t="n"/>
      <c r="H145" s="54" t="n"/>
      <c r="I145" s="54" t="n"/>
      <c r="J145" s="54" t="n"/>
      <c r="K145" s="56">
        <f>IF(SUM(U145:AY145)=0,"",SUM(U145:AY145))</f>
        <v/>
      </c>
      <c r="L145" s="57">
        <f>IFERROR(INDEX(U$2:AY$2,MATCH(TRUE,U145:AY145&lt;&gt;"",0)),"")</f>
        <v/>
      </c>
      <c r="M145" s="58">
        <f>IFERROR(LOOKUP(2,1/(U145:AY145&lt;&gt;""),U$2:AY$2),"")</f>
        <v/>
      </c>
      <c r="N145" s="59">
        <f>IF(OR(G145="",M145=""),"",G145-M145)</f>
        <v/>
      </c>
      <c r="O145" s="60" t="n"/>
      <c r="P145" s="61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  <c r="AG145" s="62" t="n"/>
      <c r="AH145" s="62" t="n"/>
      <c r="AI145" s="62" t="n"/>
      <c r="AJ145" s="62" t="n"/>
      <c r="AK145" s="62" t="n"/>
      <c r="AL145" s="62" t="n"/>
      <c r="AM145" s="62" t="n"/>
      <c r="AN145" s="62" t="n"/>
      <c r="AO145" s="62" t="n"/>
      <c r="AP145" s="62" t="n"/>
      <c r="AQ145" s="62" t="n"/>
      <c r="AR145" s="62" t="n"/>
      <c r="AS145" s="62" t="n"/>
      <c r="AT145" s="62" t="n"/>
      <c r="AU145" s="62" t="n"/>
      <c r="AV145" s="62" t="n"/>
      <c r="AW145" s="62" t="n"/>
      <c r="AX145" s="62" t="n"/>
      <c r="AY145" s="62" t="n"/>
    </row>
    <row r="146">
      <c r="A146" s="38">
        <f>IF(D146="","",COUNTA($D$133:D146))</f>
        <v/>
      </c>
      <c r="B146" s="52" t="n"/>
      <c r="C146" s="73" t="inlineStr">
        <is>
          <t>기타</t>
        </is>
      </c>
      <c r="D146" s="52" t="n"/>
      <c r="E146" s="54" t="n"/>
      <c r="F146" s="52" t="n"/>
      <c r="G146" s="55" t="n"/>
      <c r="H146" s="54" t="n"/>
      <c r="I146" s="54" t="n"/>
      <c r="J146" s="54" t="n"/>
      <c r="K146" s="56">
        <f>IF(SUM(U146:AY146)=0,"",SUM(U146:AY146))</f>
        <v/>
      </c>
      <c r="L146" s="57">
        <f>IFERROR(INDEX(U$2:AY$2,MATCH(TRUE,U146:AY146&lt;&gt;"",0)),"")</f>
        <v/>
      </c>
      <c r="M146" s="58">
        <f>IFERROR(LOOKUP(2,1/(U146:AY146&lt;&gt;""),U$2:AY$2),"")</f>
        <v/>
      </c>
      <c r="N146" s="59">
        <f>IF(OR(G146="",M146=""),"",G146-M146)</f>
        <v/>
      </c>
      <c r="O146" s="60" t="n"/>
      <c r="P146" s="61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  <c r="AG146" s="62" t="n"/>
      <c r="AH146" s="62" t="n"/>
      <c r="AI146" s="62" t="n"/>
      <c r="AJ146" s="62" t="n"/>
      <c r="AK146" s="62" t="n"/>
      <c r="AL146" s="62" t="n"/>
      <c r="AM146" s="62" t="n"/>
      <c r="AN146" s="62" t="n"/>
      <c r="AO146" s="62" t="n"/>
      <c r="AP146" s="62" t="n"/>
      <c r="AQ146" s="62" t="n"/>
      <c r="AR146" s="62" t="n"/>
      <c r="AS146" s="62" t="n"/>
      <c r="AT146" s="62" t="n"/>
      <c r="AU146" s="62" t="n"/>
      <c r="AV146" s="62" t="n"/>
      <c r="AW146" s="62" t="n"/>
      <c r="AX146" s="62" t="n"/>
      <c r="AY146" s="62" t="n"/>
    </row>
    <row r="147">
      <c r="A147" s="38">
        <f>IF(D147="","",COUNTA($D$133:D147))</f>
        <v/>
      </c>
      <c r="B147" s="52" t="n"/>
      <c r="C147" s="73" t="inlineStr">
        <is>
          <t>기타</t>
        </is>
      </c>
      <c r="D147" s="52" t="n"/>
      <c r="E147" s="54" t="n"/>
      <c r="F147" s="52" t="n"/>
      <c r="G147" s="55" t="n"/>
      <c r="H147" s="54" t="n"/>
      <c r="I147" s="54" t="n"/>
      <c r="J147" s="54" t="n"/>
      <c r="K147" s="56">
        <f>IF(SUM(U147:AY147)=0,"",SUM(U147:AY147))</f>
        <v/>
      </c>
      <c r="L147" s="57">
        <f>IFERROR(INDEX(U$2:AY$2,MATCH(TRUE,U147:AY147&lt;&gt;"",0)),"")</f>
        <v/>
      </c>
      <c r="M147" s="58">
        <f>IFERROR(LOOKUP(2,1/(U147:AY147&lt;&gt;""),U$2:AY$2),"")</f>
        <v/>
      </c>
      <c r="N147" s="59">
        <f>IF(OR(G147="",M147=""),"",G147-M147)</f>
        <v/>
      </c>
      <c r="O147" s="60" t="n"/>
      <c r="P147" s="61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  <c r="AG147" s="62" t="n"/>
      <c r="AH147" s="62" t="n"/>
      <c r="AI147" s="62" t="n"/>
      <c r="AJ147" s="62" t="n"/>
      <c r="AK147" s="62" t="n"/>
      <c r="AL147" s="62" t="n"/>
      <c r="AM147" s="62" t="n"/>
      <c r="AN147" s="62" t="n"/>
      <c r="AO147" s="62" t="n"/>
      <c r="AP147" s="62" t="n"/>
      <c r="AQ147" s="62" t="n"/>
      <c r="AR147" s="62" t="n"/>
      <c r="AS147" s="62" t="n"/>
      <c r="AT147" s="62" t="n"/>
      <c r="AU147" s="62" t="n"/>
      <c r="AV147" s="62" t="n"/>
      <c r="AW147" s="62" t="n"/>
      <c r="AX147" s="62" t="n"/>
      <c r="AY147" s="62" t="n"/>
    </row>
    <row r="148">
      <c r="A148" s="38">
        <f>IF(D148="","",COUNTA($D$133:D148))</f>
        <v/>
      </c>
      <c r="B148" s="52" t="n"/>
      <c r="C148" s="73" t="inlineStr">
        <is>
          <t>기타</t>
        </is>
      </c>
      <c r="D148" s="52" t="n"/>
      <c r="E148" s="54" t="n"/>
      <c r="F148" s="52" t="n"/>
      <c r="G148" s="55" t="n"/>
      <c r="H148" s="54" t="n"/>
      <c r="I148" s="54" t="n"/>
      <c r="J148" s="54" t="n"/>
      <c r="K148" s="56">
        <f>IF(SUM(U148:AY148)=0,"",SUM(U148:AY148))</f>
        <v/>
      </c>
      <c r="L148" s="57">
        <f>IFERROR(INDEX(U$2:AY$2,MATCH(TRUE,U148:AY148&lt;&gt;"",0)),"")</f>
        <v/>
      </c>
      <c r="M148" s="58">
        <f>IFERROR(LOOKUP(2,1/(U148:AY148&lt;&gt;""),U$2:AY$2),"")</f>
        <v/>
      </c>
      <c r="N148" s="59">
        <f>IF(OR(G148="",M148=""),"",G148-M148)</f>
        <v/>
      </c>
      <c r="O148" s="60" t="n"/>
      <c r="P148" s="61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  <c r="AG148" s="62" t="n"/>
      <c r="AH148" s="62" t="n"/>
      <c r="AI148" s="62" t="n"/>
      <c r="AJ148" s="62" t="n"/>
      <c r="AK148" s="62" t="n"/>
      <c r="AL148" s="62" t="n"/>
      <c r="AM148" s="62" t="n"/>
      <c r="AN148" s="62" t="n"/>
      <c r="AO148" s="62" t="n"/>
      <c r="AP148" s="62" t="n"/>
      <c r="AQ148" s="62" t="n"/>
      <c r="AR148" s="62" t="n"/>
      <c r="AS148" s="62" t="n"/>
      <c r="AT148" s="62" t="n"/>
      <c r="AU148" s="62" t="n"/>
      <c r="AV148" s="62" t="n"/>
      <c r="AW148" s="62" t="n"/>
      <c r="AX148" s="62" t="n"/>
      <c r="AY148" s="62" t="n"/>
    </row>
    <row r="149">
      <c r="A149" s="38">
        <f>IF(D149="","",COUNTA($D$133:D149))</f>
        <v/>
      </c>
      <c r="B149" s="52" t="n"/>
      <c r="C149" s="73" t="inlineStr">
        <is>
          <t>기타</t>
        </is>
      </c>
      <c r="D149" s="52" t="n"/>
      <c r="E149" s="54" t="n"/>
      <c r="F149" s="52" t="n"/>
      <c r="G149" s="55" t="n"/>
      <c r="H149" s="54" t="n"/>
      <c r="I149" s="54" t="n"/>
      <c r="J149" s="54" t="n"/>
      <c r="K149" s="56">
        <f>IF(SUM(U149:AY149)=0,"",SUM(U149:AY149))</f>
        <v/>
      </c>
      <c r="L149" s="57">
        <f>IFERROR(INDEX(U$2:AY$2,MATCH(TRUE,U149:AY149&lt;&gt;"",0)),"")</f>
        <v/>
      </c>
      <c r="M149" s="58">
        <f>IFERROR(LOOKUP(2,1/(U149:AY149&lt;&gt;""),U$2:AY$2),"")</f>
        <v/>
      </c>
      <c r="N149" s="59">
        <f>IF(OR(G149="",M149=""),"",G149-M149)</f>
        <v/>
      </c>
      <c r="O149" s="60" t="n"/>
      <c r="P149" s="61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  <c r="AG149" s="62" t="n"/>
      <c r="AH149" s="62" t="n"/>
      <c r="AI149" s="62" t="n"/>
      <c r="AJ149" s="62" t="n"/>
      <c r="AK149" s="62" t="n"/>
      <c r="AL149" s="62" t="n"/>
      <c r="AM149" s="62" t="n"/>
      <c r="AN149" s="62" t="n"/>
      <c r="AO149" s="62" t="n"/>
      <c r="AP149" s="62" t="n"/>
      <c r="AQ149" s="62" t="n"/>
      <c r="AR149" s="62" t="n"/>
      <c r="AS149" s="62" t="n"/>
      <c r="AT149" s="62" t="n"/>
      <c r="AU149" s="62" t="n"/>
      <c r="AV149" s="62" t="n"/>
      <c r="AW149" s="62" t="n"/>
      <c r="AX149" s="62" t="n"/>
      <c r="AY149" s="62" t="n"/>
    </row>
    <row r="150">
      <c r="A150" s="38">
        <f>IF(D150="","",COUNTA($D$133:D150))</f>
        <v/>
      </c>
      <c r="B150" s="52" t="n"/>
      <c r="C150" s="73" t="inlineStr">
        <is>
          <t>기타</t>
        </is>
      </c>
      <c r="D150" s="52" t="n"/>
      <c r="E150" s="54" t="n"/>
      <c r="F150" s="52" t="n"/>
      <c r="G150" s="55" t="n"/>
      <c r="H150" s="54" t="n"/>
      <c r="I150" s="54" t="n"/>
      <c r="J150" s="54" t="n"/>
      <c r="K150" s="56">
        <f>IF(SUM(U150:AY150)=0,"",SUM(U150:AY150))</f>
        <v/>
      </c>
      <c r="L150" s="57">
        <f>IFERROR(INDEX(U$2:AY$2,MATCH(TRUE,U150:AY150&lt;&gt;"",0)),"")</f>
        <v/>
      </c>
      <c r="M150" s="58">
        <f>IFERROR(LOOKUP(2,1/(U150:AY150&lt;&gt;""),U$2:AY$2),"")</f>
        <v/>
      </c>
      <c r="N150" s="59">
        <f>IF(OR(G150="",M150=""),"",G150-M150)</f>
        <v/>
      </c>
      <c r="O150" s="60" t="n"/>
      <c r="P150" s="61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  <c r="AG150" s="62" t="n"/>
      <c r="AH150" s="62" t="n"/>
      <c r="AI150" s="62" t="n"/>
      <c r="AJ150" s="62" t="n"/>
      <c r="AK150" s="62" t="n"/>
      <c r="AL150" s="62" t="n"/>
      <c r="AM150" s="62" t="n"/>
      <c r="AN150" s="62" t="n"/>
      <c r="AO150" s="62" t="n"/>
      <c r="AP150" s="62" t="n"/>
      <c r="AQ150" s="62" t="n"/>
      <c r="AR150" s="62" t="n"/>
      <c r="AS150" s="62" t="n"/>
      <c r="AT150" s="62" t="n"/>
      <c r="AU150" s="62" t="n"/>
      <c r="AV150" s="62" t="n"/>
      <c r="AW150" s="62" t="n"/>
      <c r="AX150" s="62" t="n"/>
      <c r="AY150" s="62" t="n"/>
    </row>
    <row r="151">
      <c r="A151" s="38">
        <f>IF(D151="","",COUNTA($D$133:D151))</f>
        <v/>
      </c>
      <c r="B151" s="52" t="n"/>
      <c r="C151" s="73" t="inlineStr">
        <is>
          <t>기타</t>
        </is>
      </c>
      <c r="D151" s="52" t="n"/>
      <c r="E151" s="54" t="n"/>
      <c r="F151" s="52" t="n"/>
      <c r="G151" s="55" t="n"/>
      <c r="H151" s="54" t="n"/>
      <c r="I151" s="54" t="n"/>
      <c r="J151" s="54" t="n"/>
      <c r="K151" s="56">
        <f>IF(SUM(U151:AY151)=0,"",SUM(U151:AY151))</f>
        <v/>
      </c>
      <c r="L151" s="57">
        <f>IFERROR(INDEX(U$2:AY$2,MATCH(TRUE,U151:AY151&lt;&gt;"",0)),"")</f>
        <v/>
      </c>
      <c r="M151" s="58">
        <f>IFERROR(LOOKUP(2,1/(U151:AY151&lt;&gt;""),U$2:AY$2),"")</f>
        <v/>
      </c>
      <c r="N151" s="59">
        <f>IF(OR(G151="",M151=""),"",G151-M151)</f>
        <v/>
      </c>
      <c r="O151" s="60" t="n"/>
      <c r="P151" s="61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  <c r="AG151" s="62" t="n"/>
      <c r="AH151" s="62" t="n"/>
      <c r="AI151" s="62" t="n"/>
      <c r="AJ151" s="62" t="n"/>
      <c r="AK151" s="62" t="n"/>
      <c r="AL151" s="62" t="n"/>
      <c r="AM151" s="62" t="n"/>
      <c r="AN151" s="62" t="n"/>
      <c r="AO151" s="62" t="n"/>
      <c r="AP151" s="62" t="n"/>
      <c r="AQ151" s="62" t="n"/>
      <c r="AR151" s="62" t="n"/>
      <c r="AS151" s="62" t="n"/>
      <c r="AT151" s="62" t="n"/>
      <c r="AU151" s="62" t="n"/>
      <c r="AV151" s="62" t="n"/>
      <c r="AW151" s="62" t="n"/>
      <c r="AX151" s="62" t="n"/>
      <c r="AY151" s="62" t="n"/>
    </row>
    <row r="152">
      <c r="A152" s="38">
        <f>IF(D152="","",COUNTA($D$133:D152))</f>
        <v/>
      </c>
      <c r="B152" s="52" t="n"/>
      <c r="C152" s="73" t="inlineStr">
        <is>
          <t>기타</t>
        </is>
      </c>
      <c r="D152" s="52" t="n"/>
      <c r="E152" s="54" t="n"/>
      <c r="F152" s="52" t="n"/>
      <c r="G152" s="55" t="n"/>
      <c r="H152" s="54" t="n"/>
      <c r="I152" s="54" t="n"/>
      <c r="J152" s="54" t="n"/>
      <c r="K152" s="56">
        <f>IF(SUM(U152:AY152)=0,"",SUM(U152:AY152))</f>
        <v/>
      </c>
      <c r="L152" s="57">
        <f>IFERROR(INDEX(U$2:AY$2,MATCH(TRUE,U152:AY152&lt;&gt;"",0)),"")</f>
        <v/>
      </c>
      <c r="M152" s="58">
        <f>IFERROR(LOOKUP(2,1/(U152:AY152&lt;&gt;""),U$2:AY$2),"")</f>
        <v/>
      </c>
      <c r="N152" s="59">
        <f>IF(OR(G152="",M152=""),"",G152-M152)</f>
        <v/>
      </c>
      <c r="O152" s="60" t="n"/>
      <c r="P152" s="61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  <c r="AG152" s="62" t="n"/>
      <c r="AH152" s="62" t="n"/>
      <c r="AI152" s="62" t="n"/>
      <c r="AJ152" s="62" t="n"/>
      <c r="AK152" s="62" t="n"/>
      <c r="AL152" s="62" t="n"/>
      <c r="AM152" s="62" t="n"/>
      <c r="AN152" s="62" t="n"/>
      <c r="AO152" s="62" t="n"/>
      <c r="AP152" s="62" t="n"/>
      <c r="AQ152" s="62" t="n"/>
      <c r="AR152" s="62" t="n"/>
      <c r="AS152" s="62" t="n"/>
      <c r="AT152" s="62" t="n"/>
      <c r="AU152" s="62" t="n"/>
      <c r="AV152" s="62" t="n"/>
      <c r="AW152" s="62" t="n"/>
      <c r="AX152" s="62" t="n"/>
      <c r="AY152" s="62" t="n"/>
    </row>
    <row r="153">
      <c r="A153" s="38">
        <f>IF(D153="","",COUNTA($D$133:D153))</f>
        <v/>
      </c>
      <c r="B153" s="52" t="n"/>
      <c r="C153" s="73" t="inlineStr">
        <is>
          <t>기타</t>
        </is>
      </c>
      <c r="D153" s="52" t="n"/>
      <c r="E153" s="54" t="n"/>
      <c r="F153" s="52" t="n"/>
      <c r="G153" s="55" t="n"/>
      <c r="H153" s="54" t="n"/>
      <c r="I153" s="54" t="n"/>
      <c r="J153" s="54" t="n"/>
      <c r="K153" s="56">
        <f>IF(SUM(U153:AY153)=0,"",SUM(U153:AY153))</f>
        <v/>
      </c>
      <c r="L153" s="57">
        <f>IFERROR(INDEX(U$2:AY$2,MATCH(TRUE,U153:AY153&lt;&gt;"",0)),"")</f>
        <v/>
      </c>
      <c r="M153" s="58">
        <f>IFERROR(LOOKUP(2,1/(U153:AY153&lt;&gt;""),U$2:AY$2),"")</f>
        <v/>
      </c>
      <c r="N153" s="59">
        <f>IF(OR(G153="",M153=""),"",G153-M153)</f>
        <v/>
      </c>
      <c r="O153" s="60" t="n"/>
      <c r="P153" s="61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  <c r="AG153" s="62" t="n"/>
      <c r="AH153" s="62" t="n"/>
      <c r="AI153" s="62" t="n"/>
      <c r="AJ153" s="62" t="n"/>
      <c r="AK153" s="62" t="n"/>
      <c r="AL153" s="62" t="n"/>
      <c r="AM153" s="62" t="n"/>
      <c r="AN153" s="62" t="n"/>
      <c r="AO153" s="62" t="n"/>
      <c r="AP153" s="62" t="n"/>
      <c r="AQ153" s="62" t="n"/>
      <c r="AR153" s="62" t="n"/>
      <c r="AS153" s="62" t="n"/>
      <c r="AT153" s="62" t="n"/>
      <c r="AU153" s="62" t="n"/>
      <c r="AV153" s="62" t="n"/>
      <c r="AW153" s="62" t="n"/>
      <c r="AX153" s="62" t="n"/>
      <c r="AY153" s="62" t="n"/>
    </row>
    <row r="154">
      <c r="A154" s="38">
        <f>IF(D154="","",COUNTA($D$133:D154))</f>
        <v/>
      </c>
      <c r="B154" s="52" t="n"/>
      <c r="C154" s="73" t="inlineStr">
        <is>
          <t>기타</t>
        </is>
      </c>
      <c r="D154" s="52" t="n"/>
      <c r="E154" s="54" t="n"/>
      <c r="F154" s="52" t="n"/>
      <c r="G154" s="55" t="n"/>
      <c r="H154" s="54" t="n"/>
      <c r="I154" s="54" t="n"/>
      <c r="J154" s="54" t="n"/>
      <c r="K154" s="56">
        <f>IF(SUM(U154:AY154)=0,"",SUM(U154:AY154))</f>
        <v/>
      </c>
      <c r="L154" s="57">
        <f>IFERROR(INDEX(U$2:AY$2,MATCH(TRUE,U154:AY154&lt;&gt;"",0)),"")</f>
        <v/>
      </c>
      <c r="M154" s="58">
        <f>IFERROR(LOOKUP(2,1/(U154:AY154&lt;&gt;""),U$2:AY$2),"")</f>
        <v/>
      </c>
      <c r="N154" s="59">
        <f>IF(OR(G154="",M154=""),"",G154-M154)</f>
        <v/>
      </c>
      <c r="O154" s="60" t="n"/>
      <c r="P154" s="61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  <c r="AG154" s="62" t="n"/>
      <c r="AH154" s="62" t="n"/>
      <c r="AI154" s="62" t="n"/>
      <c r="AJ154" s="62" t="n"/>
      <c r="AK154" s="62" t="n"/>
      <c r="AL154" s="62" t="n"/>
      <c r="AM154" s="62" t="n"/>
      <c r="AN154" s="62" t="n"/>
      <c r="AO154" s="62" t="n"/>
      <c r="AP154" s="62" t="n"/>
      <c r="AQ154" s="62" t="n"/>
      <c r="AR154" s="62" t="n"/>
      <c r="AS154" s="62" t="n"/>
      <c r="AT154" s="62" t="n"/>
      <c r="AU154" s="62" t="n"/>
      <c r="AV154" s="62" t="n"/>
      <c r="AW154" s="62" t="n"/>
      <c r="AX154" s="62" t="n"/>
      <c r="AY154" s="62" t="n"/>
    </row>
    <row r="155">
      <c r="A155" s="38">
        <f>IF(D155="","",COUNTA($D$133:D155))</f>
        <v/>
      </c>
      <c r="B155" s="52" t="n"/>
      <c r="C155" s="73" t="inlineStr">
        <is>
          <t>기타</t>
        </is>
      </c>
      <c r="D155" s="52" t="n"/>
      <c r="E155" s="54" t="n"/>
      <c r="F155" s="52" t="n"/>
      <c r="G155" s="55" t="n"/>
      <c r="H155" s="54" t="n"/>
      <c r="I155" s="54" t="n"/>
      <c r="J155" s="54" t="n"/>
      <c r="K155" s="56">
        <f>IF(SUM(U155:AY155)=0,"",SUM(U155:AY155))</f>
        <v/>
      </c>
      <c r="L155" s="57">
        <f>IFERROR(INDEX(U$2:AY$2,MATCH(TRUE,U155:AY155&lt;&gt;"",0)),"")</f>
        <v/>
      </c>
      <c r="M155" s="58">
        <f>IFERROR(LOOKUP(2,1/(U155:AY155&lt;&gt;""),U$2:AY$2),"")</f>
        <v/>
      </c>
      <c r="N155" s="59">
        <f>IF(OR(G155="",M155=""),"",G155-M155)</f>
        <v/>
      </c>
      <c r="O155" s="60" t="n"/>
      <c r="P155" s="61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  <c r="AG155" s="62" t="n"/>
      <c r="AH155" s="62" t="n"/>
      <c r="AI155" s="62" t="n"/>
      <c r="AJ155" s="62" t="n"/>
      <c r="AK155" s="62" t="n"/>
      <c r="AL155" s="62" t="n"/>
      <c r="AM155" s="62" t="n"/>
      <c r="AN155" s="62" t="n"/>
      <c r="AO155" s="62" t="n"/>
      <c r="AP155" s="62" t="n"/>
      <c r="AQ155" s="62" t="n"/>
      <c r="AR155" s="62" t="n"/>
      <c r="AS155" s="62" t="n"/>
      <c r="AT155" s="62" t="n"/>
      <c r="AU155" s="62" t="n"/>
      <c r="AV155" s="62" t="n"/>
      <c r="AW155" s="62" t="n"/>
      <c r="AX155" s="62" t="n"/>
      <c r="AY155" s="62" t="n"/>
    </row>
    <row r="156">
      <c r="A156" s="38">
        <f>IF(D156="","",COUNTA($D$133:D156))</f>
        <v/>
      </c>
      <c r="B156" s="52" t="n"/>
      <c r="C156" s="73" t="inlineStr">
        <is>
          <t>기타</t>
        </is>
      </c>
      <c r="D156" s="52" t="n"/>
      <c r="E156" s="54" t="n"/>
      <c r="F156" s="52" t="n"/>
      <c r="G156" s="55" t="n"/>
      <c r="H156" s="54" t="n"/>
      <c r="I156" s="54" t="n"/>
      <c r="J156" s="54" t="n"/>
      <c r="K156" s="56">
        <f>IF(SUM(U156:AY156)=0,"",SUM(U156:AY156))</f>
        <v/>
      </c>
      <c r="L156" s="57">
        <f>IFERROR(INDEX(U$2:AY$2,MATCH(TRUE,U156:AY156&lt;&gt;"",0)),"")</f>
        <v/>
      </c>
      <c r="M156" s="58">
        <f>IFERROR(LOOKUP(2,1/(U156:AY156&lt;&gt;""),U$2:AY$2),"")</f>
        <v/>
      </c>
      <c r="N156" s="59">
        <f>IF(OR(G156="",M156=""),"",G156-M156)</f>
        <v/>
      </c>
      <c r="O156" s="60" t="n"/>
      <c r="P156" s="61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  <c r="AG156" s="62" t="n"/>
      <c r="AH156" s="62" t="n"/>
      <c r="AI156" s="62" t="n"/>
      <c r="AJ156" s="62" t="n"/>
      <c r="AK156" s="62" t="n"/>
      <c r="AL156" s="62" t="n"/>
      <c r="AM156" s="62" t="n"/>
      <c r="AN156" s="62" t="n"/>
      <c r="AO156" s="62" t="n"/>
      <c r="AP156" s="62" t="n"/>
      <c r="AQ156" s="62" t="n"/>
      <c r="AR156" s="62" t="n"/>
      <c r="AS156" s="62" t="n"/>
      <c r="AT156" s="62" t="n"/>
      <c r="AU156" s="62" t="n"/>
      <c r="AV156" s="62" t="n"/>
      <c r="AW156" s="62" t="n"/>
      <c r="AX156" s="62" t="n"/>
      <c r="AY156" s="62" t="n"/>
    </row>
    <row r="157">
      <c r="A157" s="38">
        <f>IF(D157="","",COUNTA($D$133:D157))</f>
        <v/>
      </c>
      <c r="B157" s="52" t="n"/>
      <c r="C157" s="73" t="inlineStr">
        <is>
          <t>기타</t>
        </is>
      </c>
      <c r="D157" s="52" t="n"/>
      <c r="E157" s="54" t="n"/>
      <c r="F157" s="52" t="n"/>
      <c r="G157" s="55" t="n"/>
      <c r="H157" s="54" t="n"/>
      <c r="I157" s="54" t="n"/>
      <c r="J157" s="54" t="n"/>
      <c r="K157" s="56">
        <f>IF(SUM(U157:AY157)=0,"",SUM(U157:AY157))</f>
        <v/>
      </c>
      <c r="L157" s="57">
        <f>IFERROR(INDEX(U$2:AY$2,MATCH(TRUE,U157:AY157&lt;&gt;"",0)),"")</f>
        <v/>
      </c>
      <c r="M157" s="58">
        <f>IFERROR(LOOKUP(2,1/(U157:AY157&lt;&gt;""),U$2:AY$2),"")</f>
        <v/>
      </c>
      <c r="N157" s="59">
        <f>IF(OR(G157="",M157=""),"",G157-M157)</f>
        <v/>
      </c>
      <c r="O157" s="60" t="n"/>
      <c r="P157" s="61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  <c r="AG157" s="62" t="n"/>
      <c r="AH157" s="62" t="n"/>
      <c r="AI157" s="62" t="n"/>
      <c r="AJ157" s="62" t="n"/>
      <c r="AK157" s="62" t="n"/>
      <c r="AL157" s="62" t="n"/>
      <c r="AM157" s="62" t="n"/>
      <c r="AN157" s="62" t="n"/>
      <c r="AO157" s="62" t="n"/>
      <c r="AP157" s="62" t="n"/>
      <c r="AQ157" s="62" t="n"/>
      <c r="AR157" s="62" t="n"/>
      <c r="AS157" s="62" t="n"/>
      <c r="AT157" s="62" t="n"/>
      <c r="AU157" s="62" t="n"/>
      <c r="AV157" s="62" t="n"/>
      <c r="AW157" s="62" t="n"/>
      <c r="AX157" s="62" t="n"/>
      <c r="AY157" s="62" t="n"/>
    </row>
    <row r="158">
      <c r="A158" s="38">
        <f>IF(D158="","",COUNTA($D$133:D158))</f>
        <v/>
      </c>
      <c r="B158" s="52" t="n"/>
      <c r="C158" s="73" t="inlineStr">
        <is>
          <t>기타</t>
        </is>
      </c>
      <c r="D158" s="52" t="n"/>
      <c r="E158" s="54" t="n"/>
      <c r="F158" s="52" t="n"/>
      <c r="G158" s="55" t="n"/>
      <c r="H158" s="54" t="n"/>
      <c r="I158" s="54" t="n"/>
      <c r="J158" s="54" t="n"/>
      <c r="K158" s="56">
        <f>IF(SUM(U158:AY158)=0,"",SUM(U158:AY158))</f>
        <v/>
      </c>
      <c r="L158" s="57">
        <f>IFERROR(INDEX(U$2:AY$2,MATCH(TRUE,U158:AY158&lt;&gt;"",0)),"")</f>
        <v/>
      </c>
      <c r="M158" s="58">
        <f>IFERROR(LOOKUP(2,1/(U158:AY158&lt;&gt;""),U$2:AY$2),"")</f>
        <v/>
      </c>
      <c r="N158" s="59">
        <f>IF(OR(G158="",M158=""),"",G158-M158)</f>
        <v/>
      </c>
      <c r="O158" s="60" t="n"/>
      <c r="P158" s="61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  <c r="AG158" s="62" t="n"/>
      <c r="AH158" s="62" t="n"/>
      <c r="AI158" s="62" t="n"/>
      <c r="AJ158" s="62" t="n"/>
      <c r="AK158" s="62" t="n"/>
      <c r="AL158" s="62" t="n"/>
      <c r="AM158" s="62" t="n"/>
      <c r="AN158" s="62" t="n"/>
      <c r="AO158" s="62" t="n"/>
      <c r="AP158" s="62" t="n"/>
      <c r="AQ158" s="62" t="n"/>
      <c r="AR158" s="62" t="n"/>
      <c r="AS158" s="62" t="n"/>
      <c r="AT158" s="62" t="n"/>
      <c r="AU158" s="62" t="n"/>
      <c r="AV158" s="62" t="n"/>
      <c r="AW158" s="62" t="n"/>
      <c r="AX158" s="62" t="n"/>
      <c r="AY158" s="62" t="n"/>
    </row>
    <row r="159">
      <c r="A159" s="38">
        <f>IF(D159="","",COUNTA($D$133:D159))</f>
        <v/>
      </c>
      <c r="B159" s="52" t="n"/>
      <c r="C159" s="73" t="inlineStr">
        <is>
          <t>기타</t>
        </is>
      </c>
      <c r="D159" s="52" t="n"/>
      <c r="E159" s="54" t="n"/>
      <c r="F159" s="52" t="n"/>
      <c r="G159" s="55" t="n"/>
      <c r="H159" s="54" t="n"/>
      <c r="I159" s="54" t="n"/>
      <c r="J159" s="54" t="n"/>
      <c r="K159" s="56">
        <f>IF(SUM(U159:AY159)=0,"",SUM(U159:AY159))</f>
        <v/>
      </c>
      <c r="L159" s="57">
        <f>IFERROR(INDEX(U$2:AY$2,MATCH(TRUE,U159:AY159&lt;&gt;"",0)),"")</f>
        <v/>
      </c>
      <c r="M159" s="58">
        <f>IFERROR(LOOKUP(2,1/(U159:AY159&lt;&gt;""),U$2:AY$2),"")</f>
        <v/>
      </c>
      <c r="N159" s="59">
        <f>IF(OR(G159="",M159=""),"",G159-M159)</f>
        <v/>
      </c>
      <c r="O159" s="60" t="n"/>
      <c r="P159" s="61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  <c r="AG159" s="62" t="n"/>
      <c r="AH159" s="62" t="n"/>
      <c r="AI159" s="62" t="n"/>
      <c r="AJ159" s="62" t="n"/>
      <c r="AK159" s="62" t="n"/>
      <c r="AL159" s="62" t="n"/>
      <c r="AM159" s="62" t="n"/>
      <c r="AN159" s="62" t="n"/>
      <c r="AO159" s="62" t="n"/>
      <c r="AP159" s="62" t="n"/>
      <c r="AQ159" s="62" t="n"/>
      <c r="AR159" s="62" t="n"/>
      <c r="AS159" s="62" t="n"/>
      <c r="AT159" s="62" t="n"/>
      <c r="AU159" s="62" t="n"/>
      <c r="AV159" s="62" t="n"/>
      <c r="AW159" s="62" t="n"/>
      <c r="AX159" s="62" t="n"/>
      <c r="AY159" s="62" t="n"/>
    </row>
    <row r="160">
      <c r="A160" s="38">
        <f>IF(D160="","",COUNTA($D$133:D160))</f>
        <v/>
      </c>
      <c r="B160" s="52" t="n"/>
      <c r="C160" s="73" t="inlineStr">
        <is>
          <t>기타</t>
        </is>
      </c>
      <c r="D160" s="52" t="n"/>
      <c r="E160" s="54" t="n"/>
      <c r="F160" s="52" t="n"/>
      <c r="G160" s="55" t="n"/>
      <c r="H160" s="54" t="n"/>
      <c r="I160" s="54" t="n"/>
      <c r="J160" s="54" t="n"/>
      <c r="K160" s="56">
        <f>IF(SUM(U160:AY160)=0,"",SUM(U160:AY160))</f>
        <v/>
      </c>
      <c r="L160" s="57">
        <f>IFERROR(INDEX(U$2:AY$2,MATCH(TRUE,U160:AY160&lt;&gt;"",0)),"")</f>
        <v/>
      </c>
      <c r="M160" s="58">
        <f>IFERROR(LOOKUP(2,1/(U160:AY160&lt;&gt;""),U$2:AY$2),"")</f>
        <v/>
      </c>
      <c r="N160" s="59">
        <f>IF(OR(G160="",M160=""),"",G160-M160)</f>
        <v/>
      </c>
      <c r="O160" s="60" t="n"/>
      <c r="P160" s="61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  <c r="AG160" s="62" t="n"/>
      <c r="AH160" s="62" t="n"/>
      <c r="AI160" s="62" t="n"/>
      <c r="AJ160" s="62" t="n"/>
      <c r="AK160" s="62" t="n"/>
      <c r="AL160" s="62" t="n"/>
      <c r="AM160" s="62" t="n"/>
      <c r="AN160" s="62" t="n"/>
      <c r="AO160" s="62" t="n"/>
      <c r="AP160" s="62" t="n"/>
      <c r="AQ160" s="62" t="n"/>
      <c r="AR160" s="62" t="n"/>
      <c r="AS160" s="62" t="n"/>
      <c r="AT160" s="62" t="n"/>
      <c r="AU160" s="62" t="n"/>
      <c r="AV160" s="62" t="n"/>
      <c r="AW160" s="62" t="n"/>
      <c r="AX160" s="62" t="n"/>
      <c r="AY160" s="62" t="n"/>
    </row>
    <row r="161">
      <c r="A161" s="38">
        <f>IF(D161="","",COUNTA($D$133:D161))</f>
        <v/>
      </c>
      <c r="B161" s="52" t="n"/>
      <c r="C161" s="73" t="inlineStr">
        <is>
          <t>기타</t>
        </is>
      </c>
      <c r="D161" s="52" t="n"/>
      <c r="E161" s="54" t="n"/>
      <c r="F161" s="52" t="n"/>
      <c r="G161" s="55" t="n"/>
      <c r="H161" s="54" t="n"/>
      <c r="I161" s="54" t="n"/>
      <c r="J161" s="54" t="n"/>
      <c r="K161" s="56">
        <f>IF(SUM(U161:AY161)=0,"",SUM(U161:AY161))</f>
        <v/>
      </c>
      <c r="L161" s="57">
        <f>IFERROR(INDEX(U$2:AY$2,MATCH(TRUE,U161:AY161&lt;&gt;"",0)),"")</f>
        <v/>
      </c>
      <c r="M161" s="58">
        <f>IFERROR(LOOKUP(2,1/(U161:AY161&lt;&gt;""),U$2:AY$2),"")</f>
        <v/>
      </c>
      <c r="N161" s="59">
        <f>IF(OR(G161="",M161=""),"",G161-M161)</f>
        <v/>
      </c>
      <c r="O161" s="60" t="n"/>
      <c r="P161" s="61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  <c r="AG161" s="62" t="n"/>
      <c r="AH161" s="62" t="n"/>
      <c r="AI161" s="62" t="n"/>
      <c r="AJ161" s="62" t="n"/>
      <c r="AK161" s="62" t="n"/>
      <c r="AL161" s="62" t="n"/>
      <c r="AM161" s="62" t="n"/>
      <c r="AN161" s="62" t="n"/>
      <c r="AO161" s="62" t="n"/>
      <c r="AP161" s="62" t="n"/>
      <c r="AQ161" s="62" t="n"/>
      <c r="AR161" s="62" t="n"/>
      <c r="AS161" s="62" t="n"/>
      <c r="AT161" s="62" t="n"/>
      <c r="AU161" s="62" t="n"/>
      <c r="AV161" s="62" t="n"/>
      <c r="AW161" s="62" t="n"/>
      <c r="AX161" s="62" t="n"/>
      <c r="AY161" s="62" t="n"/>
    </row>
    <row r="162">
      <c r="A162" s="38">
        <f>IF(D162="","",COUNTA($D$133:D162))</f>
        <v/>
      </c>
      <c r="B162" s="52" t="n"/>
      <c r="C162" s="73" t="inlineStr">
        <is>
          <t>기타</t>
        </is>
      </c>
      <c r="D162" s="52" t="n"/>
      <c r="E162" s="54" t="n"/>
      <c r="F162" s="52" t="n"/>
      <c r="G162" s="55" t="n"/>
      <c r="H162" s="54" t="n"/>
      <c r="I162" s="54" t="n"/>
      <c r="J162" s="54" t="n"/>
      <c r="K162" s="56">
        <f>IF(SUM(U162:AY162)=0,"",SUM(U162:AY162))</f>
        <v/>
      </c>
      <c r="L162" s="57">
        <f>IFERROR(INDEX(U$2:AY$2,MATCH(TRUE,U162:AY162&lt;&gt;"",0)),"")</f>
        <v/>
      </c>
      <c r="M162" s="58">
        <f>IFERROR(LOOKUP(2,1/(U162:AY162&lt;&gt;""),U$2:AY$2),"")</f>
        <v/>
      </c>
      <c r="N162" s="59">
        <f>IF(OR(G162="",M162=""),"",G162-M162)</f>
        <v/>
      </c>
      <c r="O162" s="60" t="n"/>
      <c r="P162" s="61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  <c r="AG162" s="62" t="n"/>
      <c r="AH162" s="62" t="n"/>
      <c r="AI162" s="62" t="n"/>
      <c r="AJ162" s="62" t="n"/>
      <c r="AK162" s="62" t="n"/>
      <c r="AL162" s="62" t="n"/>
      <c r="AM162" s="62" t="n"/>
      <c r="AN162" s="62" t="n"/>
      <c r="AO162" s="62" t="n"/>
      <c r="AP162" s="62" t="n"/>
      <c r="AQ162" s="62" t="n"/>
      <c r="AR162" s="62" t="n"/>
      <c r="AS162" s="62" t="n"/>
      <c r="AT162" s="62" t="n"/>
      <c r="AU162" s="62" t="n"/>
      <c r="AV162" s="62" t="n"/>
      <c r="AW162" s="62" t="n"/>
      <c r="AX162" s="62" t="n"/>
      <c r="AY162" s="62" t="n"/>
    </row>
    <row r="163">
      <c r="A163" s="74">
        <f>'마스터'!$J$5</f>
        <v/>
      </c>
    </row>
    <row r="164">
      <c r="A164" s="74" t="inlineStr">
        <is>
          <t>공휴일(로컬 미러 - 조건부서식 전용, 편집 불필요)</t>
        </is>
      </c>
    </row>
    <row r="165">
      <c r="A165" s="75">
        <f>'마스터'!$J$13</f>
        <v/>
      </c>
    </row>
    <row r="166">
      <c r="A166" s="75">
        <f>'마스터'!$J$14</f>
        <v/>
      </c>
    </row>
    <row r="167">
      <c r="A167" s="75">
        <f>'마스터'!$J$15</f>
        <v/>
      </c>
    </row>
    <row r="168">
      <c r="A168" s="75">
        <f>'마스터'!$J$16</f>
        <v/>
      </c>
    </row>
    <row r="169">
      <c r="A169" s="75">
        <f>'마스터'!$J$17</f>
        <v/>
      </c>
    </row>
    <row r="170">
      <c r="A170" s="75">
        <f>'마스터'!$J$18</f>
        <v/>
      </c>
    </row>
    <row r="171">
      <c r="A171" s="75">
        <f>'마스터'!$J$19</f>
        <v/>
      </c>
    </row>
    <row r="172">
      <c r="A172" s="75">
        <f>'마스터'!$J$20</f>
        <v/>
      </c>
    </row>
    <row r="173">
      <c r="A173" s="75">
        <f>'마스터'!$J$21</f>
        <v/>
      </c>
    </row>
    <row r="174">
      <c r="A174" s="75">
        <f>'마스터'!$J$22</f>
        <v/>
      </c>
    </row>
    <row r="175">
      <c r="A175" s="75">
        <f>'마스터'!$J$23</f>
        <v/>
      </c>
    </row>
    <row r="176">
      <c r="A176" s="75">
        <f>'마스터'!$J$24</f>
        <v/>
      </c>
    </row>
    <row r="177">
      <c r="A177" s="75">
        <f>'마스터'!$J$25</f>
        <v/>
      </c>
    </row>
    <row r="178">
      <c r="A178" s="75">
        <f>'마스터'!$J$26</f>
        <v/>
      </c>
    </row>
    <row r="179">
      <c r="A179" s="75">
        <f>'마스터'!$J$27</f>
        <v/>
      </c>
    </row>
  </sheetData>
  <mergeCells count="13">
    <mergeCell ref="H1:J1"/>
    <mergeCell ref="K1:P1"/>
    <mergeCell ref="A1:G1"/>
    <mergeCell ref="A132:P132"/>
    <mergeCell ref="A5:F5"/>
    <mergeCell ref="A70:P70"/>
    <mergeCell ref="A8:P8"/>
    <mergeCell ref="U1:AY1"/>
    <mergeCell ref="A6:F6"/>
    <mergeCell ref="A39:P39"/>
    <mergeCell ref="A4:F4"/>
    <mergeCell ref="A101:P101"/>
    <mergeCell ref="A3:F3"/>
  </mergeCells>
  <conditionalFormatting sqref="U3:AY6">
    <cfRule type="expression" priority="1" dxfId="0">
      <formula>U3&gt;$H3</formula>
    </cfRule>
    <cfRule type="expression" priority="2" dxfId="1">
      <formula>AND(U3&gt;0,U3&gt;=$H3*0.8)</formula>
    </cfRule>
  </conditionalFormatting>
  <conditionalFormatting sqref="U3:AY162">
    <cfRule type="expression" priority="3" dxfId="2">
      <formula>OR(WEEKDAY(U$2,2)&gt;5,COUNTIF($A$165:$A$179,U$2)&gt;0)</formula>
    </cfRule>
  </conditionalFormatting>
  <conditionalFormatting sqref="U8:AY162">
    <cfRule type="expression" priority="4" dxfId="3">
      <formula>AND($F8&lt;&gt;"",U8&lt;&gt;"",SUMIF($F$8:$F$162,$F8,U$8:U$162)&gt;$A$163)</formula>
    </cfRule>
    <cfRule type="expression" priority="5" dxfId="4">
      <formula>$E8="기획"</formula>
    </cfRule>
    <cfRule type="expression" priority="6" dxfId="5">
      <formula>$E8="이미지"</formula>
    </cfRule>
    <cfRule type="expression" priority="7" dxfId="6">
      <formula>$E8="영상"</formula>
    </cfRule>
    <cfRule type="expression" priority="8" dxfId="7">
      <formula>AND($E8="기획",U8&lt;&gt;"")</formula>
    </cfRule>
    <cfRule type="expression" priority="9" dxfId="8">
      <formula>AND($E8="이미지",U8&lt;&gt;"")</formula>
    </cfRule>
    <cfRule type="expression" priority="10" dxfId="9">
      <formula>AND($E8="영상",U8&lt;&gt;"")</formula>
    </cfRule>
  </conditionalFormatting>
  <conditionalFormatting sqref="N8:N162">
    <cfRule type="expression" priority="11" dxfId="10">
      <formula>AND(N8&lt;&gt;"",N8&lt;0)</formula>
    </cfRule>
    <cfRule type="expression" priority="12" dxfId="11">
      <formula>AND(N8&lt;&gt;"",N8&gt;=0,N8&lt;=1)</formula>
    </cfRule>
    <cfRule type="expression" priority="13" dxfId="12">
      <formula>AND(N8&lt;&gt;"",N8&gt;1)</formula>
    </cfRule>
  </conditionalFormatting>
  <dataValidations count="3">
    <dataValidation sqref="B8:B162" showDropDown="0" showInputMessage="0" showErrorMessage="0" allowBlank="1" type="list">
      <formula1>='마스터'!$A$3:$A$27</formula1>
    </dataValidation>
    <dataValidation sqref="E8:E162" showDropDown="0" showInputMessage="0" showErrorMessage="0" allowBlank="1" type="list">
      <formula1>='마스터'!$E$3:$E$5</formula1>
    </dataValidation>
    <dataValidation sqref="O8:O162" showDropDown="0" showInputMessage="0" showErrorMessage="0" allowBlank="1" type="list">
      <formula1>='마스터'!$G$3:$G$6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2026-08-04T07:34:59Z</dcterms:created>
  <dcterms:modified xsi:type="dcterms:W3CDTF">2026-08-04T07:35:07Z</dcterms:modified>
</cp:coreProperties>
</file>