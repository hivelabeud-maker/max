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기준정보" sheetId="2" state="visible" r:id="rId2"/>
    <sheet name="통합관리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0&quot;h&quot;"/>
    <numFmt numFmtId="166" formatCode="0.000"/>
    <numFmt numFmtId="167" formatCode="0.0"/>
    <numFmt numFmtId="168" formatCode="m/d"/>
    <numFmt numFmtId="169" formatCode="m/d(ddd)"/>
    <numFmt numFmtId="170" formatCode="0.00;;"/>
    <numFmt numFmtId="171" formatCode="0.0;;"/>
    <numFmt numFmtId="172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808080"/>
      <sz val="11"/>
    </font>
    <font>
      <name val="Arial"/>
      <b val="1"/>
      <color rgb="00C0504D"/>
      <sz val="12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1F4E79"/>
      <sz val="15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808080"/>
      <sz val="9"/>
    </font>
    <font>
      <name val="Arial"/>
      <b val="1"/>
      <color rgb="001F4E79"/>
      <sz val="11"/>
    </font>
    <font>
      <name val="Arial"/>
      <color rgb="001F4E79"/>
      <sz val="10"/>
    </font>
    <font>
      <name val="Arial"/>
      <b val="1"/>
      <color rgb="001F4E79"/>
      <sz val="14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9"/>
    </font>
    <font>
      <name val="Arial"/>
      <color rgb="001F4E79"/>
      <sz val="9"/>
    </font>
    <font>
      <name val="Arial"/>
      <color rgb="00000000"/>
      <sz val="8"/>
    </font>
    <font>
      <name val="Arial"/>
      <b val="1"/>
      <color rgb="00C0504D"/>
      <sz val="11"/>
    </font>
    <font>
      <name val="Arial"/>
      <b val="1"/>
      <color rgb="00000000"/>
      <sz val="8"/>
    </font>
    <font>
      <name val="Arial"/>
      <color rgb="00000000"/>
      <sz val="7"/>
    </font>
    <font>
      <name val="Arial"/>
      <color rgb="00C0504D"/>
      <sz val="10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595959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/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0" pivotButton="0" quotePrefix="0" xfId="0"/>
    <xf numFmtId="0" fontId="4" fillId="4" borderId="1" pivotButton="0" quotePrefix="0" xfId="0"/>
    <xf numFmtId="0" fontId="9" fillId="0" borderId="0" pivotButton="0" quotePrefix="0" xfId="0"/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4" fillId="4" borderId="1" pivotButton="0" quotePrefix="0" xfId="0"/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168" fontId="16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70" fontId="18" fillId="4" borderId="1" applyAlignment="1" pivotButton="0" quotePrefix="0" xfId="0">
      <alignment horizontal="center" vertical="center"/>
    </xf>
    <xf numFmtId="170" fontId="13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69" fontId="18" fillId="4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 wrapText="1"/>
    </xf>
    <xf numFmtId="168" fontId="16" fillId="1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71" fontId="22" fillId="0" borderId="1" applyAlignment="1" pivotButton="0" quotePrefix="0" xfId="0">
      <alignment horizontal="center" vertical="center"/>
    </xf>
    <xf numFmtId="3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8" fillId="9" borderId="1" pivotButton="0" quotePrefix="0" xfId="0"/>
    <xf numFmtId="2" fontId="8" fillId="9" borderId="1" applyAlignment="1" pivotButton="0" quotePrefix="0" xfId="0">
      <alignment horizontal="center" vertical="center"/>
    </xf>
    <xf numFmtId="172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color rgb="009BBB59"/>
        <sz val="8"/>
      </font>
      <fill>
        <patternFill patternType="solid">
          <fgColor rgb="009BBB59"/>
        </patternFill>
      </fill>
    </dxf>
    <dxf>
      <font>
        <name val="Arial"/>
        <color rgb="00F79646"/>
        <sz val="8"/>
      </font>
      <fill>
        <patternFill patternType="solid">
          <fgColor rgb="00F79646"/>
        </patternFill>
      </fill>
    </dxf>
    <dxf>
      <font>
        <name val="Arial"/>
        <color rgb="004F81BD"/>
        <sz val="8"/>
      </font>
      <fill>
        <patternFill patternType="solid">
          <fgColor rgb="004F81BD"/>
        </patternFill>
      </fill>
    </dxf>
    <dxf>
      <font>
        <name val="Arial"/>
        <color rgb="00BFBFBF"/>
        <sz val="8"/>
      </font>
      <fill>
        <patternFill patternType="solid">
          <fgColor rgb="00BFBFBF"/>
        </patternFill>
      </fill>
    </dxf>
    <dxf>
      <font>
        <name val="Arial"/>
        <color rgb="008EA9DB"/>
        <sz val="8"/>
      </font>
      <fill>
        <patternFill patternType="solid">
          <fgColor rgb="008EA9DB"/>
        </patternFill>
      </fill>
    </dxf>
    <dxf>
      <fill>
        <patternFill patternType="solid">
          <fgColor rgb="00F2F2F2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  <sz val="7"/>
      </font>
      <fill>
        <patternFill patternType="solid">
          <fgColor rgb="00FFC7CE"/>
        </patternFill>
      </fill>
    </dxf>
    <dxf>
      <font>
        <name val="Arial"/>
        <color rgb="009C6500"/>
        <sz val="7"/>
      </font>
      <fill>
        <patternFill patternType="solid">
          <fgColor rgb="00FFEB9C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setup</author>
  </authors>
  <commentList>
    <comment ref="C17" authorId="0" shapeId="0">
      <text>
        <t>TO수·단가는 가정치입니다. 실제 조직 인원/단가로 교체하세요.</t>
      </text>
    </comment>
  </commentList>
</comments>
</file>

<file path=xl/comments/comment2.xml><?xml version="1.0" encoding="utf-8"?>
<comments xmlns="http://schemas.openxmlformats.org/spreadsheetml/2006/main">
  <authors>
    <author>setup</author>
  </authors>
  <commentList>
    <comment ref="B3" authorId="0" shapeId="0">
      <text>
        <t>↓ 3행은 예시입니다. 실제 업무로 덮어쓰세요. 노란 칸만 편집.</t>
      </text>
    </comment>
  </commentList>
</comments>
</file>

<file path=xl/comments/comment3.xml><?xml version="1.0" encoding="utf-8"?>
<comments xmlns="http://schemas.openxmlformats.org/spreadsheetml/2006/main">
  <authors>
    <author>d</author>
  </authors>
  <commentList>
    <comment ref="B6" authorId="0" shapeId="0">
      <text>
        <t>방안3에서만 견적에 가산됩니다.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2" customWidth="1" min="3" max="3"/>
  </cols>
  <sheetData>
    <row r="2">
      <c r="B2" s="1" t="inlineStr">
        <is>
          <t>AI 파이프라인 · 리소스 &amp; 스케줄 통합 관리 시트</t>
        </is>
      </c>
    </row>
    <row r="3">
      <c r="B3" s="2" t="inlineStr">
        <is>
          <t>v1.0  —  리소스 분배(실별 MD·견적) × 간트 스케줄 × 자동 마감예측을 한 장에서 관리</t>
        </is>
      </c>
    </row>
    <row r="5">
      <c r="B5" s="3" t="inlineStr">
        <is>
          <t>① 이 시트가 푸는 문제</t>
        </is>
      </c>
      <c r="C5" s="4" t="n"/>
    </row>
    <row r="6">
      <c r="B6" s="5" t="inlineStr">
        <is>
          <t>기존 예시의 한계</t>
        </is>
      </c>
      <c r="C6" s="6" t="inlineStr">
        <is>
          <t>동희 실장 리소스 시트: 실별 MD 분배·견적은 강하나 '언제 끝나나(간트)'가 없음.  밀리·라인 시트: 간트는 있으나 실별 분배·견적이 약함. → 두 장으로 갈라짐.</t>
        </is>
      </c>
    </row>
    <row r="7">
      <c r="B7" s="5" t="inlineStr">
        <is>
          <t>이 시트의 해법</t>
        </is>
      </c>
      <c r="C7" s="6" t="inlineStr">
        <is>
          <t>업무(소재) 1행에 [실별 MD] + [시작일·소요일]만 넣으면 → 예상완료일·D-day·실별 부하·월 MM·가동률·견적분배가 전부 자동 계산.</t>
        </is>
      </c>
    </row>
    <row r="9">
      <c r="B9" s="3" t="inlineStr">
        <is>
          <t>② 시트 구성</t>
        </is>
      </c>
      <c r="C9" s="4" t="n"/>
    </row>
    <row r="10">
      <c r="B10" s="5" t="inlineStr">
        <is>
          <t>⚙️ 기준정보</t>
        </is>
      </c>
      <c r="C10" s="6" t="inlineStr">
        <is>
          <t>시간→MD 환산표 · 실(팀) 마스터(TO·단가) · 소재유형별 표준공수 · 비나 시나리오 정의 · 간트 시작일. 노란 칸만 조직 실측치로 교체.</t>
        </is>
      </c>
    </row>
    <row r="11">
      <c r="B11" s="5" t="inlineStr">
        <is>
          <t>📊 통합관리</t>
        </is>
      </c>
      <c r="C11" s="6" t="inlineStr">
        <is>
          <t>메인. 업무 1건 = 1행. 노란 입력칸(실별 MD·시작일·희망마감·상태)만 채우면 나머지는 수식. 오른쪽에 데일리 간트, 하단에 실별 일일 부하 히트맵.</t>
        </is>
      </c>
    </row>
    <row r="12">
      <c r="B12" s="5" t="inlineStr">
        <is>
          <t>📈 대시보드</t>
        </is>
      </c>
      <c r="C12" s="6" t="inlineStr">
        <is>
          <t>실별 월 MD·MM·비중·가동률·견적분배 자동 집계. 상단 '비나 운영 시나리오' 드롭다운(방안1~4)을 바꾸면 견적 귀속 로직이 실시간 변경.</t>
        </is>
      </c>
    </row>
    <row r="14">
      <c r="B14" s="3" t="inlineStr">
        <is>
          <t>③ 입력 규칙 (노란 칸만 편집)</t>
        </is>
      </c>
      <c r="C14" s="4" t="n"/>
    </row>
    <row r="15">
      <c r="B15" s="5" t="inlineStr">
        <is>
          <t>실별 MD 입력</t>
        </is>
      </c>
      <c r="C15" s="6" t="inlineStr">
        <is>
          <t>각 소재 행에서 투입되는 실 칸에 MD를 입력.  MD 환산: 1일=8시간=1.0MD, 1시간=0.125MD (기준정보 환산표 참조).</t>
        </is>
      </c>
    </row>
    <row r="16">
      <c r="B16" s="5" t="inlineStr">
        <is>
          <t>시작일 / 상태</t>
        </is>
      </c>
      <c r="C16" s="6" t="inlineStr">
        <is>
          <t>시작일(날짜)과 상태(대기·진행·검수·완료) 선택 → 간트 막대가 상태 색으로 자동 표시(주말 제외).</t>
        </is>
      </c>
    </row>
    <row r="17">
      <c r="B17" s="5" t="inlineStr">
        <is>
          <t>소요일·예상완료</t>
        </is>
      </c>
      <c r="C17" s="6" t="inlineStr">
        <is>
          <t>자동. 소요일 = 병목 실(가장 MD 큰 실)의 MD를 올림 → 실들이 병렬 작업한다고 보고 최장 실이 마감을 결정. 예상완료 = 시작일 + 소요일(영업일).</t>
        </is>
      </c>
    </row>
    <row r="18">
      <c r="B18" s="5" t="inlineStr">
        <is>
          <t>여유(일)</t>
        </is>
      </c>
      <c r="C18" s="6" t="inlineStr">
        <is>
          <t>희망마감 − 예상완료.  음수(빨강)=지연 위험, 0~1(노랑)=빠듯, 그 외(초록)=여유.</t>
        </is>
      </c>
    </row>
    <row r="20">
      <c r="B20" s="3" t="inlineStr">
        <is>
          <t>④ 병렬 진행 마감 관리 (핵심)</t>
        </is>
      </c>
      <c r="C20" s="4" t="n"/>
    </row>
    <row r="21">
      <c r="B21" s="5" t="inlineStr">
        <is>
          <t>자동 마감예측</t>
        </is>
      </c>
      <c r="C21" s="6" t="inlineStr">
        <is>
          <t>각 업무의 예상완료일이 자동 계산 → 병렬로 여러 건이 떠 있어도 마감일이 바로 보임.</t>
        </is>
      </c>
    </row>
    <row r="22">
      <c r="B22" s="5" t="inlineStr">
        <is>
          <t>실별 부하 히트맵</t>
        </is>
      </c>
      <c r="C22" s="6" t="inlineStr">
        <is>
          <t>통합관리 하단. 날짜별로 각 실에 실제로 걸린 MD를 합산 → 해당 실의 일일 캐파(TO수) 초과 시 빨강. '이 실이 이 날 조율 필요'가 즉시 보임(동희 시트의 1TO 오버 개념).</t>
        </is>
      </c>
    </row>
    <row r="24">
      <c r="B24" s="3" t="inlineStr">
        <is>
          <t>⑤ 비나(VINA) 운영 4시나리오</t>
        </is>
      </c>
      <c r="C24" s="4" t="n"/>
    </row>
    <row r="25">
      <c r="B25" s="5" t="inlineStr">
        <is>
          <t>방안 1</t>
        </is>
      </c>
      <c r="C25" s="6" t="inlineStr">
        <is>
          <t>기획+내부디자인+비나영상 제작 → 기획·디자인 공수는 각 실, 비나 영상제작 공수는 MAX실 매출로 귀속.</t>
        </is>
      </c>
    </row>
    <row r="26">
      <c r="B26" s="5" t="inlineStr">
        <is>
          <t>방안 2</t>
        </is>
      </c>
      <c r="C26" s="6" t="inlineStr">
        <is>
          <t>비나는 사이즈베리만 → 영상 사이즈베리는 디자인실 공수로 흡수(디자인 부하↑).</t>
        </is>
      </c>
    </row>
    <row r="27">
      <c r="B27" s="5" t="inlineStr">
        <is>
          <t>방안 3</t>
        </is>
      </c>
      <c r="C27" s="6" t="inlineStr">
        <is>
          <t>비나 이미지팀 TO 추가발주(전담 배치) → 비나 독립 라인 + 이미지TO 추가비용 별도 가산.</t>
        </is>
      </c>
    </row>
    <row r="28">
      <c r="B28" s="5" t="inlineStr">
        <is>
          <t>방안 4</t>
        </is>
      </c>
      <c r="C28" s="6" t="inlineStr">
        <is>
          <t>본사 프로세스: 비나 영상팀+이미지팀 통합 제작(이미지 TO 추가발주 없음).</t>
        </is>
      </c>
    </row>
    <row r="29">
      <c r="B29" s="5" t="inlineStr">
        <is>
          <t>전환 방법</t>
        </is>
      </c>
      <c r="C29" s="6" t="inlineStr">
        <is>
          <t>대시보드 상단 드롭다운에서 방안 번호만 바꾸면 견적 분배가 자동 재계산 → 어느 방안이 유리한지 즉시 비교.</t>
        </is>
      </c>
    </row>
    <row r="31">
      <c r="B31" s="3" t="inlineStr">
        <is>
          <t>⑥ 색상 범례</t>
        </is>
      </c>
      <c r="C31" s="4" t="n"/>
    </row>
    <row r="32">
      <c r="B32" s="5" t="inlineStr">
        <is>
          <t>노랑 칸</t>
        </is>
      </c>
      <c r="C32" s="6" t="inlineStr">
        <is>
          <t>사용자 입력 칸 (여기만 편집).</t>
        </is>
      </c>
    </row>
    <row r="33">
      <c r="B33" s="5" t="inlineStr">
        <is>
          <t>파랑 글씨</t>
        </is>
      </c>
      <c r="C33" s="6" t="inlineStr">
        <is>
          <t>가정치/입력값.   검정 글씨 = 자동 수식.   회색 = 참고.</t>
        </is>
      </c>
    </row>
    <row r="34">
      <c r="B34" s="5" t="inlineStr">
        <is>
          <t>간트 막대</t>
        </is>
      </c>
      <c r="C34" s="6" t="inlineStr">
        <is>
          <t>진행=파랑 · 검수=주황 · 완료=초록 · 대기=회색.   주말=옅은 회색 음영.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40" customWidth="1" min="9" max="9"/>
  </cols>
  <sheetData>
    <row r="1">
      <c r="A1" s="7" t="inlineStr">
        <is>
          <t>⚙️ 기준정보 (BASIS)</t>
        </is>
      </c>
    </row>
    <row r="2">
      <c r="A2" s="8" t="inlineStr">
        <is>
          <t>시간→MD 환산 (1일 8h = 1.0MD)</t>
        </is>
      </c>
      <c r="G2" s="9" t="inlineStr">
        <is>
          <t>운영 파라미터</t>
        </is>
      </c>
      <c r="H2" s="10" t="n"/>
    </row>
    <row r="3">
      <c r="A3" s="9" t="inlineStr">
        <is>
          <t>시간</t>
        </is>
      </c>
      <c r="B3" s="9" t="inlineStr">
        <is>
          <t>MD</t>
        </is>
      </c>
      <c r="G3" s="11" t="inlineStr">
        <is>
          <t>월 가동일수</t>
        </is>
      </c>
      <c r="H3" s="12" t="n">
        <v>20</v>
      </c>
      <c r="I3" s="13" t="inlineStr">
        <is>
          <t>↩ 노란 칸은 조직 실측치로 교체하세요.</t>
        </is>
      </c>
    </row>
    <row r="4">
      <c r="A4" s="14" t="n">
        <v>1</v>
      </c>
      <c r="B4" s="15">
        <f>A4/8</f>
        <v/>
      </c>
      <c r="G4" s="11" t="inlineStr">
        <is>
          <t>1일 = MD</t>
        </is>
      </c>
      <c r="H4" s="12" t="n">
        <v>1</v>
      </c>
    </row>
    <row r="5">
      <c r="A5" s="14" t="n">
        <v>2</v>
      </c>
      <c r="B5" s="15">
        <f>A5/8</f>
        <v/>
      </c>
      <c r="G5" s="11" t="inlineStr">
        <is>
          <t>간트 시작일</t>
        </is>
      </c>
      <c r="H5" s="16">
        <f>DATE(2026,7,1)</f>
        <v/>
      </c>
    </row>
    <row r="6">
      <c r="A6" s="14" t="n">
        <v>3</v>
      </c>
      <c r="B6" s="15">
        <f>A6/8</f>
        <v/>
      </c>
    </row>
    <row r="7">
      <c r="A7" s="14" t="n">
        <v>4</v>
      </c>
      <c r="B7" s="15">
        <f>A7/8</f>
        <v/>
      </c>
    </row>
    <row r="8">
      <c r="A8" s="14" t="n">
        <v>5</v>
      </c>
      <c r="B8" s="15">
        <f>A8/8</f>
        <v/>
      </c>
    </row>
    <row r="9">
      <c r="A9" s="14" t="n">
        <v>6</v>
      </c>
      <c r="B9" s="15">
        <f>A9/8</f>
        <v/>
      </c>
    </row>
    <row r="10">
      <c r="A10" s="14" t="n">
        <v>7</v>
      </c>
      <c r="B10" s="15">
        <f>A10/8</f>
        <v/>
      </c>
    </row>
    <row r="11">
      <c r="A11" s="14" t="n">
        <v>8</v>
      </c>
      <c r="B11" s="15">
        <f>A11/8</f>
        <v/>
      </c>
    </row>
    <row r="12">
      <c r="A12" s="14" t="n">
        <v>9</v>
      </c>
      <c r="B12" s="15">
        <f>A12/8</f>
        <v/>
      </c>
    </row>
    <row r="13">
      <c r="A13" s="14" t="n">
        <v>10</v>
      </c>
      <c r="B13" s="15">
        <f>A13/8</f>
        <v/>
      </c>
    </row>
    <row r="15">
      <c r="A15" s="17" t="inlineStr">
        <is>
          <t>실(팀) 마스터  —  기획 / 디자인 / 영상</t>
        </is>
      </c>
    </row>
    <row r="16">
      <c r="A16" s="18" t="inlineStr">
        <is>
          <t>실명</t>
        </is>
      </c>
      <c r="B16" s="18" t="inlineStr">
        <is>
          <t>대분류</t>
        </is>
      </c>
      <c r="C16" s="18" t="inlineStr">
        <is>
          <t>TO수</t>
        </is>
      </c>
      <c r="D16" s="18" t="inlineStr">
        <is>
          <t>일단가(원)</t>
        </is>
      </c>
      <c r="E16" s="18" t="inlineStr">
        <is>
          <t>월가용MD</t>
        </is>
      </c>
    </row>
    <row r="17">
      <c r="A17" s="19" t="inlineStr">
        <is>
          <t>기획실</t>
        </is>
      </c>
      <c r="B17" s="20" t="inlineStr">
        <is>
          <t>기획</t>
        </is>
      </c>
      <c r="C17" s="21" t="n">
        <v>2</v>
      </c>
      <c r="D17" s="22" t="n">
        <v>450000</v>
      </c>
      <c r="E17" s="23">
        <f>C17*$H$3</f>
        <v/>
      </c>
    </row>
    <row r="18">
      <c r="A18" s="19" t="inlineStr">
        <is>
          <t>BXP실</t>
        </is>
      </c>
      <c r="B18" s="20" t="inlineStr">
        <is>
          <t>디자인</t>
        </is>
      </c>
      <c r="C18" s="21" t="n">
        <v>3</v>
      </c>
      <c r="D18" s="22" t="n">
        <v>420000</v>
      </c>
      <c r="E18" s="23">
        <f>C18*$H$3</f>
        <v/>
      </c>
    </row>
    <row r="19">
      <c r="A19" s="19" t="inlineStr">
        <is>
          <t>GXD1실</t>
        </is>
      </c>
      <c r="B19" s="20" t="inlineStr">
        <is>
          <t>디자인</t>
        </is>
      </c>
      <c r="C19" s="21" t="n">
        <v>2</v>
      </c>
      <c r="D19" s="22" t="n">
        <v>420000</v>
      </c>
      <c r="E19" s="23">
        <f>C19*$H$3</f>
        <v/>
      </c>
    </row>
    <row r="20">
      <c r="A20" s="19" t="inlineStr">
        <is>
          <t>GXD2실</t>
        </is>
      </c>
      <c r="B20" s="20" t="inlineStr">
        <is>
          <t>디자인</t>
        </is>
      </c>
      <c r="C20" s="21" t="n">
        <v>2</v>
      </c>
      <c r="D20" s="22" t="n">
        <v>420000</v>
      </c>
      <c r="E20" s="23">
        <f>C20*$H$3</f>
        <v/>
      </c>
    </row>
    <row r="21">
      <c r="A21" s="19" t="inlineStr">
        <is>
          <t>MAX실</t>
        </is>
      </c>
      <c r="B21" s="20" t="inlineStr">
        <is>
          <t>영상</t>
        </is>
      </c>
      <c r="C21" s="21" t="n">
        <v>3</v>
      </c>
      <c r="D21" s="22" t="n">
        <v>500000</v>
      </c>
      <c r="E21" s="23">
        <f>C21*$H$3</f>
        <v/>
      </c>
    </row>
    <row r="22">
      <c r="A22" s="19" t="inlineStr">
        <is>
          <t>VINA</t>
        </is>
      </c>
      <c r="B22" s="20" t="inlineStr">
        <is>
          <t>영상</t>
        </is>
      </c>
      <c r="C22" s="21" t="n">
        <v>2</v>
      </c>
      <c r="D22" s="22" t="n">
        <v>350000</v>
      </c>
      <c r="E22" s="23">
        <f>C22*$H$3</f>
        <v/>
      </c>
    </row>
    <row r="24">
      <c r="A24" s="17" t="inlineStr">
        <is>
          <t>소재유형별 표준공수 (참고 · 소재에 따라 ±1h)</t>
        </is>
      </c>
    </row>
    <row r="25">
      <c r="A25" s="18" t="inlineStr">
        <is>
          <t>소재유형</t>
        </is>
      </c>
      <c r="B25" s="18" t="inlineStr">
        <is>
          <t>시안(MD)</t>
        </is>
      </c>
      <c r="C25" s="18" t="inlineStr">
        <is>
          <t>사이즈베리</t>
        </is>
      </c>
      <c r="D25" s="18" t="inlineStr">
        <is>
          <t>다국어베리</t>
        </is>
      </c>
      <c r="E25" s="18" t="inlineStr">
        <is>
          <t>표준총MD</t>
        </is>
      </c>
    </row>
    <row r="26">
      <c r="A26" s="24" t="inlineStr">
        <is>
          <t>영상 30"</t>
        </is>
      </c>
      <c r="B26" s="25" t="n">
        <v>1.75</v>
      </c>
      <c r="C26" s="25" t="n">
        <v>0.75</v>
      </c>
      <c r="D26" s="25" t="n">
        <v>0.5</v>
      </c>
      <c r="E26" s="25">
        <f>B26+C26+D26</f>
        <v/>
      </c>
    </row>
    <row r="27">
      <c r="A27" s="24" t="inlineStr">
        <is>
          <t>영상 15"</t>
        </is>
      </c>
      <c r="B27" s="25" t="n">
        <v>1.25</v>
      </c>
      <c r="C27" s="25" t="n">
        <v>0.5</v>
      </c>
      <c r="D27" s="25" t="n">
        <v>0.25</v>
      </c>
      <c r="E27" s="25">
        <f>B27+C27+D27</f>
        <v/>
      </c>
    </row>
    <row r="28">
      <c r="A28" s="24" t="inlineStr">
        <is>
          <t>영상 6"</t>
        </is>
      </c>
      <c r="B28" s="25" t="n">
        <v>0.5</v>
      </c>
      <c r="C28" s="25" t="n">
        <v>0.25</v>
      </c>
      <c r="D28" s="25" t="n">
        <v>0</v>
      </c>
      <c r="E28" s="25">
        <f>B28+C28+D28</f>
        <v/>
      </c>
    </row>
    <row r="29">
      <c r="A29" s="24" t="inlineStr">
        <is>
          <t>홈 아이콘</t>
        </is>
      </c>
      <c r="B29" s="25" t="n">
        <v>0.13</v>
      </c>
      <c r="C29" s="25" t="n">
        <v>0</v>
      </c>
      <c r="D29" s="25" t="n">
        <v>0</v>
      </c>
      <c r="E29" s="25">
        <f>B29+C29+D29</f>
        <v/>
      </c>
    </row>
    <row r="30">
      <c r="A30" s="24" t="inlineStr">
        <is>
          <t>퍼즐 앨범</t>
        </is>
      </c>
      <c r="B30" s="25" t="n">
        <v>0.6899999999999999</v>
      </c>
      <c r="C30" s="25" t="n">
        <v>0.5600000000000001</v>
      </c>
      <c r="D30" s="25" t="n">
        <v>0.13</v>
      </c>
      <c r="E30" s="25">
        <f>B30+C30+D30</f>
        <v/>
      </c>
    </row>
    <row r="31">
      <c r="A31" s="24" t="inlineStr">
        <is>
          <t>로그인 보너스</t>
        </is>
      </c>
      <c r="B31" s="25" t="n">
        <v>0.44</v>
      </c>
      <c r="C31" s="25" t="n">
        <v>0.25</v>
      </c>
      <c r="D31" s="25" t="n">
        <v>0.13</v>
      </c>
      <c r="E31" s="25">
        <f>B31+C31+D31</f>
        <v/>
      </c>
    </row>
    <row r="32">
      <c r="A32" s="24" t="inlineStr">
        <is>
          <t>스페셜 미션</t>
        </is>
      </c>
      <c r="B32" s="25" t="n">
        <v>0.38</v>
      </c>
      <c r="C32" s="25" t="n">
        <v>0.31</v>
      </c>
      <c r="D32" s="25" t="n">
        <v>0.13</v>
      </c>
      <c r="E32" s="25">
        <f>B32+C32+D32</f>
        <v/>
      </c>
    </row>
    <row r="33">
      <c r="A33" s="24" t="inlineStr">
        <is>
          <t>OA CBU</t>
        </is>
      </c>
      <c r="B33" s="25" t="n">
        <v>0.38</v>
      </c>
      <c r="C33" s="25" t="n">
        <v>0</v>
      </c>
      <c r="D33" s="25" t="n">
        <v>0.13</v>
      </c>
      <c r="E33" s="25">
        <f>B33+C33+D33</f>
        <v/>
      </c>
    </row>
    <row r="34">
      <c r="A34" s="24" t="inlineStr">
        <is>
          <t>세일즈 팝업</t>
        </is>
      </c>
      <c r="B34" s="25" t="n">
        <v>0.31</v>
      </c>
      <c r="C34" s="25" t="n">
        <v>0</v>
      </c>
      <c r="D34" s="25" t="n">
        <v>0.13</v>
      </c>
      <c r="E34" s="25">
        <f>B34+C34+D34</f>
        <v/>
      </c>
    </row>
    <row r="35">
      <c r="A35" s="24" t="inlineStr">
        <is>
          <t>원픽팩</t>
        </is>
      </c>
      <c r="B35" s="25" t="n">
        <v>0.31</v>
      </c>
      <c r="C35" s="25" t="n">
        <v>0</v>
      </c>
      <c r="D35" s="25" t="n">
        <v>0.13</v>
      </c>
      <c r="E35" s="25">
        <f>B35+C35+D35</f>
        <v/>
      </c>
    </row>
    <row r="36">
      <c r="A36" s="24" t="inlineStr">
        <is>
          <t>상점 배너</t>
        </is>
      </c>
      <c r="B36" s="25" t="n">
        <v>0.19</v>
      </c>
      <c r="C36" s="25" t="n">
        <v>0</v>
      </c>
      <c r="D36" s="25" t="n">
        <v>0.13</v>
      </c>
      <c r="E36" s="25">
        <f>B36+C36+D36</f>
        <v/>
      </c>
    </row>
    <row r="37">
      <c r="A37" s="24" t="inlineStr">
        <is>
          <t>기타/신규</t>
        </is>
      </c>
      <c r="B37" s="25" t="n">
        <v>0.5</v>
      </c>
      <c r="C37" s="25" t="n">
        <v>0.25</v>
      </c>
      <c r="D37" s="25" t="n">
        <v>0.13</v>
      </c>
      <c r="E37" s="25">
        <f>B37+C37+D37</f>
        <v/>
      </c>
    </row>
    <row r="39">
      <c r="A39" s="17" t="inlineStr">
        <is>
          <t>비나(VINA) 운영 시나리오</t>
        </is>
      </c>
    </row>
    <row r="40">
      <c r="A40" s="18" t="inlineStr">
        <is>
          <t>방안</t>
        </is>
      </c>
      <c r="B40" s="18" t="inlineStr">
        <is>
          <t>견적 귀속 규칙</t>
        </is>
      </c>
      <c r="C40" s="26" t="n"/>
      <c r="D40" s="26" t="n"/>
      <c r="E40" s="26" t="n"/>
      <c r="F40" s="26" t="n"/>
      <c r="G40" s="26" t="n"/>
      <c r="H40" s="26" t="n"/>
      <c r="I40" s="10" t="n"/>
    </row>
    <row r="41">
      <c r="A41" s="27" t="inlineStr">
        <is>
          <t>방안 1</t>
        </is>
      </c>
      <c r="B41" s="28" t="inlineStr">
        <is>
          <t>기획+내부디자인+비나영상 제작 → 기획·디자인 공수는 각 실 / 비나 영상제작 공수는 MAX실 매출로 귀속</t>
        </is>
      </c>
    </row>
    <row r="42">
      <c r="A42" s="27" t="inlineStr">
        <is>
          <t>방안 2</t>
        </is>
      </c>
      <c r="B42" s="28" t="inlineStr">
        <is>
          <t>비나는 사이즈베리만 진행 → 영상 사이즈베리는 디자인실 공수로 흡수 (디자인 부하↑, 비나 몫 최소)</t>
        </is>
      </c>
    </row>
    <row r="43">
      <c r="A43" s="27" t="inlineStr">
        <is>
          <t>방안 3</t>
        </is>
      </c>
      <c r="B43" s="28" t="inlineStr">
        <is>
          <t>비나 이미지팀 TO 추가발주(전담) → 비나 독립 라인 + 이미지TO 추가비용 별도 가산</t>
        </is>
      </c>
    </row>
    <row r="44">
      <c r="A44" s="27" t="inlineStr">
        <is>
          <t>방안 4</t>
        </is>
      </c>
      <c r="B44" s="28" t="inlineStr">
        <is>
          <t>본사 프로세스: 비나 영상팀+이미지팀 통합 제작 (이미지 TO 추가발주 없음)</t>
        </is>
      </c>
    </row>
  </sheetData>
  <mergeCells count="7">
    <mergeCell ref="A2:B2"/>
    <mergeCell ref="B44:I44"/>
    <mergeCell ref="G2:H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3" customWidth="1" min="4" max="4"/>
    <col width="8" customWidth="1" min="5" max="5"/>
    <col width="6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10" customWidth="1" min="18" max="18"/>
    <col width="8" customWidth="1" min="19" max="19"/>
    <col width="11" customWidth="1" min="20" max="20"/>
    <col width="7" customWidth="1" min="21" max="21"/>
    <col width="11" customWidth="1" min="22" max="22"/>
    <col width="11" customWidth="1" min="23" max="23"/>
    <col width="7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</cols>
  <sheetData>
    <row r="1">
      <c r="A1" s="29" t="inlineStr">
        <is>
          <t>📊 통합관리 — 리소스 분배 · 스케줄 · 자동 마감예측</t>
        </is>
      </c>
      <c r="H1" s="30" t="inlineStr">
        <is>
          <t>기획</t>
        </is>
      </c>
      <c r="I1" s="31" t="inlineStr">
        <is>
          <t>디자인</t>
        </is>
      </c>
      <c r="L1" s="32" t="inlineStr">
        <is>
          <t>영상</t>
        </is>
      </c>
      <c r="N1" s="33" t="inlineStr">
        <is>
          <t>집계(MD)</t>
        </is>
      </c>
      <c r="R1" s="34" t="inlineStr">
        <is>
          <t>스케줄</t>
        </is>
      </c>
      <c r="Z1" s="35" t="inlineStr">
        <is>
          <t>일정 간트 · 주말 음영 · 상태색</t>
        </is>
      </c>
    </row>
    <row r="2">
      <c r="A2" s="36" t="inlineStr">
        <is>
          <t>No</t>
        </is>
      </c>
      <c r="B2" s="36" t="inlineStr">
        <is>
          <t>타이틀</t>
        </is>
      </c>
      <c r="C2" s="36" t="inlineStr">
        <is>
          <t>소재명 / 업무</t>
        </is>
      </c>
      <c r="D2" s="36" t="inlineStr">
        <is>
          <t>소재유형</t>
        </is>
      </c>
      <c r="E2" s="36" t="inlineStr">
        <is>
          <t>표준MD
(참고)</t>
        </is>
      </c>
      <c r="F2" s="36" t="inlineStr">
        <is>
          <t>수량</t>
        </is>
      </c>
      <c r="G2" s="36" t="inlineStr">
        <is>
          <t>스펙</t>
        </is>
      </c>
      <c r="H2" s="36" t="inlineStr">
        <is>
          <t>기획실</t>
        </is>
      </c>
      <c r="I2" s="36" t="inlineStr">
        <is>
          <t>BXP실</t>
        </is>
      </c>
      <c r="J2" s="36" t="inlineStr">
        <is>
          <t>GXD1실</t>
        </is>
      </c>
      <c r="K2" s="36" t="inlineStr">
        <is>
          <t>GXD2실</t>
        </is>
      </c>
      <c r="L2" s="36" t="inlineStr">
        <is>
          <t>MAX실</t>
        </is>
      </c>
      <c r="M2" s="36" t="inlineStr">
        <is>
          <t>VINA</t>
        </is>
      </c>
      <c r="N2" s="36" t="inlineStr">
        <is>
          <t>소재
MD합</t>
        </is>
      </c>
      <c r="O2" s="36" t="inlineStr">
        <is>
          <t>기획</t>
        </is>
      </c>
      <c r="P2" s="36" t="inlineStr">
        <is>
          <t>디자인</t>
        </is>
      </c>
      <c r="Q2" s="36" t="inlineStr">
        <is>
          <t>영상</t>
        </is>
      </c>
      <c r="R2" s="36" t="inlineStr">
        <is>
          <t>담당자</t>
        </is>
      </c>
      <c r="S2" s="36" t="inlineStr">
        <is>
          <t>상태</t>
        </is>
      </c>
      <c r="T2" s="36" t="inlineStr">
        <is>
          <t>시작일</t>
        </is>
      </c>
      <c r="U2" s="36" t="inlineStr">
        <is>
          <t>소요일
(자동)</t>
        </is>
      </c>
      <c r="V2" s="36" t="inlineStr">
        <is>
          <t>예상완료
(자동)</t>
        </is>
      </c>
      <c r="W2" s="36" t="inlineStr">
        <is>
          <t>희망
마감</t>
        </is>
      </c>
      <c r="X2" s="36" t="inlineStr">
        <is>
          <t>여유
(일)</t>
        </is>
      </c>
      <c r="Y2" s="37" t="n"/>
      <c r="Z2" s="38">
        <f>'기준정보'!$H$5</f>
        <v/>
      </c>
      <c r="AA2" s="38">
        <f>Z2+1</f>
        <v/>
      </c>
      <c r="AB2" s="38">
        <f>AA2+1</f>
        <v/>
      </c>
      <c r="AC2" s="38">
        <f>AB2+1</f>
        <v/>
      </c>
      <c r="AD2" s="38">
        <f>AC2+1</f>
        <v/>
      </c>
      <c r="AE2" s="38">
        <f>AD2+1</f>
        <v/>
      </c>
      <c r="AF2" s="38">
        <f>AE2+1</f>
        <v/>
      </c>
      <c r="AG2" s="38">
        <f>AF2+1</f>
        <v/>
      </c>
      <c r="AH2" s="38">
        <f>AG2+1</f>
        <v/>
      </c>
      <c r="AI2" s="38">
        <f>AH2+1</f>
        <v/>
      </c>
      <c r="AJ2" s="38">
        <f>AI2+1</f>
        <v/>
      </c>
      <c r="AK2" s="38">
        <f>AJ2+1</f>
        <v/>
      </c>
      <c r="AL2" s="38">
        <f>AK2+1</f>
        <v/>
      </c>
      <c r="AM2" s="38">
        <f>AL2+1</f>
        <v/>
      </c>
      <c r="AN2" s="38">
        <f>AM2+1</f>
        <v/>
      </c>
      <c r="AO2" s="38">
        <f>AN2+1</f>
        <v/>
      </c>
      <c r="AP2" s="38">
        <f>AO2+1</f>
        <v/>
      </c>
      <c r="AQ2" s="38">
        <f>AP2+1</f>
        <v/>
      </c>
      <c r="AR2" s="38">
        <f>AQ2+1</f>
        <v/>
      </c>
      <c r="AS2" s="38">
        <f>AR2+1</f>
        <v/>
      </c>
      <c r="AT2" s="38">
        <f>AS2+1</f>
        <v/>
      </c>
      <c r="AU2" s="38">
        <f>AT2+1</f>
        <v/>
      </c>
      <c r="AV2" s="38">
        <f>AU2+1</f>
        <v/>
      </c>
      <c r="AW2" s="38">
        <f>AV2+1</f>
        <v/>
      </c>
      <c r="AX2" s="38">
        <f>AW2+1</f>
        <v/>
      </c>
      <c r="AY2" s="38">
        <f>AX2+1</f>
        <v/>
      </c>
      <c r="AZ2" s="38">
        <f>AY2+1</f>
        <v/>
      </c>
      <c r="BA2" s="38">
        <f>AZ2+1</f>
        <v/>
      </c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  <c r="BN2" s="37" t="n"/>
      <c r="BO2" s="37" t="n"/>
      <c r="BP2" s="37" t="n"/>
      <c r="BQ2" s="37" t="n"/>
      <c r="BR2" s="37" t="n"/>
      <c r="BS2" s="37" t="n"/>
      <c r="BT2" s="37" t="n"/>
      <c r="BU2" s="37" t="n"/>
      <c r="BV2" s="37" t="n"/>
      <c r="BW2" s="37" t="n"/>
      <c r="BX2" s="37" t="n"/>
      <c r="BY2" s="37" t="n"/>
      <c r="BZ2" s="37" t="n"/>
    </row>
    <row r="3">
      <c r="A3" s="39">
        <f>IF(COUNTA(C3:C3)=0,"",ROW()-2)</f>
        <v/>
      </c>
      <c r="B3" s="40" t="inlineStr">
        <is>
          <t>세나리버스</t>
        </is>
      </c>
      <c r="C3" s="40" t="inlineStr">
        <is>
          <t>여름 이벤트 KV 영상(30")</t>
        </is>
      </c>
      <c r="D3" s="40" t="inlineStr">
        <is>
          <t>영상 30"</t>
        </is>
      </c>
      <c r="E3" s="41">
        <f>IFERROR(INDEX('기준정보'!$E$26:$E$37,MATCH(D3,'기준정보'!$A$26:$A$37,0))*IF(F3="",1,F3),"")</f>
        <v/>
      </c>
      <c r="F3" s="40" t="n">
        <v>1</v>
      </c>
      <c r="G3" s="40" t="inlineStr">
        <is>
          <t>30"</t>
        </is>
      </c>
      <c r="H3" s="42" t="n">
        <v>0.2</v>
      </c>
      <c r="I3" s="42" t="n">
        <v>0.4</v>
      </c>
      <c r="J3" s="42" t="n">
        <v>0</v>
      </c>
      <c r="K3" s="42" t="n">
        <v>0.1</v>
      </c>
      <c r="L3" s="42" t="n">
        <v>2.5</v>
      </c>
      <c r="M3" s="42" t="n">
        <v>0</v>
      </c>
      <c r="N3" s="43">
        <f>IF(SUM(H3:M3)=0,"",SUM(H3:M3))</f>
        <v/>
      </c>
      <c r="O3" s="44">
        <f>IF(H3="","",H3)</f>
        <v/>
      </c>
      <c r="P3" s="44">
        <f>IF(SUM(I3:K3)=0,"",SUM(I3:K3))</f>
        <v/>
      </c>
      <c r="Q3" s="44">
        <f>IF(SUM(L3:M3)=0,"",SUM(L3:M3))</f>
        <v/>
      </c>
      <c r="R3" s="40" t="inlineStr">
        <is>
          <t>Neo</t>
        </is>
      </c>
      <c r="S3" s="40" t="inlineStr">
        <is>
          <t>진행</t>
        </is>
      </c>
      <c r="T3" s="45">
        <f>DATE(2026,7,1)</f>
        <v/>
      </c>
      <c r="U3" s="39">
        <f>IF(SUM(H3:M3)=0,0,ROUNDUP(MAX(H3:M3)/'기준정보'!$H$4,0))</f>
        <v/>
      </c>
      <c r="V3" s="46">
        <f>IF(OR(T3="",U3=0),"",WORKDAY(T3-1,U3))</f>
        <v/>
      </c>
      <c r="W3" s="45">
        <f>DATE(2026,7,6)</f>
        <v/>
      </c>
      <c r="X3" s="47">
        <f>IF(OR(W3="",V3=""),"",W3-V3)</f>
        <v/>
      </c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</row>
    <row r="4">
      <c r="A4" s="39">
        <f>IF(COUNTA(C4:C4)=0,"",ROW()-2)</f>
        <v/>
      </c>
      <c r="B4" s="40" t="inlineStr">
        <is>
          <t>칠대죄오리진</t>
        </is>
      </c>
      <c r="C4" s="40" t="inlineStr">
        <is>
          <t>고우더 리워드 라이브포스터(15")</t>
        </is>
      </c>
      <c r="D4" s="40" t="inlineStr">
        <is>
          <t>영상 15"</t>
        </is>
      </c>
      <c r="E4" s="41">
        <f>IFERROR(INDEX('기준정보'!$E$26:$E$37,MATCH(D4,'기준정보'!$A$26:$A$37,0))*IF(F4="",1,F4),"")</f>
        <v/>
      </c>
      <c r="F4" s="40" t="n">
        <v>1</v>
      </c>
      <c r="G4" s="40" t="inlineStr">
        <is>
          <t>15"</t>
        </is>
      </c>
      <c r="H4" s="42" t="n">
        <v>0</v>
      </c>
      <c r="I4" s="42" t="n">
        <v>0.4</v>
      </c>
      <c r="J4" s="42" t="n">
        <v>0.3</v>
      </c>
      <c r="K4" s="42" t="n">
        <v>0</v>
      </c>
      <c r="L4" s="42" t="n">
        <v>1.5</v>
      </c>
      <c r="M4" s="42" t="n">
        <v>0.5</v>
      </c>
      <c r="N4" s="43">
        <f>IF(SUM(H4:M4)=0,"",SUM(H4:M4))</f>
        <v/>
      </c>
      <c r="O4" s="44">
        <f>IF(H4="","",H4)</f>
        <v/>
      </c>
      <c r="P4" s="44">
        <f>IF(SUM(I4:K4)=0,"",SUM(I4:K4))</f>
        <v/>
      </c>
      <c r="Q4" s="44">
        <f>IF(SUM(L4:M4)=0,"",SUM(L4:M4))</f>
        <v/>
      </c>
      <c r="R4" s="40" t="inlineStr">
        <is>
          <t>Sopia</t>
        </is>
      </c>
      <c r="S4" s="40" t="inlineStr">
        <is>
          <t>진행</t>
        </is>
      </c>
      <c r="T4" s="45">
        <f>DATE(2026,7,2)</f>
        <v/>
      </c>
      <c r="U4" s="39">
        <f>IF(SUM(H4:M4)=0,0,ROUNDUP(MAX(H4:M4)/'기준정보'!$H$4,0))</f>
        <v/>
      </c>
      <c r="V4" s="46">
        <f>IF(OR(T4="",U4=0),"",WORKDAY(T4-1,U4))</f>
        <v/>
      </c>
      <c r="W4" s="45">
        <f>DATE(2026,7,7)</f>
        <v/>
      </c>
      <c r="X4" s="47">
        <f>IF(OR(W4="",V4=""),"",W4-V4)</f>
        <v/>
      </c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</row>
    <row r="5">
      <c r="A5" s="39">
        <f>IF(COUNTA(C5:C5)=0,"",ROW()-2)</f>
        <v/>
      </c>
      <c r="B5" s="40" t="inlineStr">
        <is>
          <t>세나리버스</t>
        </is>
      </c>
      <c r="C5" s="40" t="inlineStr">
        <is>
          <t>엔드카드 영상 사이즈베리(6")</t>
        </is>
      </c>
      <c r="D5" s="40" t="inlineStr">
        <is>
          <t>영상 6"</t>
        </is>
      </c>
      <c r="E5" s="41">
        <f>IFERROR(INDEX('기준정보'!$E$26:$E$37,MATCH(D5,'기준정보'!$A$26:$A$37,0))*IF(F5="",1,F5),"")</f>
        <v/>
      </c>
      <c r="F5" s="40" t="n">
        <v>1</v>
      </c>
      <c r="G5" s="40" t="inlineStr">
        <is>
          <t>6"</t>
        </is>
      </c>
      <c r="H5" s="42" t="n">
        <v>0</v>
      </c>
      <c r="I5" s="42" t="n">
        <v>0.3</v>
      </c>
      <c r="J5" s="42" t="n">
        <v>0</v>
      </c>
      <c r="K5" s="42" t="n">
        <v>0</v>
      </c>
      <c r="L5" s="42" t="n">
        <v>0.5</v>
      </c>
      <c r="M5" s="42" t="n">
        <v>0.5</v>
      </c>
      <c r="N5" s="43">
        <f>IF(SUM(H5:M5)=0,"",SUM(H5:M5))</f>
        <v/>
      </c>
      <c r="O5" s="44">
        <f>IF(H5="","",H5)</f>
        <v/>
      </c>
      <c r="P5" s="44">
        <f>IF(SUM(I5:K5)=0,"",SUM(I5:K5))</f>
        <v/>
      </c>
      <c r="Q5" s="44">
        <f>IF(SUM(L5:M5)=0,"",SUM(L5:M5))</f>
        <v/>
      </c>
      <c r="R5" s="40" t="inlineStr">
        <is>
          <t>Brush</t>
        </is>
      </c>
      <c r="S5" s="40" t="inlineStr">
        <is>
          <t>대기</t>
        </is>
      </c>
      <c r="T5" s="45">
        <f>DATE(2026,7,3)</f>
        <v/>
      </c>
      <c r="U5" s="39">
        <f>IF(SUM(H5:M5)=0,0,ROUNDUP(MAX(H5:M5)/'기준정보'!$H$4,0))</f>
        <v/>
      </c>
      <c r="V5" s="46">
        <f>IF(OR(T5="",U5=0),"",WORKDAY(T5-1,U5))</f>
        <v/>
      </c>
      <c r="W5" s="45">
        <f>DATE(2026,7,4)</f>
        <v/>
      </c>
      <c r="X5" s="47">
        <f>IF(OR(W5="",V5=""),"",W5-V5)</f>
        <v/>
      </c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</row>
    <row r="6">
      <c r="A6" s="39">
        <f>IF(COUNTA(C6:C6)=0,"",ROW()-2)</f>
        <v/>
      </c>
      <c r="B6" s="40" t="n"/>
      <c r="C6" s="40" t="n"/>
      <c r="D6" s="40" t="n"/>
      <c r="E6" s="41">
        <f>IFERROR(INDEX('기준정보'!$E$26:$E$37,MATCH(D6,'기준정보'!$A$26:$A$37,0))*IF(F6="",1,F6),"")</f>
        <v/>
      </c>
      <c r="F6" s="40" t="n"/>
      <c r="G6" s="40" t="n"/>
      <c r="H6" s="42" t="n"/>
      <c r="I6" s="42" t="n"/>
      <c r="J6" s="42" t="n"/>
      <c r="K6" s="42" t="n"/>
      <c r="L6" s="42" t="n"/>
      <c r="M6" s="42" t="n"/>
      <c r="N6" s="43">
        <f>IF(SUM(H6:M6)=0,"",SUM(H6:M6))</f>
        <v/>
      </c>
      <c r="O6" s="44">
        <f>IF(H6="","",H6)</f>
        <v/>
      </c>
      <c r="P6" s="44">
        <f>IF(SUM(I6:K6)=0,"",SUM(I6:K6))</f>
        <v/>
      </c>
      <c r="Q6" s="44">
        <f>IF(SUM(L6:M6)=0,"",SUM(L6:M6))</f>
        <v/>
      </c>
      <c r="R6" s="40" t="n"/>
      <c r="S6" s="40" t="n"/>
      <c r="T6" s="45" t="n"/>
      <c r="U6" s="39">
        <f>IF(SUM(H6:M6)=0,0,ROUNDUP(MAX(H6:M6)/'기준정보'!$H$4,0))</f>
        <v/>
      </c>
      <c r="V6" s="46">
        <f>IF(OR(T6="",U6=0),"",WORKDAY(T6-1,U6))</f>
        <v/>
      </c>
      <c r="W6" s="45" t="n"/>
      <c r="X6" s="47">
        <f>IF(OR(W6="",V6=""),"",W6-V6)</f>
        <v/>
      </c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  <c r="AY6" s="48" t="n"/>
      <c r="AZ6" s="48" t="n"/>
      <c r="BA6" s="48" t="n"/>
    </row>
    <row r="7">
      <c r="A7" s="39">
        <f>IF(COUNTA(C7:C7)=0,"",ROW()-2)</f>
        <v/>
      </c>
      <c r="B7" s="40" t="n"/>
      <c r="C7" s="40" t="n"/>
      <c r="D7" s="40" t="n"/>
      <c r="E7" s="41">
        <f>IFERROR(INDEX('기준정보'!$E$26:$E$37,MATCH(D7,'기준정보'!$A$26:$A$37,0))*IF(F7="",1,F7),"")</f>
        <v/>
      </c>
      <c r="F7" s="40" t="n"/>
      <c r="G7" s="40" t="n"/>
      <c r="H7" s="42" t="n"/>
      <c r="I7" s="42" t="n"/>
      <c r="J7" s="42" t="n"/>
      <c r="K7" s="42" t="n"/>
      <c r="L7" s="42" t="n"/>
      <c r="M7" s="42" t="n"/>
      <c r="N7" s="43">
        <f>IF(SUM(H7:M7)=0,"",SUM(H7:M7))</f>
        <v/>
      </c>
      <c r="O7" s="44">
        <f>IF(H7="","",H7)</f>
        <v/>
      </c>
      <c r="P7" s="44">
        <f>IF(SUM(I7:K7)=0,"",SUM(I7:K7))</f>
        <v/>
      </c>
      <c r="Q7" s="44">
        <f>IF(SUM(L7:M7)=0,"",SUM(L7:M7))</f>
        <v/>
      </c>
      <c r="R7" s="40" t="n"/>
      <c r="S7" s="40" t="n"/>
      <c r="T7" s="45" t="n"/>
      <c r="U7" s="39">
        <f>IF(SUM(H7:M7)=0,0,ROUNDUP(MAX(H7:M7)/'기준정보'!$H$4,0))</f>
        <v/>
      </c>
      <c r="V7" s="46">
        <f>IF(OR(T7="",U7=0),"",WORKDAY(T7-1,U7))</f>
        <v/>
      </c>
      <c r="W7" s="45" t="n"/>
      <c r="X7" s="47">
        <f>IF(OR(W7="",V7=""),"",W7-V7)</f>
        <v/>
      </c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8" t="n"/>
      <c r="AM7" s="48" t="n"/>
      <c r="AN7" s="48" t="n"/>
      <c r="AO7" s="48" t="n"/>
      <c r="AP7" s="48" t="n"/>
      <c r="AQ7" s="48" t="n"/>
      <c r="AR7" s="48" t="n"/>
      <c r="AS7" s="48" t="n"/>
      <c r="AT7" s="48" t="n"/>
      <c r="AU7" s="48" t="n"/>
      <c r="AV7" s="48" t="n"/>
      <c r="AW7" s="48" t="n"/>
      <c r="AX7" s="48" t="n"/>
      <c r="AY7" s="48" t="n"/>
      <c r="AZ7" s="48" t="n"/>
      <c r="BA7" s="48" t="n"/>
    </row>
    <row r="8">
      <c r="A8" s="39">
        <f>IF(COUNTA(C8:C8)=0,"",ROW()-2)</f>
        <v/>
      </c>
      <c r="B8" s="40" t="n"/>
      <c r="C8" s="40" t="n"/>
      <c r="D8" s="40" t="n"/>
      <c r="E8" s="41">
        <f>IFERROR(INDEX('기준정보'!$E$26:$E$37,MATCH(D8,'기준정보'!$A$26:$A$37,0))*IF(F8="",1,F8),"")</f>
        <v/>
      </c>
      <c r="F8" s="40" t="n"/>
      <c r="G8" s="40" t="n"/>
      <c r="H8" s="42" t="n"/>
      <c r="I8" s="42" t="n"/>
      <c r="J8" s="42" t="n"/>
      <c r="K8" s="42" t="n"/>
      <c r="L8" s="42" t="n"/>
      <c r="M8" s="42" t="n"/>
      <c r="N8" s="43">
        <f>IF(SUM(H8:M8)=0,"",SUM(H8:M8))</f>
        <v/>
      </c>
      <c r="O8" s="44">
        <f>IF(H8="","",H8)</f>
        <v/>
      </c>
      <c r="P8" s="44">
        <f>IF(SUM(I8:K8)=0,"",SUM(I8:K8))</f>
        <v/>
      </c>
      <c r="Q8" s="44">
        <f>IF(SUM(L8:M8)=0,"",SUM(L8:M8))</f>
        <v/>
      </c>
      <c r="R8" s="40" t="n"/>
      <c r="S8" s="40" t="n"/>
      <c r="T8" s="45" t="n"/>
      <c r="U8" s="39">
        <f>IF(SUM(H8:M8)=0,0,ROUNDUP(MAX(H8:M8)/'기준정보'!$H$4,0))</f>
        <v/>
      </c>
      <c r="V8" s="46">
        <f>IF(OR(T8="",U8=0),"",WORKDAY(T8-1,U8))</f>
        <v/>
      </c>
      <c r="W8" s="45" t="n"/>
      <c r="X8" s="47">
        <f>IF(OR(W8="",V8=""),"",W8-V8)</f>
        <v/>
      </c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8" t="n"/>
      <c r="AU8" s="48" t="n"/>
      <c r="AV8" s="48" t="n"/>
      <c r="AW8" s="48" t="n"/>
      <c r="AX8" s="48" t="n"/>
      <c r="AY8" s="48" t="n"/>
      <c r="AZ8" s="48" t="n"/>
      <c r="BA8" s="48" t="n"/>
    </row>
    <row r="9">
      <c r="A9" s="39">
        <f>IF(COUNTA(C9:C9)=0,"",ROW()-2)</f>
        <v/>
      </c>
      <c r="B9" s="40" t="n"/>
      <c r="C9" s="40" t="n"/>
      <c r="D9" s="40" t="n"/>
      <c r="E9" s="41">
        <f>IFERROR(INDEX('기준정보'!$E$26:$E$37,MATCH(D9,'기준정보'!$A$26:$A$37,0))*IF(F9="",1,F9),"")</f>
        <v/>
      </c>
      <c r="F9" s="40" t="n"/>
      <c r="G9" s="40" t="n"/>
      <c r="H9" s="42" t="n"/>
      <c r="I9" s="42" t="n"/>
      <c r="J9" s="42" t="n"/>
      <c r="K9" s="42" t="n"/>
      <c r="L9" s="42" t="n"/>
      <c r="M9" s="42" t="n"/>
      <c r="N9" s="43">
        <f>IF(SUM(H9:M9)=0,"",SUM(H9:M9))</f>
        <v/>
      </c>
      <c r="O9" s="44">
        <f>IF(H9="","",H9)</f>
        <v/>
      </c>
      <c r="P9" s="44">
        <f>IF(SUM(I9:K9)=0,"",SUM(I9:K9))</f>
        <v/>
      </c>
      <c r="Q9" s="44">
        <f>IF(SUM(L9:M9)=0,"",SUM(L9:M9))</f>
        <v/>
      </c>
      <c r="R9" s="40" t="n"/>
      <c r="S9" s="40" t="n"/>
      <c r="T9" s="45" t="n"/>
      <c r="U9" s="39">
        <f>IF(SUM(H9:M9)=0,0,ROUNDUP(MAX(H9:M9)/'기준정보'!$H$4,0))</f>
        <v/>
      </c>
      <c r="V9" s="46">
        <f>IF(OR(T9="",U9=0),"",WORKDAY(T9-1,U9))</f>
        <v/>
      </c>
      <c r="W9" s="45" t="n"/>
      <c r="X9" s="47">
        <f>IF(OR(W9="",V9=""),"",W9-V9)</f>
        <v/>
      </c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  <c r="AO9" s="48" t="n"/>
      <c r="AP9" s="48" t="n"/>
      <c r="AQ9" s="48" t="n"/>
      <c r="AR9" s="48" t="n"/>
      <c r="AS9" s="48" t="n"/>
      <c r="AT9" s="48" t="n"/>
      <c r="AU9" s="48" t="n"/>
      <c r="AV9" s="48" t="n"/>
      <c r="AW9" s="48" t="n"/>
      <c r="AX9" s="48" t="n"/>
      <c r="AY9" s="48" t="n"/>
      <c r="AZ9" s="48" t="n"/>
      <c r="BA9" s="48" t="n"/>
    </row>
    <row r="10">
      <c r="A10" s="39">
        <f>IF(COUNTA(C10:C10)=0,"",ROW()-2)</f>
        <v/>
      </c>
      <c r="B10" s="40" t="n"/>
      <c r="C10" s="40" t="n"/>
      <c r="D10" s="40" t="n"/>
      <c r="E10" s="41">
        <f>IFERROR(INDEX('기준정보'!$E$26:$E$37,MATCH(D10,'기준정보'!$A$26:$A$37,0))*IF(F10="",1,F10),"")</f>
        <v/>
      </c>
      <c r="F10" s="40" t="n"/>
      <c r="G10" s="40" t="n"/>
      <c r="H10" s="42" t="n"/>
      <c r="I10" s="42" t="n"/>
      <c r="J10" s="42" t="n"/>
      <c r="K10" s="42" t="n"/>
      <c r="L10" s="42" t="n"/>
      <c r="M10" s="42" t="n"/>
      <c r="N10" s="43">
        <f>IF(SUM(H10:M10)=0,"",SUM(H10:M10))</f>
        <v/>
      </c>
      <c r="O10" s="44">
        <f>IF(H10="","",H10)</f>
        <v/>
      </c>
      <c r="P10" s="44">
        <f>IF(SUM(I10:K10)=0,"",SUM(I10:K10))</f>
        <v/>
      </c>
      <c r="Q10" s="44">
        <f>IF(SUM(L10:M10)=0,"",SUM(L10:M10))</f>
        <v/>
      </c>
      <c r="R10" s="40" t="n"/>
      <c r="S10" s="40" t="n"/>
      <c r="T10" s="45" t="n"/>
      <c r="U10" s="39">
        <f>IF(SUM(H10:M10)=0,0,ROUNDUP(MAX(H10:M10)/'기준정보'!$H$4,0))</f>
        <v/>
      </c>
      <c r="V10" s="46">
        <f>IF(OR(T10="",U10=0),"",WORKDAY(T10-1,U10))</f>
        <v/>
      </c>
      <c r="W10" s="45" t="n"/>
      <c r="X10" s="47">
        <f>IF(OR(W10="",V10=""),"",W10-V10)</f>
        <v/>
      </c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8" t="n"/>
      <c r="AM10" s="48" t="n"/>
      <c r="AN10" s="48" t="n"/>
      <c r="AO10" s="48" t="n"/>
      <c r="AP10" s="48" t="n"/>
      <c r="AQ10" s="48" t="n"/>
      <c r="AR10" s="48" t="n"/>
      <c r="AS10" s="48" t="n"/>
      <c r="AT10" s="48" t="n"/>
      <c r="AU10" s="48" t="n"/>
      <c r="AV10" s="48" t="n"/>
      <c r="AW10" s="48" t="n"/>
      <c r="AX10" s="48" t="n"/>
      <c r="AY10" s="48" t="n"/>
      <c r="AZ10" s="48" t="n"/>
      <c r="BA10" s="48" t="n"/>
    </row>
    <row r="11">
      <c r="A11" s="39">
        <f>IF(COUNTA(C11:C11)=0,"",ROW()-2)</f>
        <v/>
      </c>
      <c r="B11" s="40" t="n"/>
      <c r="C11" s="40" t="n"/>
      <c r="D11" s="40" t="n"/>
      <c r="E11" s="41">
        <f>IFERROR(INDEX('기준정보'!$E$26:$E$37,MATCH(D11,'기준정보'!$A$26:$A$37,0))*IF(F11="",1,F11),"")</f>
        <v/>
      </c>
      <c r="F11" s="40" t="n"/>
      <c r="G11" s="40" t="n"/>
      <c r="H11" s="42" t="n"/>
      <c r="I11" s="42" t="n"/>
      <c r="J11" s="42" t="n"/>
      <c r="K11" s="42" t="n"/>
      <c r="L11" s="42" t="n"/>
      <c r="M11" s="42" t="n"/>
      <c r="N11" s="43">
        <f>IF(SUM(H11:M11)=0,"",SUM(H11:M11))</f>
        <v/>
      </c>
      <c r="O11" s="44">
        <f>IF(H11="","",H11)</f>
        <v/>
      </c>
      <c r="P11" s="44">
        <f>IF(SUM(I11:K11)=0,"",SUM(I11:K11))</f>
        <v/>
      </c>
      <c r="Q11" s="44">
        <f>IF(SUM(L11:M11)=0,"",SUM(L11:M11))</f>
        <v/>
      </c>
      <c r="R11" s="40" t="n"/>
      <c r="S11" s="40" t="n"/>
      <c r="T11" s="45" t="n"/>
      <c r="U11" s="39">
        <f>IF(SUM(H11:M11)=0,0,ROUNDUP(MAX(H11:M11)/'기준정보'!$H$4,0))</f>
        <v/>
      </c>
      <c r="V11" s="46">
        <f>IF(OR(T11="",U11=0),"",WORKDAY(T11-1,U11))</f>
        <v/>
      </c>
      <c r="W11" s="45" t="n"/>
      <c r="X11" s="47">
        <f>IF(OR(W11="",V11=""),"",W11-V11)</f>
        <v/>
      </c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n"/>
      <c r="AU11" s="48" t="n"/>
      <c r="AV11" s="48" t="n"/>
      <c r="AW11" s="48" t="n"/>
      <c r="AX11" s="48" t="n"/>
      <c r="AY11" s="48" t="n"/>
      <c r="AZ11" s="48" t="n"/>
      <c r="BA11" s="48" t="n"/>
    </row>
    <row r="12">
      <c r="A12" s="39">
        <f>IF(COUNTA(C12:C12)=0,"",ROW()-2)</f>
        <v/>
      </c>
      <c r="B12" s="40" t="n"/>
      <c r="C12" s="40" t="n"/>
      <c r="D12" s="40" t="n"/>
      <c r="E12" s="41">
        <f>IFERROR(INDEX('기준정보'!$E$26:$E$37,MATCH(D12,'기준정보'!$A$26:$A$37,0))*IF(F12="",1,F12),"")</f>
        <v/>
      </c>
      <c r="F12" s="40" t="n"/>
      <c r="G12" s="40" t="n"/>
      <c r="H12" s="42" t="n"/>
      <c r="I12" s="42" t="n"/>
      <c r="J12" s="42" t="n"/>
      <c r="K12" s="42" t="n"/>
      <c r="L12" s="42" t="n"/>
      <c r="M12" s="42" t="n"/>
      <c r="N12" s="43">
        <f>IF(SUM(H12:M12)=0,"",SUM(H12:M12))</f>
        <v/>
      </c>
      <c r="O12" s="44">
        <f>IF(H12="","",H12)</f>
        <v/>
      </c>
      <c r="P12" s="44">
        <f>IF(SUM(I12:K12)=0,"",SUM(I12:K12))</f>
        <v/>
      </c>
      <c r="Q12" s="44">
        <f>IF(SUM(L12:M12)=0,"",SUM(L12:M12))</f>
        <v/>
      </c>
      <c r="R12" s="40" t="n"/>
      <c r="S12" s="40" t="n"/>
      <c r="T12" s="45" t="n"/>
      <c r="U12" s="39">
        <f>IF(SUM(H12:M12)=0,0,ROUNDUP(MAX(H12:M12)/'기준정보'!$H$4,0))</f>
        <v/>
      </c>
      <c r="V12" s="46">
        <f>IF(OR(T12="",U12=0),"",WORKDAY(T12-1,U12))</f>
        <v/>
      </c>
      <c r="W12" s="45" t="n"/>
      <c r="X12" s="47">
        <f>IF(OR(W12="",V12=""),"",W12-V12)</f>
        <v/>
      </c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48" t="n"/>
      <c r="AW12" s="48" t="n"/>
      <c r="AX12" s="48" t="n"/>
      <c r="AY12" s="48" t="n"/>
      <c r="AZ12" s="48" t="n"/>
      <c r="BA12" s="48" t="n"/>
    </row>
    <row r="13">
      <c r="A13" s="39">
        <f>IF(COUNTA(C13:C13)=0,"",ROW()-2)</f>
        <v/>
      </c>
      <c r="B13" s="40" t="n"/>
      <c r="C13" s="40" t="n"/>
      <c r="D13" s="40" t="n"/>
      <c r="E13" s="41">
        <f>IFERROR(INDEX('기준정보'!$E$26:$E$37,MATCH(D13,'기준정보'!$A$26:$A$37,0))*IF(F13="",1,F13),"")</f>
        <v/>
      </c>
      <c r="F13" s="40" t="n"/>
      <c r="G13" s="40" t="n"/>
      <c r="H13" s="42" t="n"/>
      <c r="I13" s="42" t="n"/>
      <c r="J13" s="42" t="n"/>
      <c r="K13" s="42" t="n"/>
      <c r="L13" s="42" t="n"/>
      <c r="M13" s="42" t="n"/>
      <c r="N13" s="43">
        <f>IF(SUM(H13:M13)=0,"",SUM(H13:M13))</f>
        <v/>
      </c>
      <c r="O13" s="44">
        <f>IF(H13="","",H13)</f>
        <v/>
      </c>
      <c r="P13" s="44">
        <f>IF(SUM(I13:K13)=0,"",SUM(I13:K13))</f>
        <v/>
      </c>
      <c r="Q13" s="44">
        <f>IF(SUM(L13:M13)=0,"",SUM(L13:M13))</f>
        <v/>
      </c>
      <c r="R13" s="40" t="n"/>
      <c r="S13" s="40" t="n"/>
      <c r="T13" s="45" t="n"/>
      <c r="U13" s="39">
        <f>IF(SUM(H13:M13)=0,0,ROUNDUP(MAX(H13:M13)/'기준정보'!$H$4,0))</f>
        <v/>
      </c>
      <c r="V13" s="46">
        <f>IF(OR(T13="",U13=0),"",WORKDAY(T13-1,U13))</f>
        <v/>
      </c>
      <c r="W13" s="45" t="n"/>
      <c r="X13" s="47">
        <f>IF(OR(W13="",V13=""),"",W13-V13)</f>
        <v/>
      </c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</row>
    <row r="14">
      <c r="A14" s="39">
        <f>IF(COUNTA(C14:C14)=0,"",ROW()-2)</f>
        <v/>
      </c>
      <c r="B14" s="40" t="n"/>
      <c r="C14" s="40" t="n"/>
      <c r="D14" s="40" t="n"/>
      <c r="E14" s="41">
        <f>IFERROR(INDEX('기준정보'!$E$26:$E$37,MATCH(D14,'기준정보'!$A$26:$A$37,0))*IF(F14="",1,F14),"")</f>
        <v/>
      </c>
      <c r="F14" s="40" t="n"/>
      <c r="G14" s="40" t="n"/>
      <c r="H14" s="42" t="n"/>
      <c r="I14" s="42" t="n"/>
      <c r="J14" s="42" t="n"/>
      <c r="K14" s="42" t="n"/>
      <c r="L14" s="42" t="n"/>
      <c r="M14" s="42" t="n"/>
      <c r="N14" s="43">
        <f>IF(SUM(H14:M14)=0,"",SUM(H14:M14))</f>
        <v/>
      </c>
      <c r="O14" s="44">
        <f>IF(H14="","",H14)</f>
        <v/>
      </c>
      <c r="P14" s="44">
        <f>IF(SUM(I14:K14)=0,"",SUM(I14:K14))</f>
        <v/>
      </c>
      <c r="Q14" s="44">
        <f>IF(SUM(L14:M14)=0,"",SUM(L14:M14))</f>
        <v/>
      </c>
      <c r="R14" s="40" t="n"/>
      <c r="S14" s="40" t="n"/>
      <c r="T14" s="45" t="n"/>
      <c r="U14" s="39">
        <f>IF(SUM(H14:M14)=0,0,ROUNDUP(MAX(H14:M14)/'기준정보'!$H$4,0))</f>
        <v/>
      </c>
      <c r="V14" s="46">
        <f>IF(OR(T14="",U14=0),"",WORKDAY(T14-1,U14))</f>
        <v/>
      </c>
      <c r="W14" s="45" t="n"/>
      <c r="X14" s="47">
        <f>IF(OR(W14="",V14=""),"",W14-V14)</f>
        <v/>
      </c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</row>
    <row r="15">
      <c r="A15" s="39">
        <f>IF(COUNTA(C15:C15)=0,"",ROW()-2)</f>
        <v/>
      </c>
      <c r="B15" s="40" t="n"/>
      <c r="C15" s="40" t="n"/>
      <c r="D15" s="40" t="n"/>
      <c r="E15" s="41">
        <f>IFERROR(INDEX('기준정보'!$E$26:$E$37,MATCH(D15,'기준정보'!$A$26:$A$37,0))*IF(F15="",1,F15),"")</f>
        <v/>
      </c>
      <c r="F15" s="40" t="n"/>
      <c r="G15" s="40" t="n"/>
      <c r="H15" s="42" t="n"/>
      <c r="I15" s="42" t="n"/>
      <c r="J15" s="42" t="n"/>
      <c r="K15" s="42" t="n"/>
      <c r="L15" s="42" t="n"/>
      <c r="M15" s="42" t="n"/>
      <c r="N15" s="43">
        <f>IF(SUM(H15:M15)=0,"",SUM(H15:M15))</f>
        <v/>
      </c>
      <c r="O15" s="44">
        <f>IF(H15="","",H15)</f>
        <v/>
      </c>
      <c r="P15" s="44">
        <f>IF(SUM(I15:K15)=0,"",SUM(I15:K15))</f>
        <v/>
      </c>
      <c r="Q15" s="44">
        <f>IF(SUM(L15:M15)=0,"",SUM(L15:M15))</f>
        <v/>
      </c>
      <c r="R15" s="40" t="n"/>
      <c r="S15" s="40" t="n"/>
      <c r="T15" s="45" t="n"/>
      <c r="U15" s="39">
        <f>IF(SUM(H15:M15)=0,0,ROUNDUP(MAX(H15:M15)/'기준정보'!$H$4,0))</f>
        <v/>
      </c>
      <c r="V15" s="46">
        <f>IF(OR(T15="",U15=0),"",WORKDAY(T15-1,U15))</f>
        <v/>
      </c>
      <c r="W15" s="45" t="n"/>
      <c r="X15" s="47">
        <f>IF(OR(W15="",V15=""),"",W15-V15)</f>
        <v/>
      </c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</row>
    <row r="16">
      <c r="A16" s="39">
        <f>IF(COUNTA(C16:C16)=0,"",ROW()-2)</f>
        <v/>
      </c>
      <c r="B16" s="40" t="n"/>
      <c r="C16" s="40" t="n"/>
      <c r="D16" s="40" t="n"/>
      <c r="E16" s="41">
        <f>IFERROR(INDEX('기준정보'!$E$26:$E$37,MATCH(D16,'기준정보'!$A$26:$A$37,0))*IF(F16="",1,F16),"")</f>
        <v/>
      </c>
      <c r="F16" s="40" t="n"/>
      <c r="G16" s="40" t="n"/>
      <c r="H16" s="42" t="n"/>
      <c r="I16" s="42" t="n"/>
      <c r="J16" s="42" t="n"/>
      <c r="K16" s="42" t="n"/>
      <c r="L16" s="42" t="n"/>
      <c r="M16" s="42" t="n"/>
      <c r="N16" s="43">
        <f>IF(SUM(H16:M16)=0,"",SUM(H16:M16))</f>
        <v/>
      </c>
      <c r="O16" s="44">
        <f>IF(H16="","",H16)</f>
        <v/>
      </c>
      <c r="P16" s="44">
        <f>IF(SUM(I16:K16)=0,"",SUM(I16:K16))</f>
        <v/>
      </c>
      <c r="Q16" s="44">
        <f>IF(SUM(L16:M16)=0,"",SUM(L16:M16))</f>
        <v/>
      </c>
      <c r="R16" s="40" t="n"/>
      <c r="S16" s="40" t="n"/>
      <c r="T16" s="45" t="n"/>
      <c r="U16" s="39">
        <f>IF(SUM(H16:M16)=0,0,ROUNDUP(MAX(H16:M16)/'기준정보'!$H$4,0))</f>
        <v/>
      </c>
      <c r="V16" s="46">
        <f>IF(OR(T16="",U16=0),"",WORKDAY(T16-1,U16))</f>
        <v/>
      </c>
      <c r="W16" s="45" t="n"/>
      <c r="X16" s="47">
        <f>IF(OR(W16="",V16=""),"",W16-V16)</f>
        <v/>
      </c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</row>
    <row r="17">
      <c r="A17" s="39">
        <f>IF(COUNTA(C17:C17)=0,"",ROW()-2)</f>
        <v/>
      </c>
      <c r="B17" s="40" t="n"/>
      <c r="C17" s="40" t="n"/>
      <c r="D17" s="40" t="n"/>
      <c r="E17" s="41">
        <f>IFERROR(INDEX('기준정보'!$E$26:$E$37,MATCH(D17,'기준정보'!$A$26:$A$37,0))*IF(F17="",1,F17),"")</f>
        <v/>
      </c>
      <c r="F17" s="40" t="n"/>
      <c r="G17" s="40" t="n"/>
      <c r="H17" s="42" t="n"/>
      <c r="I17" s="42" t="n"/>
      <c r="J17" s="42" t="n"/>
      <c r="K17" s="42" t="n"/>
      <c r="L17" s="42" t="n"/>
      <c r="M17" s="42" t="n"/>
      <c r="N17" s="43">
        <f>IF(SUM(H17:M17)=0,"",SUM(H17:M17))</f>
        <v/>
      </c>
      <c r="O17" s="44">
        <f>IF(H17="","",H17)</f>
        <v/>
      </c>
      <c r="P17" s="44">
        <f>IF(SUM(I17:K17)=0,"",SUM(I17:K17))</f>
        <v/>
      </c>
      <c r="Q17" s="44">
        <f>IF(SUM(L17:M17)=0,"",SUM(L17:M17))</f>
        <v/>
      </c>
      <c r="R17" s="40" t="n"/>
      <c r="S17" s="40" t="n"/>
      <c r="T17" s="45" t="n"/>
      <c r="U17" s="39">
        <f>IF(SUM(H17:M17)=0,0,ROUNDUP(MAX(H17:M17)/'기준정보'!$H$4,0))</f>
        <v/>
      </c>
      <c r="V17" s="46">
        <f>IF(OR(T17="",U17=0),"",WORKDAY(T17-1,U17))</f>
        <v/>
      </c>
      <c r="W17" s="45" t="n"/>
      <c r="X17" s="47">
        <f>IF(OR(W17="",V17=""),"",W17-V17)</f>
        <v/>
      </c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</row>
    <row r="18">
      <c r="A18" s="39">
        <f>IF(COUNTA(C18:C18)=0,"",ROW()-2)</f>
        <v/>
      </c>
      <c r="B18" s="40" t="n"/>
      <c r="C18" s="40" t="n"/>
      <c r="D18" s="40" t="n"/>
      <c r="E18" s="41">
        <f>IFERROR(INDEX('기준정보'!$E$26:$E$37,MATCH(D18,'기준정보'!$A$26:$A$37,0))*IF(F18="",1,F18),"")</f>
        <v/>
      </c>
      <c r="F18" s="40" t="n"/>
      <c r="G18" s="40" t="n"/>
      <c r="H18" s="42" t="n"/>
      <c r="I18" s="42" t="n"/>
      <c r="J18" s="42" t="n"/>
      <c r="K18" s="42" t="n"/>
      <c r="L18" s="42" t="n"/>
      <c r="M18" s="42" t="n"/>
      <c r="N18" s="43">
        <f>IF(SUM(H18:M18)=0,"",SUM(H18:M18))</f>
        <v/>
      </c>
      <c r="O18" s="44">
        <f>IF(H18="","",H18)</f>
        <v/>
      </c>
      <c r="P18" s="44">
        <f>IF(SUM(I18:K18)=0,"",SUM(I18:K18))</f>
        <v/>
      </c>
      <c r="Q18" s="44">
        <f>IF(SUM(L18:M18)=0,"",SUM(L18:M18))</f>
        <v/>
      </c>
      <c r="R18" s="40" t="n"/>
      <c r="S18" s="40" t="n"/>
      <c r="T18" s="45" t="n"/>
      <c r="U18" s="39">
        <f>IF(SUM(H18:M18)=0,0,ROUNDUP(MAX(H18:M18)/'기준정보'!$H$4,0))</f>
        <v/>
      </c>
      <c r="V18" s="46">
        <f>IF(OR(T18="",U18=0),"",WORKDAY(T18-1,U18))</f>
        <v/>
      </c>
      <c r="W18" s="45" t="n"/>
      <c r="X18" s="47">
        <f>IF(OR(W18="",V18=""),"",W18-V18)</f>
        <v/>
      </c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</row>
    <row r="19">
      <c r="A19" s="39">
        <f>IF(COUNTA(C19:C19)=0,"",ROW()-2)</f>
        <v/>
      </c>
      <c r="B19" s="40" t="n"/>
      <c r="C19" s="40" t="n"/>
      <c r="D19" s="40" t="n"/>
      <c r="E19" s="41">
        <f>IFERROR(INDEX('기준정보'!$E$26:$E$37,MATCH(D19,'기준정보'!$A$26:$A$37,0))*IF(F19="",1,F19),"")</f>
        <v/>
      </c>
      <c r="F19" s="40" t="n"/>
      <c r="G19" s="40" t="n"/>
      <c r="H19" s="42" t="n"/>
      <c r="I19" s="42" t="n"/>
      <c r="J19" s="42" t="n"/>
      <c r="K19" s="42" t="n"/>
      <c r="L19" s="42" t="n"/>
      <c r="M19" s="42" t="n"/>
      <c r="N19" s="43">
        <f>IF(SUM(H19:M19)=0,"",SUM(H19:M19))</f>
        <v/>
      </c>
      <c r="O19" s="44">
        <f>IF(H19="","",H19)</f>
        <v/>
      </c>
      <c r="P19" s="44">
        <f>IF(SUM(I19:K19)=0,"",SUM(I19:K19))</f>
        <v/>
      </c>
      <c r="Q19" s="44">
        <f>IF(SUM(L19:M19)=0,"",SUM(L19:M19))</f>
        <v/>
      </c>
      <c r="R19" s="40" t="n"/>
      <c r="S19" s="40" t="n"/>
      <c r="T19" s="45" t="n"/>
      <c r="U19" s="39">
        <f>IF(SUM(H19:M19)=0,0,ROUNDUP(MAX(H19:M19)/'기준정보'!$H$4,0))</f>
        <v/>
      </c>
      <c r="V19" s="46">
        <f>IF(OR(T19="",U19=0),"",WORKDAY(T19-1,U19))</f>
        <v/>
      </c>
      <c r="W19" s="45" t="n"/>
      <c r="X19" s="47">
        <f>IF(OR(W19="",V19=""),"",W19-V19)</f>
        <v/>
      </c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</row>
    <row r="20">
      <c r="A20" s="39">
        <f>IF(COUNTA(C20:C20)=0,"",ROW()-2)</f>
        <v/>
      </c>
      <c r="B20" s="40" t="n"/>
      <c r="C20" s="40" t="n"/>
      <c r="D20" s="40" t="n"/>
      <c r="E20" s="41">
        <f>IFERROR(INDEX('기준정보'!$E$26:$E$37,MATCH(D20,'기준정보'!$A$26:$A$37,0))*IF(F20="",1,F20),"")</f>
        <v/>
      </c>
      <c r="F20" s="40" t="n"/>
      <c r="G20" s="40" t="n"/>
      <c r="H20" s="42" t="n"/>
      <c r="I20" s="42" t="n"/>
      <c r="J20" s="42" t="n"/>
      <c r="K20" s="42" t="n"/>
      <c r="L20" s="42" t="n"/>
      <c r="M20" s="42" t="n"/>
      <c r="N20" s="43">
        <f>IF(SUM(H20:M20)=0,"",SUM(H20:M20))</f>
        <v/>
      </c>
      <c r="O20" s="44">
        <f>IF(H20="","",H20)</f>
        <v/>
      </c>
      <c r="P20" s="44">
        <f>IF(SUM(I20:K20)=0,"",SUM(I20:K20))</f>
        <v/>
      </c>
      <c r="Q20" s="44">
        <f>IF(SUM(L20:M20)=0,"",SUM(L20:M20))</f>
        <v/>
      </c>
      <c r="R20" s="40" t="n"/>
      <c r="S20" s="40" t="n"/>
      <c r="T20" s="45" t="n"/>
      <c r="U20" s="39">
        <f>IF(SUM(H20:M20)=0,0,ROUNDUP(MAX(H20:M20)/'기준정보'!$H$4,0))</f>
        <v/>
      </c>
      <c r="V20" s="46">
        <f>IF(OR(T20="",U20=0),"",WORKDAY(T20-1,U20))</f>
        <v/>
      </c>
      <c r="W20" s="45" t="n"/>
      <c r="X20" s="47">
        <f>IF(OR(W20="",V20=""),"",W20-V20)</f>
        <v/>
      </c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</row>
    <row r="21">
      <c r="A21" s="39">
        <f>IF(COUNTA(C21:C21)=0,"",ROW()-2)</f>
        <v/>
      </c>
      <c r="B21" s="40" t="n"/>
      <c r="C21" s="40" t="n"/>
      <c r="D21" s="40" t="n"/>
      <c r="E21" s="41">
        <f>IFERROR(INDEX('기준정보'!$E$26:$E$37,MATCH(D21,'기준정보'!$A$26:$A$37,0))*IF(F21="",1,F21),"")</f>
        <v/>
      </c>
      <c r="F21" s="40" t="n"/>
      <c r="G21" s="40" t="n"/>
      <c r="H21" s="42" t="n"/>
      <c r="I21" s="42" t="n"/>
      <c r="J21" s="42" t="n"/>
      <c r="K21" s="42" t="n"/>
      <c r="L21" s="42" t="n"/>
      <c r="M21" s="42" t="n"/>
      <c r="N21" s="43">
        <f>IF(SUM(H21:M21)=0,"",SUM(H21:M21))</f>
        <v/>
      </c>
      <c r="O21" s="44">
        <f>IF(H21="","",H21)</f>
        <v/>
      </c>
      <c r="P21" s="44">
        <f>IF(SUM(I21:K21)=0,"",SUM(I21:K21))</f>
        <v/>
      </c>
      <c r="Q21" s="44">
        <f>IF(SUM(L21:M21)=0,"",SUM(L21:M21))</f>
        <v/>
      </c>
      <c r="R21" s="40" t="n"/>
      <c r="S21" s="40" t="n"/>
      <c r="T21" s="45" t="n"/>
      <c r="U21" s="39">
        <f>IF(SUM(H21:M21)=0,0,ROUNDUP(MAX(H21:M21)/'기준정보'!$H$4,0))</f>
        <v/>
      </c>
      <c r="V21" s="46">
        <f>IF(OR(T21="",U21=0),"",WORKDAY(T21-1,U21))</f>
        <v/>
      </c>
      <c r="W21" s="45" t="n"/>
      <c r="X21" s="47">
        <f>IF(OR(W21="",V21=""),"",W21-V21)</f>
        <v/>
      </c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</row>
    <row r="22">
      <c r="A22" s="39">
        <f>IF(COUNTA(C22:C22)=0,"",ROW()-2)</f>
        <v/>
      </c>
      <c r="B22" s="40" t="n"/>
      <c r="C22" s="40" t="n"/>
      <c r="D22" s="40" t="n"/>
      <c r="E22" s="41">
        <f>IFERROR(INDEX('기준정보'!$E$26:$E$37,MATCH(D22,'기준정보'!$A$26:$A$37,0))*IF(F22="",1,F22),"")</f>
        <v/>
      </c>
      <c r="F22" s="40" t="n"/>
      <c r="G22" s="40" t="n"/>
      <c r="H22" s="42" t="n"/>
      <c r="I22" s="42" t="n"/>
      <c r="J22" s="42" t="n"/>
      <c r="K22" s="42" t="n"/>
      <c r="L22" s="42" t="n"/>
      <c r="M22" s="42" t="n"/>
      <c r="N22" s="43">
        <f>IF(SUM(H22:M22)=0,"",SUM(H22:M22))</f>
        <v/>
      </c>
      <c r="O22" s="44">
        <f>IF(H22="","",H22)</f>
        <v/>
      </c>
      <c r="P22" s="44">
        <f>IF(SUM(I22:K22)=0,"",SUM(I22:K22))</f>
        <v/>
      </c>
      <c r="Q22" s="44">
        <f>IF(SUM(L22:M22)=0,"",SUM(L22:M22))</f>
        <v/>
      </c>
      <c r="R22" s="40" t="n"/>
      <c r="S22" s="40" t="n"/>
      <c r="T22" s="45" t="n"/>
      <c r="U22" s="39">
        <f>IF(SUM(H22:M22)=0,0,ROUNDUP(MAX(H22:M22)/'기준정보'!$H$4,0))</f>
        <v/>
      </c>
      <c r="V22" s="46">
        <f>IF(OR(T22="",U22=0),"",WORKDAY(T22-1,U22))</f>
        <v/>
      </c>
      <c r="W22" s="45" t="n"/>
      <c r="X22" s="47">
        <f>IF(OR(W22="",V22=""),"",W22-V22)</f>
        <v/>
      </c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</row>
    <row r="23">
      <c r="A23" s="39">
        <f>IF(COUNTA(C23:C23)=0,"",ROW()-2)</f>
        <v/>
      </c>
      <c r="B23" s="40" t="n"/>
      <c r="C23" s="40" t="n"/>
      <c r="D23" s="40" t="n"/>
      <c r="E23" s="41">
        <f>IFERROR(INDEX('기준정보'!$E$26:$E$37,MATCH(D23,'기준정보'!$A$26:$A$37,0))*IF(F23="",1,F23),"")</f>
        <v/>
      </c>
      <c r="F23" s="40" t="n"/>
      <c r="G23" s="40" t="n"/>
      <c r="H23" s="42" t="n"/>
      <c r="I23" s="42" t="n"/>
      <c r="J23" s="42" t="n"/>
      <c r="K23" s="42" t="n"/>
      <c r="L23" s="42" t="n"/>
      <c r="M23" s="42" t="n"/>
      <c r="N23" s="43">
        <f>IF(SUM(H23:M23)=0,"",SUM(H23:M23))</f>
        <v/>
      </c>
      <c r="O23" s="44">
        <f>IF(H23="","",H23)</f>
        <v/>
      </c>
      <c r="P23" s="44">
        <f>IF(SUM(I23:K23)=0,"",SUM(I23:K23))</f>
        <v/>
      </c>
      <c r="Q23" s="44">
        <f>IF(SUM(L23:M23)=0,"",SUM(L23:M23))</f>
        <v/>
      </c>
      <c r="R23" s="40" t="n"/>
      <c r="S23" s="40" t="n"/>
      <c r="T23" s="45" t="n"/>
      <c r="U23" s="39">
        <f>IF(SUM(H23:M23)=0,0,ROUNDUP(MAX(H23:M23)/'기준정보'!$H$4,0))</f>
        <v/>
      </c>
      <c r="V23" s="46">
        <f>IF(OR(T23="",U23=0),"",WORKDAY(T23-1,U23))</f>
        <v/>
      </c>
      <c r="W23" s="45" t="n"/>
      <c r="X23" s="47">
        <f>IF(OR(W23="",V23=""),"",W23-V23)</f>
        <v/>
      </c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</row>
    <row r="24">
      <c r="A24" s="39">
        <f>IF(COUNTA(C24:C24)=0,"",ROW()-2)</f>
        <v/>
      </c>
      <c r="B24" s="40" t="n"/>
      <c r="C24" s="40" t="n"/>
      <c r="D24" s="40" t="n"/>
      <c r="E24" s="41">
        <f>IFERROR(INDEX('기준정보'!$E$26:$E$37,MATCH(D24,'기준정보'!$A$26:$A$37,0))*IF(F24="",1,F24),"")</f>
        <v/>
      </c>
      <c r="F24" s="40" t="n"/>
      <c r="G24" s="40" t="n"/>
      <c r="H24" s="42" t="n"/>
      <c r="I24" s="42" t="n"/>
      <c r="J24" s="42" t="n"/>
      <c r="K24" s="42" t="n"/>
      <c r="L24" s="42" t="n"/>
      <c r="M24" s="42" t="n"/>
      <c r="N24" s="43">
        <f>IF(SUM(H24:M24)=0,"",SUM(H24:M24))</f>
        <v/>
      </c>
      <c r="O24" s="44">
        <f>IF(H24="","",H24)</f>
        <v/>
      </c>
      <c r="P24" s="44">
        <f>IF(SUM(I24:K24)=0,"",SUM(I24:K24))</f>
        <v/>
      </c>
      <c r="Q24" s="44">
        <f>IF(SUM(L24:M24)=0,"",SUM(L24:M24))</f>
        <v/>
      </c>
      <c r="R24" s="40" t="n"/>
      <c r="S24" s="40" t="n"/>
      <c r="T24" s="45" t="n"/>
      <c r="U24" s="39">
        <f>IF(SUM(H24:M24)=0,0,ROUNDUP(MAX(H24:M24)/'기준정보'!$H$4,0))</f>
        <v/>
      </c>
      <c r="V24" s="46">
        <f>IF(OR(T24="",U24=0),"",WORKDAY(T24-1,U24))</f>
        <v/>
      </c>
      <c r="W24" s="45" t="n"/>
      <c r="X24" s="47">
        <f>IF(OR(W24="",V24=""),"",W24-V24)</f>
        <v/>
      </c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8" t="n"/>
      <c r="AT24" s="48" t="n"/>
      <c r="AU24" s="48" t="n"/>
      <c r="AV24" s="48" t="n"/>
      <c r="AW24" s="48" t="n"/>
      <c r="AX24" s="48" t="n"/>
      <c r="AY24" s="48" t="n"/>
      <c r="AZ24" s="48" t="n"/>
      <c r="BA24" s="48" t="n"/>
    </row>
    <row r="25">
      <c r="A25" s="39">
        <f>IF(COUNTA(C25:C25)=0,"",ROW()-2)</f>
        <v/>
      </c>
      <c r="B25" s="40" t="n"/>
      <c r="C25" s="40" t="n"/>
      <c r="D25" s="40" t="n"/>
      <c r="E25" s="41">
        <f>IFERROR(INDEX('기준정보'!$E$26:$E$37,MATCH(D25,'기준정보'!$A$26:$A$37,0))*IF(F25="",1,F25),"")</f>
        <v/>
      </c>
      <c r="F25" s="40" t="n"/>
      <c r="G25" s="40" t="n"/>
      <c r="H25" s="42" t="n"/>
      <c r="I25" s="42" t="n"/>
      <c r="J25" s="42" t="n"/>
      <c r="K25" s="42" t="n"/>
      <c r="L25" s="42" t="n"/>
      <c r="M25" s="42" t="n"/>
      <c r="N25" s="43">
        <f>IF(SUM(H25:M25)=0,"",SUM(H25:M25))</f>
        <v/>
      </c>
      <c r="O25" s="44">
        <f>IF(H25="","",H25)</f>
        <v/>
      </c>
      <c r="P25" s="44">
        <f>IF(SUM(I25:K25)=0,"",SUM(I25:K25))</f>
        <v/>
      </c>
      <c r="Q25" s="44">
        <f>IF(SUM(L25:M25)=0,"",SUM(L25:M25))</f>
        <v/>
      </c>
      <c r="R25" s="40" t="n"/>
      <c r="S25" s="40" t="n"/>
      <c r="T25" s="45" t="n"/>
      <c r="U25" s="39">
        <f>IF(SUM(H25:M25)=0,0,ROUNDUP(MAX(H25:M25)/'기준정보'!$H$4,0))</f>
        <v/>
      </c>
      <c r="V25" s="46">
        <f>IF(OR(T25="",U25=0),"",WORKDAY(T25-1,U25))</f>
        <v/>
      </c>
      <c r="W25" s="45" t="n"/>
      <c r="X25" s="47">
        <f>IF(OR(W25="",V25=""),"",W25-V25)</f>
        <v/>
      </c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n"/>
      <c r="AO25" s="48" t="n"/>
      <c r="AP25" s="48" t="n"/>
      <c r="AQ25" s="48" t="n"/>
      <c r="AR25" s="48" t="n"/>
      <c r="AS25" s="48" t="n"/>
      <c r="AT25" s="48" t="n"/>
      <c r="AU25" s="48" t="n"/>
      <c r="AV25" s="48" t="n"/>
      <c r="AW25" s="48" t="n"/>
      <c r="AX25" s="48" t="n"/>
      <c r="AY25" s="48" t="n"/>
      <c r="AZ25" s="48" t="n"/>
      <c r="BA25" s="48" t="n"/>
    </row>
    <row r="26">
      <c r="A26" s="39">
        <f>IF(COUNTA(C26:C26)=0,"",ROW()-2)</f>
        <v/>
      </c>
      <c r="B26" s="40" t="n"/>
      <c r="C26" s="40" t="n"/>
      <c r="D26" s="40" t="n"/>
      <c r="E26" s="41">
        <f>IFERROR(INDEX('기준정보'!$E$26:$E$37,MATCH(D26,'기준정보'!$A$26:$A$37,0))*IF(F26="",1,F26),"")</f>
        <v/>
      </c>
      <c r="F26" s="40" t="n"/>
      <c r="G26" s="40" t="n"/>
      <c r="H26" s="42" t="n"/>
      <c r="I26" s="42" t="n"/>
      <c r="J26" s="42" t="n"/>
      <c r="K26" s="42" t="n"/>
      <c r="L26" s="42" t="n"/>
      <c r="M26" s="42" t="n"/>
      <c r="N26" s="43">
        <f>IF(SUM(H26:M26)=0,"",SUM(H26:M26))</f>
        <v/>
      </c>
      <c r="O26" s="44">
        <f>IF(H26="","",H26)</f>
        <v/>
      </c>
      <c r="P26" s="44">
        <f>IF(SUM(I26:K26)=0,"",SUM(I26:K26))</f>
        <v/>
      </c>
      <c r="Q26" s="44">
        <f>IF(SUM(L26:M26)=0,"",SUM(L26:M26))</f>
        <v/>
      </c>
      <c r="R26" s="40" t="n"/>
      <c r="S26" s="40" t="n"/>
      <c r="T26" s="45" t="n"/>
      <c r="U26" s="39">
        <f>IF(SUM(H26:M26)=0,0,ROUNDUP(MAX(H26:M26)/'기준정보'!$H$4,0))</f>
        <v/>
      </c>
      <c r="V26" s="46">
        <f>IF(OR(T26="",U26=0),"",WORKDAY(T26-1,U26))</f>
        <v/>
      </c>
      <c r="W26" s="45" t="n"/>
      <c r="X26" s="47">
        <f>IF(OR(W26="",V26=""),"",W26-V26)</f>
        <v/>
      </c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  <c r="AY26" s="48" t="n"/>
      <c r="AZ26" s="48" t="n"/>
      <c r="BA26" s="48" t="n"/>
    </row>
    <row r="27">
      <c r="A27" s="39">
        <f>IF(COUNTA(C27:C27)=0,"",ROW()-2)</f>
        <v/>
      </c>
      <c r="B27" s="40" t="n"/>
      <c r="C27" s="40" t="n"/>
      <c r="D27" s="40" t="n"/>
      <c r="E27" s="41">
        <f>IFERROR(INDEX('기준정보'!$E$26:$E$37,MATCH(D27,'기준정보'!$A$26:$A$37,0))*IF(F27="",1,F27),"")</f>
        <v/>
      </c>
      <c r="F27" s="40" t="n"/>
      <c r="G27" s="40" t="n"/>
      <c r="H27" s="42" t="n"/>
      <c r="I27" s="42" t="n"/>
      <c r="J27" s="42" t="n"/>
      <c r="K27" s="42" t="n"/>
      <c r="L27" s="42" t="n"/>
      <c r="M27" s="42" t="n"/>
      <c r="N27" s="43">
        <f>IF(SUM(H27:M27)=0,"",SUM(H27:M27))</f>
        <v/>
      </c>
      <c r="O27" s="44">
        <f>IF(H27="","",H27)</f>
        <v/>
      </c>
      <c r="P27" s="44">
        <f>IF(SUM(I27:K27)=0,"",SUM(I27:K27))</f>
        <v/>
      </c>
      <c r="Q27" s="44">
        <f>IF(SUM(L27:M27)=0,"",SUM(L27:M27))</f>
        <v/>
      </c>
      <c r="R27" s="40" t="n"/>
      <c r="S27" s="40" t="n"/>
      <c r="T27" s="45" t="n"/>
      <c r="U27" s="39">
        <f>IF(SUM(H27:M27)=0,0,ROUNDUP(MAX(H27:M27)/'기준정보'!$H$4,0))</f>
        <v/>
      </c>
      <c r="V27" s="46">
        <f>IF(OR(T27="",U27=0),"",WORKDAY(T27-1,U27))</f>
        <v/>
      </c>
      <c r="W27" s="45" t="n"/>
      <c r="X27" s="47">
        <f>IF(OR(W27="",V27=""),"",W27-V27)</f>
        <v/>
      </c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  <c r="AY27" s="48" t="n"/>
      <c r="AZ27" s="48" t="n"/>
      <c r="BA27" s="48" t="n"/>
    </row>
    <row r="28">
      <c r="A28" s="39">
        <f>IF(COUNTA(C28:C28)=0,"",ROW()-2)</f>
        <v/>
      </c>
      <c r="B28" s="40" t="n"/>
      <c r="C28" s="40" t="n"/>
      <c r="D28" s="40" t="n"/>
      <c r="E28" s="41">
        <f>IFERROR(INDEX('기준정보'!$E$26:$E$37,MATCH(D28,'기준정보'!$A$26:$A$37,0))*IF(F28="",1,F28),"")</f>
        <v/>
      </c>
      <c r="F28" s="40" t="n"/>
      <c r="G28" s="40" t="n"/>
      <c r="H28" s="42" t="n"/>
      <c r="I28" s="42" t="n"/>
      <c r="J28" s="42" t="n"/>
      <c r="K28" s="42" t="n"/>
      <c r="L28" s="42" t="n"/>
      <c r="M28" s="42" t="n"/>
      <c r="N28" s="43">
        <f>IF(SUM(H28:M28)=0,"",SUM(H28:M28))</f>
        <v/>
      </c>
      <c r="O28" s="44">
        <f>IF(H28="","",H28)</f>
        <v/>
      </c>
      <c r="P28" s="44">
        <f>IF(SUM(I28:K28)=0,"",SUM(I28:K28))</f>
        <v/>
      </c>
      <c r="Q28" s="44">
        <f>IF(SUM(L28:M28)=0,"",SUM(L28:M28))</f>
        <v/>
      </c>
      <c r="R28" s="40" t="n"/>
      <c r="S28" s="40" t="n"/>
      <c r="T28" s="45" t="n"/>
      <c r="U28" s="39">
        <f>IF(SUM(H28:M28)=0,0,ROUNDUP(MAX(H28:M28)/'기준정보'!$H$4,0))</f>
        <v/>
      </c>
      <c r="V28" s="46">
        <f>IF(OR(T28="",U28=0),"",WORKDAY(T28-1,U28))</f>
        <v/>
      </c>
      <c r="W28" s="45" t="n"/>
      <c r="X28" s="47">
        <f>IF(OR(W28="",V28=""),"",W28-V28)</f>
        <v/>
      </c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</row>
    <row r="29">
      <c r="A29" s="39">
        <f>IF(COUNTA(C29:C29)=0,"",ROW()-2)</f>
        <v/>
      </c>
      <c r="B29" s="40" t="n"/>
      <c r="C29" s="40" t="n"/>
      <c r="D29" s="40" t="n"/>
      <c r="E29" s="41">
        <f>IFERROR(INDEX('기준정보'!$E$26:$E$37,MATCH(D29,'기준정보'!$A$26:$A$37,0))*IF(F29="",1,F29),"")</f>
        <v/>
      </c>
      <c r="F29" s="40" t="n"/>
      <c r="G29" s="40" t="n"/>
      <c r="H29" s="42" t="n"/>
      <c r="I29" s="42" t="n"/>
      <c r="J29" s="42" t="n"/>
      <c r="K29" s="42" t="n"/>
      <c r="L29" s="42" t="n"/>
      <c r="M29" s="42" t="n"/>
      <c r="N29" s="43">
        <f>IF(SUM(H29:M29)=0,"",SUM(H29:M29))</f>
        <v/>
      </c>
      <c r="O29" s="44">
        <f>IF(H29="","",H29)</f>
        <v/>
      </c>
      <c r="P29" s="44">
        <f>IF(SUM(I29:K29)=0,"",SUM(I29:K29))</f>
        <v/>
      </c>
      <c r="Q29" s="44">
        <f>IF(SUM(L29:M29)=0,"",SUM(L29:M29))</f>
        <v/>
      </c>
      <c r="R29" s="40" t="n"/>
      <c r="S29" s="40" t="n"/>
      <c r="T29" s="45" t="n"/>
      <c r="U29" s="39">
        <f>IF(SUM(H29:M29)=0,0,ROUNDUP(MAX(H29:M29)/'기준정보'!$H$4,0))</f>
        <v/>
      </c>
      <c r="V29" s="46">
        <f>IF(OR(T29="",U29=0),"",WORKDAY(T29-1,U29))</f>
        <v/>
      </c>
      <c r="W29" s="45" t="n"/>
      <c r="X29" s="47">
        <f>IF(OR(W29="",V29=""),"",W29-V29)</f>
        <v/>
      </c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  <c r="AY29" s="48" t="n"/>
      <c r="AZ29" s="48" t="n"/>
      <c r="BA29" s="48" t="n"/>
    </row>
    <row r="30">
      <c r="A30" s="39">
        <f>IF(COUNTA(C30:C30)=0,"",ROW()-2)</f>
        <v/>
      </c>
      <c r="B30" s="40" t="n"/>
      <c r="C30" s="40" t="n"/>
      <c r="D30" s="40" t="n"/>
      <c r="E30" s="41">
        <f>IFERROR(INDEX('기준정보'!$E$26:$E$37,MATCH(D30,'기준정보'!$A$26:$A$37,0))*IF(F30="",1,F30),"")</f>
        <v/>
      </c>
      <c r="F30" s="40" t="n"/>
      <c r="G30" s="40" t="n"/>
      <c r="H30" s="42" t="n"/>
      <c r="I30" s="42" t="n"/>
      <c r="J30" s="42" t="n"/>
      <c r="K30" s="42" t="n"/>
      <c r="L30" s="42" t="n"/>
      <c r="M30" s="42" t="n"/>
      <c r="N30" s="43">
        <f>IF(SUM(H30:M30)=0,"",SUM(H30:M30))</f>
        <v/>
      </c>
      <c r="O30" s="44">
        <f>IF(H30="","",H30)</f>
        <v/>
      </c>
      <c r="P30" s="44">
        <f>IF(SUM(I30:K30)=0,"",SUM(I30:K30))</f>
        <v/>
      </c>
      <c r="Q30" s="44">
        <f>IF(SUM(L30:M30)=0,"",SUM(L30:M30))</f>
        <v/>
      </c>
      <c r="R30" s="40" t="n"/>
      <c r="S30" s="40" t="n"/>
      <c r="T30" s="45" t="n"/>
      <c r="U30" s="39">
        <f>IF(SUM(H30:M30)=0,0,ROUNDUP(MAX(H30:M30)/'기준정보'!$H$4,0))</f>
        <v/>
      </c>
      <c r="V30" s="46">
        <f>IF(OR(T30="",U30=0),"",WORKDAY(T30-1,U30))</f>
        <v/>
      </c>
      <c r="W30" s="45" t="n"/>
      <c r="X30" s="47">
        <f>IF(OR(W30="",V30=""),"",W30-V30)</f>
        <v/>
      </c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</row>
    <row r="31">
      <c r="A31" s="39">
        <f>IF(COUNTA(C31:C31)=0,"",ROW()-2)</f>
        <v/>
      </c>
      <c r="B31" s="40" t="n"/>
      <c r="C31" s="40" t="n"/>
      <c r="D31" s="40" t="n"/>
      <c r="E31" s="41">
        <f>IFERROR(INDEX('기준정보'!$E$26:$E$37,MATCH(D31,'기준정보'!$A$26:$A$37,0))*IF(F31="",1,F31),"")</f>
        <v/>
      </c>
      <c r="F31" s="40" t="n"/>
      <c r="G31" s="40" t="n"/>
      <c r="H31" s="42" t="n"/>
      <c r="I31" s="42" t="n"/>
      <c r="J31" s="42" t="n"/>
      <c r="K31" s="42" t="n"/>
      <c r="L31" s="42" t="n"/>
      <c r="M31" s="42" t="n"/>
      <c r="N31" s="43">
        <f>IF(SUM(H31:M31)=0,"",SUM(H31:M31))</f>
        <v/>
      </c>
      <c r="O31" s="44">
        <f>IF(H31="","",H31)</f>
        <v/>
      </c>
      <c r="P31" s="44">
        <f>IF(SUM(I31:K31)=0,"",SUM(I31:K31))</f>
        <v/>
      </c>
      <c r="Q31" s="44">
        <f>IF(SUM(L31:M31)=0,"",SUM(L31:M31))</f>
        <v/>
      </c>
      <c r="R31" s="40" t="n"/>
      <c r="S31" s="40" t="n"/>
      <c r="T31" s="45" t="n"/>
      <c r="U31" s="39">
        <f>IF(SUM(H31:M31)=0,0,ROUNDUP(MAX(H31:M31)/'기준정보'!$H$4,0))</f>
        <v/>
      </c>
      <c r="V31" s="46">
        <f>IF(OR(T31="",U31=0),"",WORKDAY(T31-1,U31))</f>
        <v/>
      </c>
      <c r="W31" s="45" t="n"/>
      <c r="X31" s="47">
        <f>IF(OR(W31="",V31=""),"",W31-V31)</f>
        <v/>
      </c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  <c r="AL31" s="48" t="n"/>
      <c r="AM31" s="48" t="n"/>
      <c r="AN31" s="48" t="n"/>
      <c r="AO31" s="48" t="n"/>
      <c r="AP31" s="48" t="n"/>
      <c r="AQ31" s="48" t="n"/>
      <c r="AR31" s="48" t="n"/>
      <c r="AS31" s="48" t="n"/>
      <c r="AT31" s="48" t="n"/>
      <c r="AU31" s="48" t="n"/>
      <c r="AV31" s="48" t="n"/>
      <c r="AW31" s="48" t="n"/>
      <c r="AX31" s="48" t="n"/>
      <c r="AY31" s="48" t="n"/>
      <c r="AZ31" s="48" t="n"/>
      <c r="BA31" s="48" t="n"/>
    </row>
    <row r="32">
      <c r="A32" s="39">
        <f>IF(COUNTA(C32:C32)=0,"",ROW()-2)</f>
        <v/>
      </c>
      <c r="B32" s="40" t="n"/>
      <c r="C32" s="40" t="n"/>
      <c r="D32" s="40" t="n"/>
      <c r="E32" s="41">
        <f>IFERROR(INDEX('기준정보'!$E$26:$E$37,MATCH(D32,'기준정보'!$A$26:$A$37,0))*IF(F32="",1,F32),"")</f>
        <v/>
      </c>
      <c r="F32" s="40" t="n"/>
      <c r="G32" s="40" t="n"/>
      <c r="H32" s="42" t="n"/>
      <c r="I32" s="42" t="n"/>
      <c r="J32" s="42" t="n"/>
      <c r="K32" s="42" t="n"/>
      <c r="L32" s="42" t="n"/>
      <c r="M32" s="42" t="n"/>
      <c r="N32" s="43">
        <f>IF(SUM(H32:M32)=0,"",SUM(H32:M32))</f>
        <v/>
      </c>
      <c r="O32" s="44">
        <f>IF(H32="","",H32)</f>
        <v/>
      </c>
      <c r="P32" s="44">
        <f>IF(SUM(I32:K32)=0,"",SUM(I32:K32))</f>
        <v/>
      </c>
      <c r="Q32" s="44">
        <f>IF(SUM(L32:M32)=0,"",SUM(L32:M32))</f>
        <v/>
      </c>
      <c r="R32" s="40" t="n"/>
      <c r="S32" s="40" t="n"/>
      <c r="T32" s="45" t="n"/>
      <c r="U32" s="39">
        <f>IF(SUM(H32:M32)=0,0,ROUNDUP(MAX(H32:M32)/'기준정보'!$H$4,0))</f>
        <v/>
      </c>
      <c r="V32" s="46">
        <f>IF(OR(T32="",U32=0),"",WORKDAY(T32-1,U32))</f>
        <v/>
      </c>
      <c r="W32" s="45" t="n"/>
      <c r="X32" s="47">
        <f>IF(OR(W32="",V32=""),"",W32-V32)</f>
        <v/>
      </c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  <c r="AL32" s="48" t="n"/>
      <c r="AM32" s="48" t="n"/>
      <c r="AN32" s="48" t="n"/>
      <c r="AO32" s="48" t="n"/>
      <c r="AP32" s="48" t="n"/>
      <c r="AQ32" s="48" t="n"/>
      <c r="AR32" s="48" t="n"/>
      <c r="AS32" s="48" t="n"/>
      <c r="AT32" s="48" t="n"/>
      <c r="AU32" s="48" t="n"/>
      <c r="AV32" s="48" t="n"/>
      <c r="AW32" s="48" t="n"/>
      <c r="AX32" s="48" t="n"/>
      <c r="AY32" s="48" t="n"/>
      <c r="AZ32" s="48" t="n"/>
      <c r="BA32" s="48" t="n"/>
    </row>
    <row r="35">
      <c r="A35" s="49" t="inlineStr">
        <is>
          <t>🔥 실별 일일 부하 (MD) — 일일 캐파(TO) 초과 시 빨강 · 80%↑ 노랑</t>
        </is>
      </c>
    </row>
    <row r="36">
      <c r="A36" s="50" t="inlineStr">
        <is>
          <t>실 (대분류)</t>
        </is>
      </c>
      <c r="X36" s="51" t="inlineStr">
        <is>
          <t>일캐파</t>
        </is>
      </c>
      <c r="Z36" s="52">
        <f>Z2</f>
        <v/>
      </c>
      <c r="AA36" s="52">
        <f>AA2</f>
        <v/>
      </c>
      <c r="AB36" s="52">
        <f>AB2</f>
        <v/>
      </c>
      <c r="AC36" s="52">
        <f>AC2</f>
        <v/>
      </c>
      <c r="AD36" s="52">
        <f>AD2</f>
        <v/>
      </c>
      <c r="AE36" s="52">
        <f>AE2</f>
        <v/>
      </c>
      <c r="AF36" s="52">
        <f>AF2</f>
        <v/>
      </c>
      <c r="AG36" s="52">
        <f>AG2</f>
        <v/>
      </c>
      <c r="AH36" s="52">
        <f>AH2</f>
        <v/>
      </c>
      <c r="AI36" s="52">
        <f>AI2</f>
        <v/>
      </c>
      <c r="AJ36" s="52">
        <f>AJ2</f>
        <v/>
      </c>
      <c r="AK36" s="52">
        <f>AK2</f>
        <v/>
      </c>
      <c r="AL36" s="52">
        <f>AL2</f>
        <v/>
      </c>
      <c r="AM36" s="52">
        <f>AM2</f>
        <v/>
      </c>
      <c r="AN36" s="52">
        <f>AN2</f>
        <v/>
      </c>
      <c r="AO36" s="52">
        <f>AO2</f>
        <v/>
      </c>
      <c r="AP36" s="52">
        <f>AP2</f>
        <v/>
      </c>
      <c r="AQ36" s="52">
        <f>AQ2</f>
        <v/>
      </c>
      <c r="AR36" s="52">
        <f>AR2</f>
        <v/>
      </c>
      <c r="AS36" s="52">
        <f>AS2</f>
        <v/>
      </c>
      <c r="AT36" s="52">
        <f>AT2</f>
        <v/>
      </c>
      <c r="AU36" s="52">
        <f>AU2</f>
        <v/>
      </c>
      <c r="AV36" s="52">
        <f>AV2</f>
        <v/>
      </c>
      <c r="AW36" s="52">
        <f>AW2</f>
        <v/>
      </c>
      <c r="AX36" s="52">
        <f>AX2</f>
        <v/>
      </c>
      <c r="AY36" s="52">
        <f>AY2</f>
        <v/>
      </c>
      <c r="AZ36" s="52">
        <f>AZ2</f>
        <v/>
      </c>
      <c r="BA36" s="52">
        <f>BA2</f>
        <v/>
      </c>
    </row>
    <row r="37">
      <c r="A37" s="53" t="inlineStr">
        <is>
          <t>기획실</t>
        </is>
      </c>
      <c r="X37" s="39">
        <f>'기준정보'!$C$17</f>
        <v/>
      </c>
      <c r="Z37" s="54">
        <f>SUMPRODUCT(($T$3:$T$32&lt;&gt;"")*($T$3:$T$32&lt;=Z$2)*($V$3:$V$32&gt;=Z$2)*(WEEKDAY(Z$2,2)&lt;6)*($H$3:$H$32)/($U$3:$U$32+($U$3:$U$32=0)))</f>
        <v/>
      </c>
      <c r="AA37" s="54">
        <f>SUMPRODUCT(($T$3:$T$32&lt;&gt;"")*($T$3:$T$32&lt;=AA$2)*($V$3:$V$32&gt;=AA$2)*(WEEKDAY(AA$2,2)&lt;6)*($H$3:$H$32)/($U$3:$U$32+($U$3:$U$32=0)))</f>
        <v/>
      </c>
      <c r="AB37" s="54">
        <f>SUMPRODUCT(($T$3:$T$32&lt;&gt;"")*($T$3:$T$32&lt;=AB$2)*($V$3:$V$32&gt;=AB$2)*(WEEKDAY(AB$2,2)&lt;6)*($H$3:$H$32)/($U$3:$U$32+($U$3:$U$32=0)))</f>
        <v/>
      </c>
      <c r="AC37" s="54">
        <f>SUMPRODUCT(($T$3:$T$32&lt;&gt;"")*($T$3:$T$32&lt;=AC$2)*($V$3:$V$32&gt;=AC$2)*(WEEKDAY(AC$2,2)&lt;6)*($H$3:$H$32)/($U$3:$U$32+($U$3:$U$32=0)))</f>
        <v/>
      </c>
      <c r="AD37" s="54">
        <f>SUMPRODUCT(($T$3:$T$32&lt;&gt;"")*($T$3:$T$32&lt;=AD$2)*($V$3:$V$32&gt;=AD$2)*(WEEKDAY(AD$2,2)&lt;6)*($H$3:$H$32)/($U$3:$U$32+($U$3:$U$32=0)))</f>
        <v/>
      </c>
      <c r="AE37" s="54">
        <f>SUMPRODUCT(($T$3:$T$32&lt;&gt;"")*($T$3:$T$32&lt;=AE$2)*($V$3:$V$32&gt;=AE$2)*(WEEKDAY(AE$2,2)&lt;6)*($H$3:$H$32)/($U$3:$U$32+($U$3:$U$32=0)))</f>
        <v/>
      </c>
      <c r="AF37" s="54">
        <f>SUMPRODUCT(($T$3:$T$32&lt;&gt;"")*($T$3:$T$32&lt;=AF$2)*($V$3:$V$32&gt;=AF$2)*(WEEKDAY(AF$2,2)&lt;6)*($H$3:$H$32)/($U$3:$U$32+($U$3:$U$32=0)))</f>
        <v/>
      </c>
      <c r="AG37" s="54">
        <f>SUMPRODUCT(($T$3:$T$32&lt;&gt;"")*($T$3:$T$32&lt;=AG$2)*($V$3:$V$32&gt;=AG$2)*(WEEKDAY(AG$2,2)&lt;6)*($H$3:$H$32)/($U$3:$U$32+($U$3:$U$32=0)))</f>
        <v/>
      </c>
      <c r="AH37" s="54">
        <f>SUMPRODUCT(($T$3:$T$32&lt;&gt;"")*($T$3:$T$32&lt;=AH$2)*($V$3:$V$32&gt;=AH$2)*(WEEKDAY(AH$2,2)&lt;6)*($H$3:$H$32)/($U$3:$U$32+($U$3:$U$32=0)))</f>
        <v/>
      </c>
      <c r="AI37" s="54">
        <f>SUMPRODUCT(($T$3:$T$32&lt;&gt;"")*($T$3:$T$32&lt;=AI$2)*($V$3:$V$32&gt;=AI$2)*(WEEKDAY(AI$2,2)&lt;6)*($H$3:$H$32)/($U$3:$U$32+($U$3:$U$32=0)))</f>
        <v/>
      </c>
      <c r="AJ37" s="54">
        <f>SUMPRODUCT(($T$3:$T$32&lt;&gt;"")*($T$3:$T$32&lt;=AJ$2)*($V$3:$V$32&gt;=AJ$2)*(WEEKDAY(AJ$2,2)&lt;6)*($H$3:$H$32)/($U$3:$U$32+($U$3:$U$32=0)))</f>
        <v/>
      </c>
      <c r="AK37" s="54">
        <f>SUMPRODUCT(($T$3:$T$32&lt;&gt;"")*($T$3:$T$32&lt;=AK$2)*($V$3:$V$32&gt;=AK$2)*(WEEKDAY(AK$2,2)&lt;6)*($H$3:$H$32)/($U$3:$U$32+($U$3:$U$32=0)))</f>
        <v/>
      </c>
      <c r="AL37" s="54">
        <f>SUMPRODUCT(($T$3:$T$32&lt;&gt;"")*($T$3:$T$32&lt;=AL$2)*($V$3:$V$32&gt;=AL$2)*(WEEKDAY(AL$2,2)&lt;6)*($H$3:$H$32)/($U$3:$U$32+($U$3:$U$32=0)))</f>
        <v/>
      </c>
      <c r="AM37" s="54">
        <f>SUMPRODUCT(($T$3:$T$32&lt;&gt;"")*($T$3:$T$32&lt;=AM$2)*($V$3:$V$32&gt;=AM$2)*(WEEKDAY(AM$2,2)&lt;6)*($H$3:$H$32)/($U$3:$U$32+($U$3:$U$32=0)))</f>
        <v/>
      </c>
      <c r="AN37" s="54">
        <f>SUMPRODUCT(($T$3:$T$32&lt;&gt;"")*($T$3:$T$32&lt;=AN$2)*($V$3:$V$32&gt;=AN$2)*(WEEKDAY(AN$2,2)&lt;6)*($H$3:$H$32)/($U$3:$U$32+($U$3:$U$32=0)))</f>
        <v/>
      </c>
      <c r="AO37" s="54">
        <f>SUMPRODUCT(($T$3:$T$32&lt;&gt;"")*($T$3:$T$32&lt;=AO$2)*($V$3:$V$32&gt;=AO$2)*(WEEKDAY(AO$2,2)&lt;6)*($H$3:$H$32)/($U$3:$U$32+($U$3:$U$32=0)))</f>
        <v/>
      </c>
      <c r="AP37" s="54">
        <f>SUMPRODUCT(($T$3:$T$32&lt;&gt;"")*($T$3:$T$32&lt;=AP$2)*($V$3:$V$32&gt;=AP$2)*(WEEKDAY(AP$2,2)&lt;6)*($H$3:$H$32)/($U$3:$U$32+($U$3:$U$32=0)))</f>
        <v/>
      </c>
      <c r="AQ37" s="54">
        <f>SUMPRODUCT(($T$3:$T$32&lt;&gt;"")*($T$3:$T$32&lt;=AQ$2)*($V$3:$V$32&gt;=AQ$2)*(WEEKDAY(AQ$2,2)&lt;6)*($H$3:$H$32)/($U$3:$U$32+($U$3:$U$32=0)))</f>
        <v/>
      </c>
      <c r="AR37" s="54">
        <f>SUMPRODUCT(($T$3:$T$32&lt;&gt;"")*($T$3:$T$32&lt;=AR$2)*($V$3:$V$32&gt;=AR$2)*(WEEKDAY(AR$2,2)&lt;6)*($H$3:$H$32)/($U$3:$U$32+($U$3:$U$32=0)))</f>
        <v/>
      </c>
      <c r="AS37" s="54">
        <f>SUMPRODUCT(($T$3:$T$32&lt;&gt;"")*($T$3:$T$32&lt;=AS$2)*($V$3:$V$32&gt;=AS$2)*(WEEKDAY(AS$2,2)&lt;6)*($H$3:$H$32)/($U$3:$U$32+($U$3:$U$32=0)))</f>
        <v/>
      </c>
      <c r="AT37" s="54">
        <f>SUMPRODUCT(($T$3:$T$32&lt;&gt;"")*($T$3:$T$32&lt;=AT$2)*($V$3:$V$32&gt;=AT$2)*(WEEKDAY(AT$2,2)&lt;6)*($H$3:$H$32)/($U$3:$U$32+($U$3:$U$32=0)))</f>
        <v/>
      </c>
      <c r="AU37" s="54">
        <f>SUMPRODUCT(($T$3:$T$32&lt;&gt;"")*($T$3:$T$32&lt;=AU$2)*($V$3:$V$32&gt;=AU$2)*(WEEKDAY(AU$2,2)&lt;6)*($H$3:$H$32)/($U$3:$U$32+($U$3:$U$32=0)))</f>
        <v/>
      </c>
      <c r="AV37" s="54">
        <f>SUMPRODUCT(($T$3:$T$32&lt;&gt;"")*($T$3:$T$32&lt;=AV$2)*($V$3:$V$32&gt;=AV$2)*(WEEKDAY(AV$2,2)&lt;6)*($H$3:$H$32)/($U$3:$U$32+($U$3:$U$32=0)))</f>
        <v/>
      </c>
      <c r="AW37" s="54">
        <f>SUMPRODUCT(($T$3:$T$32&lt;&gt;"")*($T$3:$T$32&lt;=AW$2)*($V$3:$V$32&gt;=AW$2)*(WEEKDAY(AW$2,2)&lt;6)*($H$3:$H$32)/($U$3:$U$32+($U$3:$U$32=0)))</f>
        <v/>
      </c>
      <c r="AX37" s="54">
        <f>SUMPRODUCT(($T$3:$T$32&lt;&gt;"")*($T$3:$T$32&lt;=AX$2)*($V$3:$V$32&gt;=AX$2)*(WEEKDAY(AX$2,2)&lt;6)*($H$3:$H$32)/($U$3:$U$32+($U$3:$U$32=0)))</f>
        <v/>
      </c>
      <c r="AY37" s="54">
        <f>SUMPRODUCT(($T$3:$T$32&lt;&gt;"")*($T$3:$T$32&lt;=AY$2)*($V$3:$V$32&gt;=AY$2)*(WEEKDAY(AY$2,2)&lt;6)*($H$3:$H$32)/($U$3:$U$32+($U$3:$U$32=0)))</f>
        <v/>
      </c>
      <c r="AZ37" s="54">
        <f>SUMPRODUCT(($T$3:$T$32&lt;&gt;"")*($T$3:$T$32&lt;=AZ$2)*($V$3:$V$32&gt;=AZ$2)*(WEEKDAY(AZ$2,2)&lt;6)*($H$3:$H$32)/($U$3:$U$32+($U$3:$U$32=0)))</f>
        <v/>
      </c>
      <c r="BA37" s="54">
        <f>SUMPRODUCT(($T$3:$T$32&lt;&gt;"")*($T$3:$T$32&lt;=BA$2)*($V$3:$V$32&gt;=BA$2)*(WEEKDAY(BA$2,2)&lt;6)*($H$3:$H$32)/($U$3:$U$32+($U$3:$U$32=0)))</f>
        <v/>
      </c>
    </row>
    <row r="38">
      <c r="A38" s="53" t="inlineStr">
        <is>
          <t>BXP실</t>
        </is>
      </c>
      <c r="X38" s="39">
        <f>'기준정보'!$C$18</f>
        <v/>
      </c>
      <c r="Z38" s="54">
        <f>SUMPRODUCT(($T$3:$T$32&lt;&gt;"")*($T$3:$T$32&lt;=Z$2)*($V$3:$V$32&gt;=Z$2)*(WEEKDAY(Z$2,2)&lt;6)*($I$3:$I$32)/($U$3:$U$32+($U$3:$U$32=0)))</f>
        <v/>
      </c>
      <c r="AA38" s="54">
        <f>SUMPRODUCT(($T$3:$T$32&lt;&gt;"")*($T$3:$T$32&lt;=AA$2)*($V$3:$V$32&gt;=AA$2)*(WEEKDAY(AA$2,2)&lt;6)*($I$3:$I$32)/($U$3:$U$32+($U$3:$U$32=0)))</f>
        <v/>
      </c>
      <c r="AB38" s="54">
        <f>SUMPRODUCT(($T$3:$T$32&lt;&gt;"")*($T$3:$T$32&lt;=AB$2)*($V$3:$V$32&gt;=AB$2)*(WEEKDAY(AB$2,2)&lt;6)*($I$3:$I$32)/($U$3:$U$32+($U$3:$U$32=0)))</f>
        <v/>
      </c>
      <c r="AC38" s="54">
        <f>SUMPRODUCT(($T$3:$T$32&lt;&gt;"")*($T$3:$T$32&lt;=AC$2)*($V$3:$V$32&gt;=AC$2)*(WEEKDAY(AC$2,2)&lt;6)*($I$3:$I$32)/($U$3:$U$32+($U$3:$U$32=0)))</f>
        <v/>
      </c>
      <c r="AD38" s="54">
        <f>SUMPRODUCT(($T$3:$T$32&lt;&gt;"")*($T$3:$T$32&lt;=AD$2)*($V$3:$V$32&gt;=AD$2)*(WEEKDAY(AD$2,2)&lt;6)*($I$3:$I$32)/($U$3:$U$32+($U$3:$U$32=0)))</f>
        <v/>
      </c>
      <c r="AE38" s="54">
        <f>SUMPRODUCT(($T$3:$T$32&lt;&gt;"")*($T$3:$T$32&lt;=AE$2)*($V$3:$V$32&gt;=AE$2)*(WEEKDAY(AE$2,2)&lt;6)*($I$3:$I$32)/($U$3:$U$32+($U$3:$U$32=0)))</f>
        <v/>
      </c>
      <c r="AF38" s="54">
        <f>SUMPRODUCT(($T$3:$T$32&lt;&gt;"")*($T$3:$T$32&lt;=AF$2)*($V$3:$V$32&gt;=AF$2)*(WEEKDAY(AF$2,2)&lt;6)*($I$3:$I$32)/($U$3:$U$32+($U$3:$U$32=0)))</f>
        <v/>
      </c>
      <c r="AG38" s="54">
        <f>SUMPRODUCT(($T$3:$T$32&lt;&gt;"")*($T$3:$T$32&lt;=AG$2)*($V$3:$V$32&gt;=AG$2)*(WEEKDAY(AG$2,2)&lt;6)*($I$3:$I$32)/($U$3:$U$32+($U$3:$U$32=0)))</f>
        <v/>
      </c>
      <c r="AH38" s="54">
        <f>SUMPRODUCT(($T$3:$T$32&lt;&gt;"")*($T$3:$T$32&lt;=AH$2)*($V$3:$V$32&gt;=AH$2)*(WEEKDAY(AH$2,2)&lt;6)*($I$3:$I$32)/($U$3:$U$32+($U$3:$U$32=0)))</f>
        <v/>
      </c>
      <c r="AI38" s="54">
        <f>SUMPRODUCT(($T$3:$T$32&lt;&gt;"")*($T$3:$T$32&lt;=AI$2)*($V$3:$V$32&gt;=AI$2)*(WEEKDAY(AI$2,2)&lt;6)*($I$3:$I$32)/($U$3:$U$32+($U$3:$U$32=0)))</f>
        <v/>
      </c>
      <c r="AJ38" s="54">
        <f>SUMPRODUCT(($T$3:$T$32&lt;&gt;"")*($T$3:$T$32&lt;=AJ$2)*($V$3:$V$32&gt;=AJ$2)*(WEEKDAY(AJ$2,2)&lt;6)*($I$3:$I$32)/($U$3:$U$32+($U$3:$U$32=0)))</f>
        <v/>
      </c>
      <c r="AK38" s="54">
        <f>SUMPRODUCT(($T$3:$T$32&lt;&gt;"")*($T$3:$T$32&lt;=AK$2)*($V$3:$V$32&gt;=AK$2)*(WEEKDAY(AK$2,2)&lt;6)*($I$3:$I$32)/($U$3:$U$32+($U$3:$U$32=0)))</f>
        <v/>
      </c>
      <c r="AL38" s="54">
        <f>SUMPRODUCT(($T$3:$T$32&lt;&gt;"")*($T$3:$T$32&lt;=AL$2)*($V$3:$V$32&gt;=AL$2)*(WEEKDAY(AL$2,2)&lt;6)*($I$3:$I$32)/($U$3:$U$32+($U$3:$U$32=0)))</f>
        <v/>
      </c>
      <c r="AM38" s="54">
        <f>SUMPRODUCT(($T$3:$T$32&lt;&gt;"")*($T$3:$T$32&lt;=AM$2)*($V$3:$V$32&gt;=AM$2)*(WEEKDAY(AM$2,2)&lt;6)*($I$3:$I$32)/($U$3:$U$32+($U$3:$U$32=0)))</f>
        <v/>
      </c>
      <c r="AN38" s="54">
        <f>SUMPRODUCT(($T$3:$T$32&lt;&gt;"")*($T$3:$T$32&lt;=AN$2)*($V$3:$V$32&gt;=AN$2)*(WEEKDAY(AN$2,2)&lt;6)*($I$3:$I$32)/($U$3:$U$32+($U$3:$U$32=0)))</f>
        <v/>
      </c>
      <c r="AO38" s="54">
        <f>SUMPRODUCT(($T$3:$T$32&lt;&gt;"")*($T$3:$T$32&lt;=AO$2)*($V$3:$V$32&gt;=AO$2)*(WEEKDAY(AO$2,2)&lt;6)*($I$3:$I$32)/($U$3:$U$32+($U$3:$U$32=0)))</f>
        <v/>
      </c>
      <c r="AP38" s="54">
        <f>SUMPRODUCT(($T$3:$T$32&lt;&gt;"")*($T$3:$T$32&lt;=AP$2)*($V$3:$V$32&gt;=AP$2)*(WEEKDAY(AP$2,2)&lt;6)*($I$3:$I$32)/($U$3:$U$32+($U$3:$U$32=0)))</f>
        <v/>
      </c>
      <c r="AQ38" s="54">
        <f>SUMPRODUCT(($T$3:$T$32&lt;&gt;"")*($T$3:$T$32&lt;=AQ$2)*($V$3:$V$32&gt;=AQ$2)*(WEEKDAY(AQ$2,2)&lt;6)*($I$3:$I$32)/($U$3:$U$32+($U$3:$U$32=0)))</f>
        <v/>
      </c>
      <c r="AR38" s="54">
        <f>SUMPRODUCT(($T$3:$T$32&lt;&gt;"")*($T$3:$T$32&lt;=AR$2)*($V$3:$V$32&gt;=AR$2)*(WEEKDAY(AR$2,2)&lt;6)*($I$3:$I$32)/($U$3:$U$32+($U$3:$U$32=0)))</f>
        <v/>
      </c>
      <c r="AS38" s="54">
        <f>SUMPRODUCT(($T$3:$T$32&lt;&gt;"")*($T$3:$T$32&lt;=AS$2)*($V$3:$V$32&gt;=AS$2)*(WEEKDAY(AS$2,2)&lt;6)*($I$3:$I$32)/($U$3:$U$32+($U$3:$U$32=0)))</f>
        <v/>
      </c>
      <c r="AT38" s="54">
        <f>SUMPRODUCT(($T$3:$T$32&lt;&gt;"")*($T$3:$T$32&lt;=AT$2)*($V$3:$V$32&gt;=AT$2)*(WEEKDAY(AT$2,2)&lt;6)*($I$3:$I$32)/($U$3:$U$32+($U$3:$U$32=0)))</f>
        <v/>
      </c>
      <c r="AU38" s="54">
        <f>SUMPRODUCT(($T$3:$T$32&lt;&gt;"")*($T$3:$T$32&lt;=AU$2)*($V$3:$V$32&gt;=AU$2)*(WEEKDAY(AU$2,2)&lt;6)*($I$3:$I$32)/($U$3:$U$32+($U$3:$U$32=0)))</f>
        <v/>
      </c>
      <c r="AV38" s="54">
        <f>SUMPRODUCT(($T$3:$T$32&lt;&gt;"")*($T$3:$T$32&lt;=AV$2)*($V$3:$V$32&gt;=AV$2)*(WEEKDAY(AV$2,2)&lt;6)*($I$3:$I$32)/($U$3:$U$32+($U$3:$U$32=0)))</f>
        <v/>
      </c>
      <c r="AW38" s="54">
        <f>SUMPRODUCT(($T$3:$T$32&lt;&gt;"")*($T$3:$T$32&lt;=AW$2)*($V$3:$V$32&gt;=AW$2)*(WEEKDAY(AW$2,2)&lt;6)*($I$3:$I$32)/($U$3:$U$32+($U$3:$U$32=0)))</f>
        <v/>
      </c>
      <c r="AX38" s="54">
        <f>SUMPRODUCT(($T$3:$T$32&lt;&gt;"")*($T$3:$T$32&lt;=AX$2)*($V$3:$V$32&gt;=AX$2)*(WEEKDAY(AX$2,2)&lt;6)*($I$3:$I$32)/($U$3:$U$32+($U$3:$U$32=0)))</f>
        <v/>
      </c>
      <c r="AY38" s="54">
        <f>SUMPRODUCT(($T$3:$T$32&lt;&gt;"")*($T$3:$T$32&lt;=AY$2)*($V$3:$V$32&gt;=AY$2)*(WEEKDAY(AY$2,2)&lt;6)*($I$3:$I$32)/($U$3:$U$32+($U$3:$U$32=0)))</f>
        <v/>
      </c>
      <c r="AZ38" s="54">
        <f>SUMPRODUCT(($T$3:$T$32&lt;&gt;"")*($T$3:$T$32&lt;=AZ$2)*($V$3:$V$32&gt;=AZ$2)*(WEEKDAY(AZ$2,2)&lt;6)*($I$3:$I$32)/($U$3:$U$32+($U$3:$U$32=0)))</f>
        <v/>
      </c>
      <c r="BA38" s="54">
        <f>SUMPRODUCT(($T$3:$T$32&lt;&gt;"")*($T$3:$T$32&lt;=BA$2)*($V$3:$V$32&gt;=BA$2)*(WEEKDAY(BA$2,2)&lt;6)*($I$3:$I$32)/($U$3:$U$32+($U$3:$U$32=0)))</f>
        <v/>
      </c>
    </row>
    <row r="39">
      <c r="A39" s="53" t="inlineStr">
        <is>
          <t>GXD1실</t>
        </is>
      </c>
      <c r="X39" s="39">
        <f>'기준정보'!$C$19</f>
        <v/>
      </c>
      <c r="Z39" s="54">
        <f>SUMPRODUCT(($T$3:$T$32&lt;&gt;"")*($T$3:$T$32&lt;=Z$2)*($V$3:$V$32&gt;=Z$2)*(WEEKDAY(Z$2,2)&lt;6)*($J$3:$J$32)/($U$3:$U$32+($U$3:$U$32=0)))</f>
        <v/>
      </c>
      <c r="AA39" s="54">
        <f>SUMPRODUCT(($T$3:$T$32&lt;&gt;"")*($T$3:$T$32&lt;=AA$2)*($V$3:$V$32&gt;=AA$2)*(WEEKDAY(AA$2,2)&lt;6)*($J$3:$J$32)/($U$3:$U$32+($U$3:$U$32=0)))</f>
        <v/>
      </c>
      <c r="AB39" s="54">
        <f>SUMPRODUCT(($T$3:$T$32&lt;&gt;"")*($T$3:$T$32&lt;=AB$2)*($V$3:$V$32&gt;=AB$2)*(WEEKDAY(AB$2,2)&lt;6)*($J$3:$J$32)/($U$3:$U$32+($U$3:$U$32=0)))</f>
        <v/>
      </c>
      <c r="AC39" s="54">
        <f>SUMPRODUCT(($T$3:$T$32&lt;&gt;"")*($T$3:$T$32&lt;=AC$2)*($V$3:$V$32&gt;=AC$2)*(WEEKDAY(AC$2,2)&lt;6)*($J$3:$J$32)/($U$3:$U$32+($U$3:$U$32=0)))</f>
        <v/>
      </c>
      <c r="AD39" s="54">
        <f>SUMPRODUCT(($T$3:$T$32&lt;&gt;"")*($T$3:$T$32&lt;=AD$2)*($V$3:$V$32&gt;=AD$2)*(WEEKDAY(AD$2,2)&lt;6)*($J$3:$J$32)/($U$3:$U$32+($U$3:$U$32=0)))</f>
        <v/>
      </c>
      <c r="AE39" s="54">
        <f>SUMPRODUCT(($T$3:$T$32&lt;&gt;"")*($T$3:$T$32&lt;=AE$2)*($V$3:$V$32&gt;=AE$2)*(WEEKDAY(AE$2,2)&lt;6)*($J$3:$J$32)/($U$3:$U$32+($U$3:$U$32=0)))</f>
        <v/>
      </c>
      <c r="AF39" s="54">
        <f>SUMPRODUCT(($T$3:$T$32&lt;&gt;"")*($T$3:$T$32&lt;=AF$2)*($V$3:$V$32&gt;=AF$2)*(WEEKDAY(AF$2,2)&lt;6)*($J$3:$J$32)/($U$3:$U$32+($U$3:$U$32=0)))</f>
        <v/>
      </c>
      <c r="AG39" s="54">
        <f>SUMPRODUCT(($T$3:$T$32&lt;&gt;"")*($T$3:$T$32&lt;=AG$2)*($V$3:$V$32&gt;=AG$2)*(WEEKDAY(AG$2,2)&lt;6)*($J$3:$J$32)/($U$3:$U$32+($U$3:$U$32=0)))</f>
        <v/>
      </c>
      <c r="AH39" s="54">
        <f>SUMPRODUCT(($T$3:$T$32&lt;&gt;"")*($T$3:$T$32&lt;=AH$2)*($V$3:$V$32&gt;=AH$2)*(WEEKDAY(AH$2,2)&lt;6)*($J$3:$J$32)/($U$3:$U$32+($U$3:$U$32=0)))</f>
        <v/>
      </c>
      <c r="AI39" s="54">
        <f>SUMPRODUCT(($T$3:$T$32&lt;&gt;"")*($T$3:$T$32&lt;=AI$2)*($V$3:$V$32&gt;=AI$2)*(WEEKDAY(AI$2,2)&lt;6)*($J$3:$J$32)/($U$3:$U$32+($U$3:$U$32=0)))</f>
        <v/>
      </c>
      <c r="AJ39" s="54">
        <f>SUMPRODUCT(($T$3:$T$32&lt;&gt;"")*($T$3:$T$32&lt;=AJ$2)*($V$3:$V$32&gt;=AJ$2)*(WEEKDAY(AJ$2,2)&lt;6)*($J$3:$J$32)/($U$3:$U$32+($U$3:$U$32=0)))</f>
        <v/>
      </c>
      <c r="AK39" s="54">
        <f>SUMPRODUCT(($T$3:$T$32&lt;&gt;"")*($T$3:$T$32&lt;=AK$2)*($V$3:$V$32&gt;=AK$2)*(WEEKDAY(AK$2,2)&lt;6)*($J$3:$J$32)/($U$3:$U$32+($U$3:$U$32=0)))</f>
        <v/>
      </c>
      <c r="AL39" s="54">
        <f>SUMPRODUCT(($T$3:$T$32&lt;&gt;"")*($T$3:$T$32&lt;=AL$2)*($V$3:$V$32&gt;=AL$2)*(WEEKDAY(AL$2,2)&lt;6)*($J$3:$J$32)/($U$3:$U$32+($U$3:$U$32=0)))</f>
        <v/>
      </c>
      <c r="AM39" s="54">
        <f>SUMPRODUCT(($T$3:$T$32&lt;&gt;"")*($T$3:$T$32&lt;=AM$2)*($V$3:$V$32&gt;=AM$2)*(WEEKDAY(AM$2,2)&lt;6)*($J$3:$J$32)/($U$3:$U$32+($U$3:$U$32=0)))</f>
        <v/>
      </c>
      <c r="AN39" s="54">
        <f>SUMPRODUCT(($T$3:$T$32&lt;&gt;"")*($T$3:$T$32&lt;=AN$2)*($V$3:$V$32&gt;=AN$2)*(WEEKDAY(AN$2,2)&lt;6)*($J$3:$J$32)/($U$3:$U$32+($U$3:$U$32=0)))</f>
        <v/>
      </c>
      <c r="AO39" s="54">
        <f>SUMPRODUCT(($T$3:$T$32&lt;&gt;"")*($T$3:$T$32&lt;=AO$2)*($V$3:$V$32&gt;=AO$2)*(WEEKDAY(AO$2,2)&lt;6)*($J$3:$J$32)/($U$3:$U$32+($U$3:$U$32=0)))</f>
        <v/>
      </c>
      <c r="AP39" s="54">
        <f>SUMPRODUCT(($T$3:$T$32&lt;&gt;"")*($T$3:$T$32&lt;=AP$2)*($V$3:$V$32&gt;=AP$2)*(WEEKDAY(AP$2,2)&lt;6)*($J$3:$J$32)/($U$3:$U$32+($U$3:$U$32=0)))</f>
        <v/>
      </c>
      <c r="AQ39" s="54">
        <f>SUMPRODUCT(($T$3:$T$32&lt;&gt;"")*($T$3:$T$32&lt;=AQ$2)*($V$3:$V$32&gt;=AQ$2)*(WEEKDAY(AQ$2,2)&lt;6)*($J$3:$J$32)/($U$3:$U$32+($U$3:$U$32=0)))</f>
        <v/>
      </c>
      <c r="AR39" s="54">
        <f>SUMPRODUCT(($T$3:$T$32&lt;&gt;"")*($T$3:$T$32&lt;=AR$2)*($V$3:$V$32&gt;=AR$2)*(WEEKDAY(AR$2,2)&lt;6)*($J$3:$J$32)/($U$3:$U$32+($U$3:$U$32=0)))</f>
        <v/>
      </c>
      <c r="AS39" s="54">
        <f>SUMPRODUCT(($T$3:$T$32&lt;&gt;"")*($T$3:$T$32&lt;=AS$2)*($V$3:$V$32&gt;=AS$2)*(WEEKDAY(AS$2,2)&lt;6)*($J$3:$J$32)/($U$3:$U$32+($U$3:$U$32=0)))</f>
        <v/>
      </c>
      <c r="AT39" s="54">
        <f>SUMPRODUCT(($T$3:$T$32&lt;&gt;"")*($T$3:$T$32&lt;=AT$2)*($V$3:$V$32&gt;=AT$2)*(WEEKDAY(AT$2,2)&lt;6)*($J$3:$J$32)/($U$3:$U$32+($U$3:$U$32=0)))</f>
        <v/>
      </c>
      <c r="AU39" s="54">
        <f>SUMPRODUCT(($T$3:$T$32&lt;&gt;"")*($T$3:$T$32&lt;=AU$2)*($V$3:$V$32&gt;=AU$2)*(WEEKDAY(AU$2,2)&lt;6)*($J$3:$J$32)/($U$3:$U$32+($U$3:$U$32=0)))</f>
        <v/>
      </c>
      <c r="AV39" s="54">
        <f>SUMPRODUCT(($T$3:$T$32&lt;&gt;"")*($T$3:$T$32&lt;=AV$2)*($V$3:$V$32&gt;=AV$2)*(WEEKDAY(AV$2,2)&lt;6)*($J$3:$J$32)/($U$3:$U$32+($U$3:$U$32=0)))</f>
        <v/>
      </c>
      <c r="AW39" s="54">
        <f>SUMPRODUCT(($T$3:$T$32&lt;&gt;"")*($T$3:$T$32&lt;=AW$2)*($V$3:$V$32&gt;=AW$2)*(WEEKDAY(AW$2,2)&lt;6)*($J$3:$J$32)/($U$3:$U$32+($U$3:$U$32=0)))</f>
        <v/>
      </c>
      <c r="AX39" s="54">
        <f>SUMPRODUCT(($T$3:$T$32&lt;&gt;"")*($T$3:$T$32&lt;=AX$2)*($V$3:$V$32&gt;=AX$2)*(WEEKDAY(AX$2,2)&lt;6)*($J$3:$J$32)/($U$3:$U$32+($U$3:$U$32=0)))</f>
        <v/>
      </c>
      <c r="AY39" s="54">
        <f>SUMPRODUCT(($T$3:$T$32&lt;&gt;"")*($T$3:$T$32&lt;=AY$2)*($V$3:$V$32&gt;=AY$2)*(WEEKDAY(AY$2,2)&lt;6)*($J$3:$J$32)/($U$3:$U$32+($U$3:$U$32=0)))</f>
        <v/>
      </c>
      <c r="AZ39" s="54">
        <f>SUMPRODUCT(($T$3:$T$32&lt;&gt;"")*($T$3:$T$32&lt;=AZ$2)*($V$3:$V$32&gt;=AZ$2)*(WEEKDAY(AZ$2,2)&lt;6)*($J$3:$J$32)/($U$3:$U$32+($U$3:$U$32=0)))</f>
        <v/>
      </c>
      <c r="BA39" s="54">
        <f>SUMPRODUCT(($T$3:$T$32&lt;&gt;"")*($T$3:$T$32&lt;=BA$2)*($V$3:$V$32&gt;=BA$2)*(WEEKDAY(BA$2,2)&lt;6)*($J$3:$J$32)/($U$3:$U$32+($U$3:$U$32=0)))</f>
        <v/>
      </c>
    </row>
    <row r="40">
      <c r="A40" s="53" t="inlineStr">
        <is>
          <t>GXD2실</t>
        </is>
      </c>
      <c r="X40" s="39">
        <f>'기준정보'!$C$20</f>
        <v/>
      </c>
      <c r="Z40" s="54">
        <f>SUMPRODUCT(($T$3:$T$32&lt;&gt;"")*($T$3:$T$32&lt;=Z$2)*($V$3:$V$32&gt;=Z$2)*(WEEKDAY(Z$2,2)&lt;6)*($K$3:$K$32)/($U$3:$U$32+($U$3:$U$32=0)))</f>
        <v/>
      </c>
      <c r="AA40" s="54">
        <f>SUMPRODUCT(($T$3:$T$32&lt;&gt;"")*($T$3:$T$32&lt;=AA$2)*($V$3:$V$32&gt;=AA$2)*(WEEKDAY(AA$2,2)&lt;6)*($K$3:$K$32)/($U$3:$U$32+($U$3:$U$32=0)))</f>
        <v/>
      </c>
      <c r="AB40" s="54">
        <f>SUMPRODUCT(($T$3:$T$32&lt;&gt;"")*($T$3:$T$32&lt;=AB$2)*($V$3:$V$32&gt;=AB$2)*(WEEKDAY(AB$2,2)&lt;6)*($K$3:$K$32)/($U$3:$U$32+($U$3:$U$32=0)))</f>
        <v/>
      </c>
      <c r="AC40" s="54">
        <f>SUMPRODUCT(($T$3:$T$32&lt;&gt;"")*($T$3:$T$32&lt;=AC$2)*($V$3:$V$32&gt;=AC$2)*(WEEKDAY(AC$2,2)&lt;6)*($K$3:$K$32)/($U$3:$U$32+($U$3:$U$32=0)))</f>
        <v/>
      </c>
      <c r="AD40" s="54">
        <f>SUMPRODUCT(($T$3:$T$32&lt;&gt;"")*($T$3:$T$32&lt;=AD$2)*($V$3:$V$32&gt;=AD$2)*(WEEKDAY(AD$2,2)&lt;6)*($K$3:$K$32)/($U$3:$U$32+($U$3:$U$32=0)))</f>
        <v/>
      </c>
      <c r="AE40" s="54">
        <f>SUMPRODUCT(($T$3:$T$32&lt;&gt;"")*($T$3:$T$32&lt;=AE$2)*($V$3:$V$32&gt;=AE$2)*(WEEKDAY(AE$2,2)&lt;6)*($K$3:$K$32)/($U$3:$U$32+($U$3:$U$32=0)))</f>
        <v/>
      </c>
      <c r="AF40" s="54">
        <f>SUMPRODUCT(($T$3:$T$32&lt;&gt;"")*($T$3:$T$32&lt;=AF$2)*($V$3:$V$32&gt;=AF$2)*(WEEKDAY(AF$2,2)&lt;6)*($K$3:$K$32)/($U$3:$U$32+($U$3:$U$32=0)))</f>
        <v/>
      </c>
      <c r="AG40" s="54">
        <f>SUMPRODUCT(($T$3:$T$32&lt;&gt;"")*($T$3:$T$32&lt;=AG$2)*($V$3:$V$32&gt;=AG$2)*(WEEKDAY(AG$2,2)&lt;6)*($K$3:$K$32)/($U$3:$U$32+($U$3:$U$32=0)))</f>
        <v/>
      </c>
      <c r="AH40" s="54">
        <f>SUMPRODUCT(($T$3:$T$32&lt;&gt;"")*($T$3:$T$32&lt;=AH$2)*($V$3:$V$32&gt;=AH$2)*(WEEKDAY(AH$2,2)&lt;6)*($K$3:$K$32)/($U$3:$U$32+($U$3:$U$32=0)))</f>
        <v/>
      </c>
      <c r="AI40" s="54">
        <f>SUMPRODUCT(($T$3:$T$32&lt;&gt;"")*($T$3:$T$32&lt;=AI$2)*($V$3:$V$32&gt;=AI$2)*(WEEKDAY(AI$2,2)&lt;6)*($K$3:$K$32)/($U$3:$U$32+($U$3:$U$32=0)))</f>
        <v/>
      </c>
      <c r="AJ40" s="54">
        <f>SUMPRODUCT(($T$3:$T$32&lt;&gt;"")*($T$3:$T$32&lt;=AJ$2)*($V$3:$V$32&gt;=AJ$2)*(WEEKDAY(AJ$2,2)&lt;6)*($K$3:$K$32)/($U$3:$U$32+($U$3:$U$32=0)))</f>
        <v/>
      </c>
      <c r="AK40" s="54">
        <f>SUMPRODUCT(($T$3:$T$32&lt;&gt;"")*($T$3:$T$32&lt;=AK$2)*($V$3:$V$32&gt;=AK$2)*(WEEKDAY(AK$2,2)&lt;6)*($K$3:$K$32)/($U$3:$U$32+($U$3:$U$32=0)))</f>
        <v/>
      </c>
      <c r="AL40" s="54">
        <f>SUMPRODUCT(($T$3:$T$32&lt;&gt;"")*($T$3:$T$32&lt;=AL$2)*($V$3:$V$32&gt;=AL$2)*(WEEKDAY(AL$2,2)&lt;6)*($K$3:$K$32)/($U$3:$U$32+($U$3:$U$32=0)))</f>
        <v/>
      </c>
      <c r="AM40" s="54">
        <f>SUMPRODUCT(($T$3:$T$32&lt;&gt;"")*($T$3:$T$32&lt;=AM$2)*($V$3:$V$32&gt;=AM$2)*(WEEKDAY(AM$2,2)&lt;6)*($K$3:$K$32)/($U$3:$U$32+($U$3:$U$32=0)))</f>
        <v/>
      </c>
      <c r="AN40" s="54">
        <f>SUMPRODUCT(($T$3:$T$32&lt;&gt;"")*($T$3:$T$32&lt;=AN$2)*($V$3:$V$32&gt;=AN$2)*(WEEKDAY(AN$2,2)&lt;6)*($K$3:$K$32)/($U$3:$U$32+($U$3:$U$32=0)))</f>
        <v/>
      </c>
      <c r="AO40" s="54">
        <f>SUMPRODUCT(($T$3:$T$32&lt;&gt;"")*($T$3:$T$32&lt;=AO$2)*($V$3:$V$32&gt;=AO$2)*(WEEKDAY(AO$2,2)&lt;6)*($K$3:$K$32)/($U$3:$U$32+($U$3:$U$32=0)))</f>
        <v/>
      </c>
      <c r="AP40" s="54">
        <f>SUMPRODUCT(($T$3:$T$32&lt;&gt;"")*($T$3:$T$32&lt;=AP$2)*($V$3:$V$32&gt;=AP$2)*(WEEKDAY(AP$2,2)&lt;6)*($K$3:$K$32)/($U$3:$U$32+($U$3:$U$32=0)))</f>
        <v/>
      </c>
      <c r="AQ40" s="54">
        <f>SUMPRODUCT(($T$3:$T$32&lt;&gt;"")*($T$3:$T$32&lt;=AQ$2)*($V$3:$V$32&gt;=AQ$2)*(WEEKDAY(AQ$2,2)&lt;6)*($K$3:$K$32)/($U$3:$U$32+($U$3:$U$32=0)))</f>
        <v/>
      </c>
      <c r="AR40" s="54">
        <f>SUMPRODUCT(($T$3:$T$32&lt;&gt;"")*($T$3:$T$32&lt;=AR$2)*($V$3:$V$32&gt;=AR$2)*(WEEKDAY(AR$2,2)&lt;6)*($K$3:$K$32)/($U$3:$U$32+($U$3:$U$32=0)))</f>
        <v/>
      </c>
      <c r="AS40" s="54">
        <f>SUMPRODUCT(($T$3:$T$32&lt;&gt;"")*($T$3:$T$32&lt;=AS$2)*($V$3:$V$32&gt;=AS$2)*(WEEKDAY(AS$2,2)&lt;6)*($K$3:$K$32)/($U$3:$U$32+($U$3:$U$32=0)))</f>
        <v/>
      </c>
      <c r="AT40" s="54">
        <f>SUMPRODUCT(($T$3:$T$32&lt;&gt;"")*($T$3:$T$32&lt;=AT$2)*($V$3:$V$32&gt;=AT$2)*(WEEKDAY(AT$2,2)&lt;6)*($K$3:$K$32)/($U$3:$U$32+($U$3:$U$32=0)))</f>
        <v/>
      </c>
      <c r="AU40" s="54">
        <f>SUMPRODUCT(($T$3:$T$32&lt;&gt;"")*($T$3:$T$32&lt;=AU$2)*($V$3:$V$32&gt;=AU$2)*(WEEKDAY(AU$2,2)&lt;6)*($K$3:$K$32)/($U$3:$U$32+($U$3:$U$32=0)))</f>
        <v/>
      </c>
      <c r="AV40" s="54">
        <f>SUMPRODUCT(($T$3:$T$32&lt;&gt;"")*($T$3:$T$32&lt;=AV$2)*($V$3:$V$32&gt;=AV$2)*(WEEKDAY(AV$2,2)&lt;6)*($K$3:$K$32)/($U$3:$U$32+($U$3:$U$32=0)))</f>
        <v/>
      </c>
      <c r="AW40" s="54">
        <f>SUMPRODUCT(($T$3:$T$32&lt;&gt;"")*($T$3:$T$32&lt;=AW$2)*($V$3:$V$32&gt;=AW$2)*(WEEKDAY(AW$2,2)&lt;6)*($K$3:$K$32)/($U$3:$U$32+($U$3:$U$32=0)))</f>
        <v/>
      </c>
      <c r="AX40" s="54">
        <f>SUMPRODUCT(($T$3:$T$32&lt;&gt;"")*($T$3:$T$32&lt;=AX$2)*($V$3:$V$32&gt;=AX$2)*(WEEKDAY(AX$2,2)&lt;6)*($K$3:$K$32)/($U$3:$U$32+($U$3:$U$32=0)))</f>
        <v/>
      </c>
      <c r="AY40" s="54">
        <f>SUMPRODUCT(($T$3:$T$32&lt;&gt;"")*($T$3:$T$32&lt;=AY$2)*($V$3:$V$32&gt;=AY$2)*(WEEKDAY(AY$2,2)&lt;6)*($K$3:$K$32)/($U$3:$U$32+($U$3:$U$32=0)))</f>
        <v/>
      </c>
      <c r="AZ40" s="54">
        <f>SUMPRODUCT(($T$3:$T$32&lt;&gt;"")*($T$3:$T$32&lt;=AZ$2)*($V$3:$V$32&gt;=AZ$2)*(WEEKDAY(AZ$2,2)&lt;6)*($K$3:$K$32)/($U$3:$U$32+($U$3:$U$32=0)))</f>
        <v/>
      </c>
      <c r="BA40" s="54">
        <f>SUMPRODUCT(($T$3:$T$32&lt;&gt;"")*($T$3:$T$32&lt;=BA$2)*($V$3:$V$32&gt;=BA$2)*(WEEKDAY(BA$2,2)&lt;6)*($K$3:$K$32)/($U$3:$U$32+($U$3:$U$32=0)))</f>
        <v/>
      </c>
    </row>
    <row r="41">
      <c r="A41" s="53" t="inlineStr">
        <is>
          <t>MAX실</t>
        </is>
      </c>
      <c r="X41" s="39">
        <f>'기준정보'!$C$21</f>
        <v/>
      </c>
      <c r="Z41" s="54">
        <f>SUMPRODUCT(($T$3:$T$32&lt;&gt;"")*($T$3:$T$32&lt;=Z$2)*($V$3:$V$32&gt;=Z$2)*(WEEKDAY(Z$2,2)&lt;6)*($L$3:$L$32)/($U$3:$U$32+($U$3:$U$32=0)))</f>
        <v/>
      </c>
      <c r="AA41" s="54">
        <f>SUMPRODUCT(($T$3:$T$32&lt;&gt;"")*($T$3:$T$32&lt;=AA$2)*($V$3:$V$32&gt;=AA$2)*(WEEKDAY(AA$2,2)&lt;6)*($L$3:$L$32)/($U$3:$U$32+($U$3:$U$32=0)))</f>
        <v/>
      </c>
      <c r="AB41" s="54">
        <f>SUMPRODUCT(($T$3:$T$32&lt;&gt;"")*($T$3:$T$32&lt;=AB$2)*($V$3:$V$32&gt;=AB$2)*(WEEKDAY(AB$2,2)&lt;6)*($L$3:$L$32)/($U$3:$U$32+($U$3:$U$32=0)))</f>
        <v/>
      </c>
      <c r="AC41" s="54">
        <f>SUMPRODUCT(($T$3:$T$32&lt;&gt;"")*($T$3:$T$32&lt;=AC$2)*($V$3:$V$32&gt;=AC$2)*(WEEKDAY(AC$2,2)&lt;6)*($L$3:$L$32)/($U$3:$U$32+($U$3:$U$32=0)))</f>
        <v/>
      </c>
      <c r="AD41" s="54">
        <f>SUMPRODUCT(($T$3:$T$32&lt;&gt;"")*($T$3:$T$32&lt;=AD$2)*($V$3:$V$32&gt;=AD$2)*(WEEKDAY(AD$2,2)&lt;6)*($L$3:$L$32)/($U$3:$U$32+($U$3:$U$32=0)))</f>
        <v/>
      </c>
      <c r="AE41" s="54">
        <f>SUMPRODUCT(($T$3:$T$32&lt;&gt;"")*($T$3:$T$32&lt;=AE$2)*($V$3:$V$32&gt;=AE$2)*(WEEKDAY(AE$2,2)&lt;6)*($L$3:$L$32)/($U$3:$U$32+($U$3:$U$32=0)))</f>
        <v/>
      </c>
      <c r="AF41" s="54">
        <f>SUMPRODUCT(($T$3:$T$32&lt;&gt;"")*($T$3:$T$32&lt;=AF$2)*($V$3:$V$32&gt;=AF$2)*(WEEKDAY(AF$2,2)&lt;6)*($L$3:$L$32)/($U$3:$U$32+($U$3:$U$32=0)))</f>
        <v/>
      </c>
      <c r="AG41" s="54">
        <f>SUMPRODUCT(($T$3:$T$32&lt;&gt;"")*($T$3:$T$32&lt;=AG$2)*($V$3:$V$32&gt;=AG$2)*(WEEKDAY(AG$2,2)&lt;6)*($L$3:$L$32)/($U$3:$U$32+($U$3:$U$32=0)))</f>
        <v/>
      </c>
      <c r="AH41" s="54">
        <f>SUMPRODUCT(($T$3:$T$32&lt;&gt;"")*($T$3:$T$32&lt;=AH$2)*($V$3:$V$32&gt;=AH$2)*(WEEKDAY(AH$2,2)&lt;6)*($L$3:$L$32)/($U$3:$U$32+($U$3:$U$32=0)))</f>
        <v/>
      </c>
      <c r="AI41" s="54">
        <f>SUMPRODUCT(($T$3:$T$32&lt;&gt;"")*($T$3:$T$32&lt;=AI$2)*($V$3:$V$32&gt;=AI$2)*(WEEKDAY(AI$2,2)&lt;6)*($L$3:$L$32)/($U$3:$U$32+($U$3:$U$32=0)))</f>
        <v/>
      </c>
      <c r="AJ41" s="54">
        <f>SUMPRODUCT(($T$3:$T$32&lt;&gt;"")*($T$3:$T$32&lt;=AJ$2)*($V$3:$V$32&gt;=AJ$2)*(WEEKDAY(AJ$2,2)&lt;6)*($L$3:$L$32)/($U$3:$U$32+($U$3:$U$32=0)))</f>
        <v/>
      </c>
      <c r="AK41" s="54">
        <f>SUMPRODUCT(($T$3:$T$32&lt;&gt;"")*($T$3:$T$32&lt;=AK$2)*($V$3:$V$32&gt;=AK$2)*(WEEKDAY(AK$2,2)&lt;6)*($L$3:$L$32)/($U$3:$U$32+($U$3:$U$32=0)))</f>
        <v/>
      </c>
      <c r="AL41" s="54">
        <f>SUMPRODUCT(($T$3:$T$32&lt;&gt;"")*($T$3:$T$32&lt;=AL$2)*($V$3:$V$32&gt;=AL$2)*(WEEKDAY(AL$2,2)&lt;6)*($L$3:$L$32)/($U$3:$U$32+($U$3:$U$32=0)))</f>
        <v/>
      </c>
      <c r="AM41" s="54">
        <f>SUMPRODUCT(($T$3:$T$32&lt;&gt;"")*($T$3:$T$32&lt;=AM$2)*($V$3:$V$32&gt;=AM$2)*(WEEKDAY(AM$2,2)&lt;6)*($L$3:$L$32)/($U$3:$U$32+($U$3:$U$32=0)))</f>
        <v/>
      </c>
      <c r="AN41" s="54">
        <f>SUMPRODUCT(($T$3:$T$32&lt;&gt;"")*($T$3:$T$32&lt;=AN$2)*($V$3:$V$32&gt;=AN$2)*(WEEKDAY(AN$2,2)&lt;6)*($L$3:$L$32)/($U$3:$U$32+($U$3:$U$32=0)))</f>
        <v/>
      </c>
      <c r="AO41" s="54">
        <f>SUMPRODUCT(($T$3:$T$32&lt;&gt;"")*($T$3:$T$32&lt;=AO$2)*($V$3:$V$32&gt;=AO$2)*(WEEKDAY(AO$2,2)&lt;6)*($L$3:$L$32)/($U$3:$U$32+($U$3:$U$32=0)))</f>
        <v/>
      </c>
      <c r="AP41" s="54">
        <f>SUMPRODUCT(($T$3:$T$32&lt;&gt;"")*($T$3:$T$32&lt;=AP$2)*($V$3:$V$32&gt;=AP$2)*(WEEKDAY(AP$2,2)&lt;6)*($L$3:$L$32)/($U$3:$U$32+($U$3:$U$32=0)))</f>
        <v/>
      </c>
      <c r="AQ41" s="54">
        <f>SUMPRODUCT(($T$3:$T$32&lt;&gt;"")*($T$3:$T$32&lt;=AQ$2)*($V$3:$V$32&gt;=AQ$2)*(WEEKDAY(AQ$2,2)&lt;6)*($L$3:$L$32)/($U$3:$U$32+($U$3:$U$32=0)))</f>
        <v/>
      </c>
      <c r="AR41" s="54">
        <f>SUMPRODUCT(($T$3:$T$32&lt;&gt;"")*($T$3:$T$32&lt;=AR$2)*($V$3:$V$32&gt;=AR$2)*(WEEKDAY(AR$2,2)&lt;6)*($L$3:$L$32)/($U$3:$U$32+($U$3:$U$32=0)))</f>
        <v/>
      </c>
      <c r="AS41" s="54">
        <f>SUMPRODUCT(($T$3:$T$32&lt;&gt;"")*($T$3:$T$32&lt;=AS$2)*($V$3:$V$32&gt;=AS$2)*(WEEKDAY(AS$2,2)&lt;6)*($L$3:$L$32)/($U$3:$U$32+($U$3:$U$32=0)))</f>
        <v/>
      </c>
      <c r="AT41" s="54">
        <f>SUMPRODUCT(($T$3:$T$32&lt;&gt;"")*($T$3:$T$32&lt;=AT$2)*($V$3:$V$32&gt;=AT$2)*(WEEKDAY(AT$2,2)&lt;6)*($L$3:$L$32)/($U$3:$U$32+($U$3:$U$32=0)))</f>
        <v/>
      </c>
      <c r="AU41" s="54">
        <f>SUMPRODUCT(($T$3:$T$32&lt;&gt;"")*($T$3:$T$32&lt;=AU$2)*($V$3:$V$32&gt;=AU$2)*(WEEKDAY(AU$2,2)&lt;6)*($L$3:$L$32)/($U$3:$U$32+($U$3:$U$32=0)))</f>
        <v/>
      </c>
      <c r="AV41" s="54">
        <f>SUMPRODUCT(($T$3:$T$32&lt;&gt;"")*($T$3:$T$32&lt;=AV$2)*($V$3:$V$32&gt;=AV$2)*(WEEKDAY(AV$2,2)&lt;6)*($L$3:$L$32)/($U$3:$U$32+($U$3:$U$32=0)))</f>
        <v/>
      </c>
      <c r="AW41" s="54">
        <f>SUMPRODUCT(($T$3:$T$32&lt;&gt;"")*($T$3:$T$32&lt;=AW$2)*($V$3:$V$32&gt;=AW$2)*(WEEKDAY(AW$2,2)&lt;6)*($L$3:$L$32)/($U$3:$U$32+($U$3:$U$32=0)))</f>
        <v/>
      </c>
      <c r="AX41" s="54">
        <f>SUMPRODUCT(($T$3:$T$32&lt;&gt;"")*($T$3:$T$32&lt;=AX$2)*($V$3:$V$32&gt;=AX$2)*(WEEKDAY(AX$2,2)&lt;6)*($L$3:$L$32)/($U$3:$U$32+($U$3:$U$32=0)))</f>
        <v/>
      </c>
      <c r="AY41" s="54">
        <f>SUMPRODUCT(($T$3:$T$32&lt;&gt;"")*($T$3:$T$32&lt;=AY$2)*($V$3:$V$32&gt;=AY$2)*(WEEKDAY(AY$2,2)&lt;6)*($L$3:$L$32)/($U$3:$U$32+($U$3:$U$32=0)))</f>
        <v/>
      </c>
      <c r="AZ41" s="54">
        <f>SUMPRODUCT(($T$3:$T$32&lt;&gt;"")*($T$3:$T$32&lt;=AZ$2)*($V$3:$V$32&gt;=AZ$2)*(WEEKDAY(AZ$2,2)&lt;6)*($L$3:$L$32)/($U$3:$U$32+($U$3:$U$32=0)))</f>
        <v/>
      </c>
      <c r="BA41" s="54">
        <f>SUMPRODUCT(($T$3:$T$32&lt;&gt;"")*($T$3:$T$32&lt;=BA$2)*($V$3:$V$32&gt;=BA$2)*(WEEKDAY(BA$2,2)&lt;6)*($L$3:$L$32)/($U$3:$U$32+($U$3:$U$32=0)))</f>
        <v/>
      </c>
    </row>
    <row r="42">
      <c r="A42" s="53" t="inlineStr">
        <is>
          <t>VINA</t>
        </is>
      </c>
      <c r="X42" s="39">
        <f>'기준정보'!$C$22</f>
        <v/>
      </c>
      <c r="Z42" s="54">
        <f>SUMPRODUCT(($T$3:$T$32&lt;&gt;"")*($T$3:$T$32&lt;=Z$2)*($V$3:$V$32&gt;=Z$2)*(WEEKDAY(Z$2,2)&lt;6)*($M$3:$M$32)/($U$3:$U$32+($U$3:$U$32=0)))</f>
        <v/>
      </c>
      <c r="AA42" s="54">
        <f>SUMPRODUCT(($T$3:$T$32&lt;&gt;"")*($T$3:$T$32&lt;=AA$2)*($V$3:$V$32&gt;=AA$2)*(WEEKDAY(AA$2,2)&lt;6)*($M$3:$M$32)/($U$3:$U$32+($U$3:$U$32=0)))</f>
        <v/>
      </c>
      <c r="AB42" s="54">
        <f>SUMPRODUCT(($T$3:$T$32&lt;&gt;"")*($T$3:$T$32&lt;=AB$2)*($V$3:$V$32&gt;=AB$2)*(WEEKDAY(AB$2,2)&lt;6)*($M$3:$M$32)/($U$3:$U$32+($U$3:$U$32=0)))</f>
        <v/>
      </c>
      <c r="AC42" s="54">
        <f>SUMPRODUCT(($T$3:$T$32&lt;&gt;"")*($T$3:$T$32&lt;=AC$2)*($V$3:$V$32&gt;=AC$2)*(WEEKDAY(AC$2,2)&lt;6)*($M$3:$M$32)/($U$3:$U$32+($U$3:$U$32=0)))</f>
        <v/>
      </c>
      <c r="AD42" s="54">
        <f>SUMPRODUCT(($T$3:$T$32&lt;&gt;"")*($T$3:$T$32&lt;=AD$2)*($V$3:$V$32&gt;=AD$2)*(WEEKDAY(AD$2,2)&lt;6)*($M$3:$M$32)/($U$3:$U$32+($U$3:$U$32=0)))</f>
        <v/>
      </c>
      <c r="AE42" s="54">
        <f>SUMPRODUCT(($T$3:$T$32&lt;&gt;"")*($T$3:$T$32&lt;=AE$2)*($V$3:$V$32&gt;=AE$2)*(WEEKDAY(AE$2,2)&lt;6)*($M$3:$M$32)/($U$3:$U$32+($U$3:$U$32=0)))</f>
        <v/>
      </c>
      <c r="AF42" s="54">
        <f>SUMPRODUCT(($T$3:$T$32&lt;&gt;"")*($T$3:$T$32&lt;=AF$2)*($V$3:$V$32&gt;=AF$2)*(WEEKDAY(AF$2,2)&lt;6)*($M$3:$M$32)/($U$3:$U$32+($U$3:$U$32=0)))</f>
        <v/>
      </c>
      <c r="AG42" s="54">
        <f>SUMPRODUCT(($T$3:$T$32&lt;&gt;"")*($T$3:$T$32&lt;=AG$2)*($V$3:$V$32&gt;=AG$2)*(WEEKDAY(AG$2,2)&lt;6)*($M$3:$M$32)/($U$3:$U$32+($U$3:$U$32=0)))</f>
        <v/>
      </c>
      <c r="AH42" s="54">
        <f>SUMPRODUCT(($T$3:$T$32&lt;&gt;"")*($T$3:$T$32&lt;=AH$2)*($V$3:$V$32&gt;=AH$2)*(WEEKDAY(AH$2,2)&lt;6)*($M$3:$M$32)/($U$3:$U$32+($U$3:$U$32=0)))</f>
        <v/>
      </c>
      <c r="AI42" s="54">
        <f>SUMPRODUCT(($T$3:$T$32&lt;&gt;"")*($T$3:$T$32&lt;=AI$2)*($V$3:$V$32&gt;=AI$2)*(WEEKDAY(AI$2,2)&lt;6)*($M$3:$M$32)/($U$3:$U$32+($U$3:$U$32=0)))</f>
        <v/>
      </c>
      <c r="AJ42" s="54">
        <f>SUMPRODUCT(($T$3:$T$32&lt;&gt;"")*($T$3:$T$32&lt;=AJ$2)*($V$3:$V$32&gt;=AJ$2)*(WEEKDAY(AJ$2,2)&lt;6)*($M$3:$M$32)/($U$3:$U$32+($U$3:$U$32=0)))</f>
        <v/>
      </c>
      <c r="AK42" s="54">
        <f>SUMPRODUCT(($T$3:$T$32&lt;&gt;"")*($T$3:$T$32&lt;=AK$2)*($V$3:$V$32&gt;=AK$2)*(WEEKDAY(AK$2,2)&lt;6)*($M$3:$M$32)/($U$3:$U$32+($U$3:$U$32=0)))</f>
        <v/>
      </c>
      <c r="AL42" s="54">
        <f>SUMPRODUCT(($T$3:$T$32&lt;&gt;"")*($T$3:$T$32&lt;=AL$2)*($V$3:$V$32&gt;=AL$2)*(WEEKDAY(AL$2,2)&lt;6)*($M$3:$M$32)/($U$3:$U$32+($U$3:$U$32=0)))</f>
        <v/>
      </c>
      <c r="AM42" s="54">
        <f>SUMPRODUCT(($T$3:$T$32&lt;&gt;"")*($T$3:$T$32&lt;=AM$2)*($V$3:$V$32&gt;=AM$2)*(WEEKDAY(AM$2,2)&lt;6)*($M$3:$M$32)/($U$3:$U$32+($U$3:$U$32=0)))</f>
        <v/>
      </c>
      <c r="AN42" s="54">
        <f>SUMPRODUCT(($T$3:$T$32&lt;&gt;"")*($T$3:$T$32&lt;=AN$2)*($V$3:$V$32&gt;=AN$2)*(WEEKDAY(AN$2,2)&lt;6)*($M$3:$M$32)/($U$3:$U$32+($U$3:$U$32=0)))</f>
        <v/>
      </c>
      <c r="AO42" s="54">
        <f>SUMPRODUCT(($T$3:$T$32&lt;&gt;"")*($T$3:$T$32&lt;=AO$2)*($V$3:$V$32&gt;=AO$2)*(WEEKDAY(AO$2,2)&lt;6)*($M$3:$M$32)/($U$3:$U$32+($U$3:$U$32=0)))</f>
        <v/>
      </c>
      <c r="AP42" s="54">
        <f>SUMPRODUCT(($T$3:$T$32&lt;&gt;"")*($T$3:$T$32&lt;=AP$2)*($V$3:$V$32&gt;=AP$2)*(WEEKDAY(AP$2,2)&lt;6)*($M$3:$M$32)/($U$3:$U$32+($U$3:$U$32=0)))</f>
        <v/>
      </c>
      <c r="AQ42" s="54">
        <f>SUMPRODUCT(($T$3:$T$32&lt;&gt;"")*($T$3:$T$32&lt;=AQ$2)*($V$3:$V$32&gt;=AQ$2)*(WEEKDAY(AQ$2,2)&lt;6)*($M$3:$M$32)/($U$3:$U$32+($U$3:$U$32=0)))</f>
        <v/>
      </c>
      <c r="AR42" s="54">
        <f>SUMPRODUCT(($T$3:$T$32&lt;&gt;"")*($T$3:$T$32&lt;=AR$2)*($V$3:$V$32&gt;=AR$2)*(WEEKDAY(AR$2,2)&lt;6)*($M$3:$M$32)/($U$3:$U$32+($U$3:$U$32=0)))</f>
        <v/>
      </c>
      <c r="AS42" s="54">
        <f>SUMPRODUCT(($T$3:$T$32&lt;&gt;"")*($T$3:$T$32&lt;=AS$2)*($V$3:$V$32&gt;=AS$2)*(WEEKDAY(AS$2,2)&lt;6)*($M$3:$M$32)/($U$3:$U$32+($U$3:$U$32=0)))</f>
        <v/>
      </c>
      <c r="AT42" s="54">
        <f>SUMPRODUCT(($T$3:$T$32&lt;&gt;"")*($T$3:$T$32&lt;=AT$2)*($V$3:$V$32&gt;=AT$2)*(WEEKDAY(AT$2,2)&lt;6)*($M$3:$M$32)/($U$3:$U$32+($U$3:$U$32=0)))</f>
        <v/>
      </c>
      <c r="AU42" s="54">
        <f>SUMPRODUCT(($T$3:$T$32&lt;&gt;"")*($T$3:$T$32&lt;=AU$2)*($V$3:$V$32&gt;=AU$2)*(WEEKDAY(AU$2,2)&lt;6)*($M$3:$M$32)/($U$3:$U$32+($U$3:$U$32=0)))</f>
        <v/>
      </c>
      <c r="AV42" s="54">
        <f>SUMPRODUCT(($T$3:$T$32&lt;&gt;"")*($T$3:$T$32&lt;=AV$2)*($V$3:$V$32&gt;=AV$2)*(WEEKDAY(AV$2,2)&lt;6)*($M$3:$M$32)/($U$3:$U$32+($U$3:$U$32=0)))</f>
        <v/>
      </c>
      <c r="AW42" s="54">
        <f>SUMPRODUCT(($T$3:$T$32&lt;&gt;"")*($T$3:$T$32&lt;=AW$2)*($V$3:$V$32&gt;=AW$2)*(WEEKDAY(AW$2,2)&lt;6)*($M$3:$M$32)/($U$3:$U$32+($U$3:$U$32=0)))</f>
        <v/>
      </c>
      <c r="AX42" s="54">
        <f>SUMPRODUCT(($T$3:$T$32&lt;&gt;"")*($T$3:$T$32&lt;=AX$2)*($V$3:$V$32&gt;=AX$2)*(WEEKDAY(AX$2,2)&lt;6)*($M$3:$M$32)/($U$3:$U$32+($U$3:$U$32=0)))</f>
        <v/>
      </c>
      <c r="AY42" s="54">
        <f>SUMPRODUCT(($T$3:$T$32&lt;&gt;"")*($T$3:$T$32&lt;=AY$2)*($V$3:$V$32&gt;=AY$2)*(WEEKDAY(AY$2,2)&lt;6)*($M$3:$M$32)/($U$3:$U$32+($U$3:$U$32=0)))</f>
        <v/>
      </c>
      <c r="AZ42" s="54">
        <f>SUMPRODUCT(($T$3:$T$32&lt;&gt;"")*($T$3:$T$32&lt;=AZ$2)*($V$3:$V$32&gt;=AZ$2)*(WEEKDAY(AZ$2,2)&lt;6)*($M$3:$M$32)/($U$3:$U$32+($U$3:$U$32=0)))</f>
        <v/>
      </c>
      <c r="BA42" s="54">
        <f>SUMPRODUCT(($T$3:$T$32&lt;&gt;"")*($T$3:$T$32&lt;=BA$2)*($V$3:$V$32&gt;=BA$2)*(WEEKDAY(BA$2,2)&lt;6)*($M$3:$M$32)/($U$3:$U$32+($U$3:$U$32=0)))</f>
        <v/>
      </c>
    </row>
  </sheetData>
  <mergeCells count="7">
    <mergeCell ref="A1:G1"/>
    <mergeCell ref="Z1:BA1"/>
    <mergeCell ref="R1:X1"/>
    <mergeCell ref="N1:Q1"/>
    <mergeCell ref="I1:K1"/>
    <mergeCell ref="L1:M1"/>
    <mergeCell ref="H1"/>
  </mergeCells>
  <conditionalFormatting sqref="Z3:BA32">
    <cfRule type="expression" priority="1" dxfId="0">
      <formula>AND($T3&lt;&gt;"",$V3&lt;&gt;"",Z$2&gt;=$T3,Z$2&lt;=$V3,WEEKDAY(Z$2,2)&lt;6,$S3="완료")</formula>
    </cfRule>
    <cfRule type="expression" priority="2" dxfId="1">
      <formula>AND($T3&lt;&gt;"",$V3&lt;&gt;"",Z$2&gt;=$T3,Z$2&lt;=$V3,WEEKDAY(Z$2,2)&lt;6,$S3="검수")</formula>
    </cfRule>
    <cfRule type="expression" priority="3" dxfId="2">
      <formula>AND($T3&lt;&gt;"",$V3&lt;&gt;"",Z$2&gt;=$T3,Z$2&lt;=$V3,WEEKDAY(Z$2,2)&lt;6,$S3="진행")</formula>
    </cfRule>
    <cfRule type="expression" priority="4" dxfId="3">
      <formula>AND($T3&lt;&gt;"",$V3&lt;&gt;"",Z$2&gt;=$T3,Z$2&lt;=$V3,WEEKDAY(Z$2,2)&lt;6,$S3="대기")</formula>
    </cfRule>
    <cfRule type="expression" priority="5" dxfId="4">
      <formula>AND($T3&lt;&gt;"",$V3&lt;&gt;"",Z$2&gt;=$T3,Z$2&lt;=$V3,WEEKDAY(Z$2,2)&lt;6)</formula>
    </cfRule>
  </conditionalFormatting>
  <conditionalFormatting sqref="Z3:BA42">
    <cfRule type="expression" priority="6" dxfId="5" stopIfTrue="0">
      <formula>WEEKDAY(Z$2,2)&gt;5</formula>
    </cfRule>
  </conditionalFormatting>
  <conditionalFormatting sqref="X3:X32">
    <cfRule type="expression" priority="7" dxfId="6">
      <formula>AND(X3&lt;&gt;"",X3&lt;0)</formula>
    </cfRule>
    <cfRule type="expression" priority="8" dxfId="7">
      <formula>AND(X3&lt;&gt;"",X3&gt;=0,X3&lt;=1)</formula>
    </cfRule>
    <cfRule type="expression" priority="9" dxfId="8">
      <formula>AND(X3&lt;&gt;"",X3&gt;1)</formula>
    </cfRule>
  </conditionalFormatting>
  <conditionalFormatting sqref="Z37:BA42">
    <cfRule type="expression" priority="10" dxfId="9">
      <formula>Z37&gt;$X37</formula>
    </cfRule>
    <cfRule type="expression" priority="11" dxfId="10">
      <formula>AND(Z37&gt;$X37*0.8,Z37&lt;=$X37)</formula>
    </cfRule>
  </conditionalFormatting>
  <dataValidations count="2">
    <dataValidation sqref="D3:D32" showDropDown="0" showInputMessage="0" showErrorMessage="0" allowBlank="1" type="list">
      <formula1>='기준정보'!$A$26:$A$37</formula1>
    </dataValidation>
    <dataValidation sqref="S3:S32" showDropDown="0" showInputMessage="0" showErrorMessage="0" allowBlank="1" type="list">
      <formula1>"대기,진행,검수,완료"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4" customWidth="1" min="9" max="9"/>
    <col width="3" customWidth="1" min="10" max="10"/>
  </cols>
  <sheetData>
    <row r="2">
      <c r="B2" s="7" t="inlineStr">
        <is>
          <t>📈 대시보드 — 실별 리소스 · 가동률 · 견적 분배</t>
        </is>
      </c>
    </row>
    <row r="4">
      <c r="B4" s="11" t="inlineStr">
        <is>
          <t>총 영상 견적(원)</t>
        </is>
      </c>
      <c r="D4" s="55" t="n">
        <v>92000000</v>
      </c>
    </row>
    <row r="5">
      <c r="B5" s="11" t="inlineStr">
        <is>
          <t>비나 운영 시나리오</t>
        </is>
      </c>
      <c r="D5" s="56" t="n">
        <v>1</v>
      </c>
      <c r="E5" s="57">
        <f>IF($D$5=1,"방안1: 기획·디자인 각 실 / 비나 영상제작 공수는 MAX실 매출로 귀속",IF($D$5=2,"방안2: 비나는 사이즈베리만 · 영상 사이즈베리는 디자인실 공수로 흡수",IF($D$5=3,"방안3: 비나 이미지팀 TO 추가발주(전담) · 이미지TO 추가비용 별도 가산","방안4: 본사 프로세스 — 비나 영상팀+이미지팀 통합 제작(이미지 TO 추가발주 없음)")))</f>
        <v/>
      </c>
    </row>
    <row r="6">
      <c r="B6" s="11" t="inlineStr">
        <is>
          <t>비나 이미지TO 추가비용(원)</t>
        </is>
      </c>
      <c r="D6" s="55" t="n">
        <v>0</v>
      </c>
    </row>
    <row r="9">
      <c r="B9" s="35" t="inlineStr">
        <is>
          <t>실</t>
        </is>
      </c>
      <c r="C9" s="35" t="inlineStr">
        <is>
          <t>대분류</t>
        </is>
      </c>
      <c r="D9" s="35" t="inlineStr">
        <is>
          <t>MD</t>
        </is>
      </c>
      <c r="E9" s="35" t="inlineStr">
        <is>
          <t>MM</t>
        </is>
      </c>
      <c r="F9" s="35" t="inlineStr">
        <is>
          <t>비중</t>
        </is>
      </c>
      <c r="G9" s="35" t="inlineStr">
        <is>
          <t>TO</t>
        </is>
      </c>
      <c r="H9" s="35" t="inlineStr">
        <is>
          <t>가동률</t>
        </is>
      </c>
      <c r="I9" s="35" t="inlineStr">
        <is>
          <t>귀속MD</t>
        </is>
      </c>
      <c r="J9" s="35" t="inlineStr">
        <is>
          <t>견적 분배(원)</t>
        </is>
      </c>
    </row>
    <row r="10">
      <c r="B10" s="19" t="inlineStr">
        <is>
          <t>기획실</t>
        </is>
      </c>
      <c r="C10" s="20" t="inlineStr">
        <is>
          <t>기획</t>
        </is>
      </c>
      <c r="D10" s="58">
        <f>SUM('통합관리'!H$3:H$32)</f>
        <v/>
      </c>
      <c r="E10" s="58">
        <f>D10/'기준정보'!$H$3</f>
        <v/>
      </c>
      <c r="F10" s="59">
        <f>IFERROR(D10/$D$16,0)</f>
        <v/>
      </c>
      <c r="G10" s="59">
        <f>IFERROR(E10/'기준정보'!$C$17,0)</f>
        <v/>
      </c>
      <c r="H10" s="58">
        <f>D10</f>
        <v/>
      </c>
      <c r="I10" s="60">
        <f>IFERROR($D$4*H10/$H$16,0)</f>
        <v/>
      </c>
    </row>
    <row r="11">
      <c r="B11" s="19" t="inlineStr">
        <is>
          <t>BXP실</t>
        </is>
      </c>
      <c r="C11" s="20" t="inlineStr">
        <is>
          <t>디자인</t>
        </is>
      </c>
      <c r="D11" s="58">
        <f>SUM('통합관리'!I$3:I$32)</f>
        <v/>
      </c>
      <c r="E11" s="58">
        <f>D11/'기준정보'!$H$3</f>
        <v/>
      </c>
      <c r="F11" s="59">
        <f>IFERROR(D11/$D$16,0)</f>
        <v/>
      </c>
      <c r="G11" s="59">
        <f>IFERROR(E11/'기준정보'!$C$18,0)</f>
        <v/>
      </c>
      <c r="H11" s="58">
        <f>D11</f>
        <v/>
      </c>
      <c r="I11" s="60">
        <f>IFERROR($D$4*H11/$H$16,0)</f>
        <v/>
      </c>
    </row>
    <row r="12">
      <c r="B12" s="19" t="inlineStr">
        <is>
          <t>GXD1실</t>
        </is>
      </c>
      <c r="C12" s="20" t="inlineStr">
        <is>
          <t>디자인</t>
        </is>
      </c>
      <c r="D12" s="58">
        <f>SUM('통합관리'!J$3:J$32)</f>
        <v/>
      </c>
      <c r="E12" s="58">
        <f>D12/'기준정보'!$H$3</f>
        <v/>
      </c>
      <c r="F12" s="59">
        <f>IFERROR(D12/$D$16,0)</f>
        <v/>
      </c>
      <c r="G12" s="59">
        <f>IFERROR(E12/'기준정보'!$C$19,0)</f>
        <v/>
      </c>
      <c r="H12" s="58">
        <f>D12</f>
        <v/>
      </c>
      <c r="I12" s="60">
        <f>IFERROR($D$4*H12/$H$16,0)</f>
        <v/>
      </c>
    </row>
    <row r="13">
      <c r="B13" s="19" t="inlineStr">
        <is>
          <t>GXD2실</t>
        </is>
      </c>
      <c r="C13" s="20" t="inlineStr">
        <is>
          <t>디자인</t>
        </is>
      </c>
      <c r="D13" s="58">
        <f>SUM('통합관리'!K$3:K$32)</f>
        <v/>
      </c>
      <c r="E13" s="58">
        <f>D13/'기준정보'!$H$3</f>
        <v/>
      </c>
      <c r="F13" s="59">
        <f>IFERROR(D13/$D$16,0)</f>
        <v/>
      </c>
      <c r="G13" s="59">
        <f>IFERROR(E13/'기준정보'!$C$20,0)</f>
        <v/>
      </c>
      <c r="H13" s="58">
        <f>D13</f>
        <v/>
      </c>
      <c r="I13" s="60">
        <f>IFERROR($D$4*H13/$H$16,0)</f>
        <v/>
      </c>
    </row>
    <row r="14">
      <c r="B14" s="19" t="inlineStr">
        <is>
          <t>MAX실</t>
        </is>
      </c>
      <c r="C14" s="20" t="inlineStr">
        <is>
          <t>영상</t>
        </is>
      </c>
      <c r="D14" s="58">
        <f>SUM('통합관리'!L$3:L$32)</f>
        <v/>
      </c>
      <c r="E14" s="58">
        <f>D14/'기준정보'!$H$3</f>
        <v/>
      </c>
      <c r="F14" s="59">
        <f>IFERROR(D14/$D$16,0)</f>
        <v/>
      </c>
      <c r="G14" s="59">
        <f>IFERROR(E14/'기준정보'!$C$21,0)</f>
        <v/>
      </c>
      <c r="H14" s="58">
        <f>SUM('통합관리'!L$3:L$32)+IF($D$5=1,SUM('통합관리'!M$3:M$32),0)</f>
        <v/>
      </c>
      <c r="I14" s="60">
        <f>IFERROR($D$4*H14/$H$16,0)</f>
        <v/>
      </c>
    </row>
    <row r="15">
      <c r="B15" s="19" t="inlineStr">
        <is>
          <t>VINA</t>
        </is>
      </c>
      <c r="C15" s="20" t="inlineStr">
        <is>
          <t>영상</t>
        </is>
      </c>
      <c r="D15" s="58">
        <f>SUM('통합관리'!M$3:M$32)</f>
        <v/>
      </c>
      <c r="E15" s="58">
        <f>D15/'기준정보'!$H$3</f>
        <v/>
      </c>
      <c r="F15" s="59">
        <f>IFERROR(D15/$D$16,0)</f>
        <v/>
      </c>
      <c r="G15" s="59">
        <f>IFERROR(E15/'기준정보'!$C$22,0)</f>
        <v/>
      </c>
      <c r="H15" s="58">
        <f>IF($D$5=1,0,SUM('통합관리'!M$3:M$32))</f>
        <v/>
      </c>
      <c r="I15" s="60">
        <f>IFERROR($D$4*H15/$H$16,0)+IF($D$5=3,$D$6,0)</f>
        <v/>
      </c>
    </row>
    <row r="16">
      <c r="B16" s="61" t="inlineStr">
        <is>
          <t>합계</t>
        </is>
      </c>
      <c r="C16" s="61" t="inlineStr"/>
      <c r="D16" s="62">
        <f>SUM(D10:D15)</f>
        <v/>
      </c>
      <c r="E16" s="62">
        <f>SUM(E10:E15)</f>
        <v/>
      </c>
      <c r="F16" s="63">
        <f>SUM(F10:F15)</f>
        <v/>
      </c>
      <c r="G16" s="64" t="inlineStr"/>
      <c r="H16" s="62">
        <f>SUM(H10:H15)</f>
        <v/>
      </c>
      <c r="I16" s="65">
        <f>SUM(I10:I15)</f>
        <v/>
      </c>
    </row>
    <row r="18">
      <c r="B18" s="17" t="inlineStr">
        <is>
          <t>대분류 소계</t>
        </is>
      </c>
    </row>
    <row r="19">
      <c r="B19" s="66" t="inlineStr">
        <is>
          <t>대분류</t>
        </is>
      </c>
      <c r="C19" s="66" t="inlineStr">
        <is>
          <t>MM</t>
        </is>
      </c>
      <c r="D19" s="66" t="inlineStr">
        <is>
          <t>비중</t>
        </is>
      </c>
    </row>
    <row r="20">
      <c r="B20" s="19" t="inlineStr">
        <is>
          <t>기획</t>
        </is>
      </c>
      <c r="C20" s="58">
        <f>E10</f>
        <v/>
      </c>
      <c r="D20" s="59">
        <f>IFERROR((D10)/$D$16,0)</f>
        <v/>
      </c>
    </row>
    <row r="21">
      <c r="B21" s="19" t="inlineStr">
        <is>
          <t>디자인</t>
        </is>
      </c>
      <c r="C21" s="58">
        <f>E11+E12+E13</f>
        <v/>
      </c>
      <c r="D21" s="59">
        <f>IFERROR((D11+D12+D13)/$D$16,0)</f>
        <v/>
      </c>
    </row>
    <row r="22">
      <c r="B22" s="19" t="inlineStr">
        <is>
          <t>영상</t>
        </is>
      </c>
      <c r="C22" s="58">
        <f>E14+E15</f>
        <v/>
      </c>
      <c r="D22" s="59">
        <f>IFERROR((D14+D15)/$D$16,0)</f>
        <v/>
      </c>
    </row>
    <row r="24">
      <c r="B24" s="13" t="inlineStr">
        <is>
          <t>※ 가동률 100%↑(빨강)=증원/외주 필요, 80%↑(노랑)=여유 부족.  MM = MD ÷ 월가동일.  견적은 귀속MD 비중 배분(비나 시나리오 반영).</t>
        </is>
      </c>
    </row>
  </sheetData>
  <mergeCells count="1">
    <mergeCell ref="E5:I5"/>
  </mergeCells>
  <conditionalFormatting sqref="G10:G15">
    <cfRule type="expression" priority="1" dxfId="6">
      <formula>G10&gt;1</formula>
    </cfRule>
    <cfRule type="expression" priority="2" dxfId="11">
      <formula>AND(G10&gt;0.8,G10&lt;=1)</formula>
    </cfRule>
  </conditionalFormatting>
  <dataValidations count="1">
    <dataValidation sqref="D5" showDropDown="0" showInputMessage="0" showErrorMessage="0" allowBlank="0" type="list">
      <formula1>"1,2,3,4"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2026-07-24T03:53:55Z</dcterms:created>
  <dcterms:modified xsi:type="dcterms:W3CDTF">2026-07-24T03:53:55Z</dcterms:modified>
</cp:coreProperties>
</file>